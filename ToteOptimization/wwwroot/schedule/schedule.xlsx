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68645\Documents\Python\"/>
    </mc:Choice>
  </mc:AlternateContent>
  <xr:revisionPtr revIDLastSave="0" documentId="8_{CE2873B7-42CD-4791-9731-9F642F80C461}" xr6:coauthVersionLast="45" xr6:coauthVersionMax="45" xr10:uidLastSave="{00000000-0000-0000-0000-000000000000}"/>
  <bookViews>
    <workbookView xWindow="-110" yWindow="-110" windowWidth="19420" windowHeight="10420" xr2:uid="{F5F6DE39-E275-42CA-8ED4-25ED55929453}"/>
  </bookViews>
  <sheets>
    <sheet name="Schedule" sheetId="1" r:id="rId1"/>
  </sheets>
  <externalReferences>
    <externalReference r:id="rId2"/>
    <externalReference r:id="rId3"/>
  </externalReferences>
  <definedNames>
    <definedName name="_xlnm._FilterDatabase" localSheetId="0" hidden="1">Schedule!$B$1:$W$194</definedName>
    <definedName name="A_Area">Schedule!$B$1:$T$82</definedName>
    <definedName name="ALL">Schedule!$B$1:$T$197</definedName>
    <definedName name="B_AREA">Schedule!$B$83:$T$149</definedName>
    <definedName name="Begin4B">Schedule!$B$83</definedName>
    <definedName name="Begin4C">Schedule!$B$150</definedName>
    <definedName name="Begin4E">Schedule!$B$172</definedName>
    <definedName name="CEK_Area">Schedule!$B$150:$T$197</definedName>
    <definedName name="END">Schedule!$B$195</definedName>
    <definedName name="END4A">Schedule!$B$80</definedName>
    <definedName name="END4B">Schedule!$B$147</definedName>
    <definedName name="END4C">Schedule!$B$170</definedName>
    <definedName name="END4E">Schedule!$B$187</definedName>
    <definedName name="_xlnm.Print_Area" localSheetId="0">Schedule!$B$1:$T$196</definedName>
    <definedName name="WEIGHTSLIST">OFFSET('[2]Weights per Bag'!$A$1,0,0,COUNTA('[2]Weights per Bag'!$A:$A)+20,3)</definedName>
    <definedName name="WIPLIST">OFFSET('[2]Part to WIP Key'!$A$1,0,0,COUNTA('[2]Part to WIP Key'!$A:$A)+20,4)</definedName>
    <definedName name="Z_186592A8_1D28_4761_AEC9_CCC9EF1742F6_.wvu.FilterData" localSheetId="0" hidden="1">Schedule!$B$1:$Z$195</definedName>
    <definedName name="Z_186592A8_1D28_4761_AEC9_CCC9EF1742F6_.wvu.PrintArea" localSheetId="0" hidden="1">Schedule!$B$1:$T$196</definedName>
    <definedName name="Z_52C76A8A_75EF_4534_B373_068CCC2E7FC1_.wvu.FilterData" localSheetId="0" hidden="1">Schedule!$B$1:$Z$195</definedName>
    <definedName name="Z_52C76A8A_75EF_4534_B373_068CCC2E7FC1_.wvu.PrintArea" localSheetId="0" hidden="1">Schedule!$B$1:$T$196</definedName>
    <definedName name="Z_6E4F152A_67FF_40C8_9E85_89282E7B56A7_.wvu.FilterData" localSheetId="0" hidden="1">Schedule!$B$1:$Z$195</definedName>
    <definedName name="Z_6E4F152A_67FF_40C8_9E85_89282E7B56A7_.wvu.PrintArea" localSheetId="0" hidden="1">Schedule!$B$1:$T$196</definedName>
    <definedName name="Z_9E475AC1_E729_481A_9164_1CA792B03F43_.wvu.FilterData" localSheetId="0" hidden="1">Schedule!$B$1:$Z$195</definedName>
    <definedName name="Z_9E475AC1_E729_481A_9164_1CA792B03F43_.wvu.PrintArea" localSheetId="0" hidden="1">Schedule!$B$1:$T$196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1" l="1"/>
  <c r="I2" i="1"/>
  <c r="L2" i="1" s="1"/>
  <c r="F2" i="1" s="1"/>
  <c r="M2" i="1"/>
  <c r="Q2" i="1"/>
  <c r="U2" i="1"/>
  <c r="I3" i="1"/>
  <c r="K3" i="1"/>
  <c r="M3" i="1"/>
  <c r="Q3" i="1"/>
  <c r="S3" i="1"/>
  <c r="U3" i="1"/>
  <c r="X3" i="1"/>
  <c r="H4" i="1"/>
  <c r="I4" i="1"/>
  <c r="K4" i="1" s="1"/>
  <c r="J4" i="1"/>
  <c r="L4" i="1"/>
  <c r="F4" i="1" s="1"/>
  <c r="M4" i="1"/>
  <c r="N4" i="1"/>
  <c r="O4" i="1" s="1"/>
  <c r="P4" i="1"/>
  <c r="Q4" i="1"/>
  <c r="R4" i="1"/>
  <c r="T4" i="1"/>
  <c r="U4" i="1"/>
  <c r="W4" i="1"/>
  <c r="X4" i="1"/>
  <c r="E5" i="1"/>
  <c r="I5" i="1"/>
  <c r="K5" i="1"/>
  <c r="N5" i="1"/>
  <c r="O5" i="1" s="1"/>
  <c r="Q5" i="1"/>
  <c r="S5" i="1"/>
  <c r="W5" i="1"/>
  <c r="X5" i="1"/>
  <c r="F6" i="1"/>
  <c r="I6" i="1"/>
  <c r="J6" i="1"/>
  <c r="H6" i="1" s="1"/>
  <c r="K6" i="1"/>
  <c r="L6" i="1"/>
  <c r="M6" i="1"/>
  <c r="N6" i="1"/>
  <c r="O6" i="1"/>
  <c r="P6" i="1"/>
  <c r="Q6" i="1"/>
  <c r="R6" i="1"/>
  <c r="S6" i="1"/>
  <c r="T6" i="1"/>
  <c r="U6" i="1"/>
  <c r="W6" i="1"/>
  <c r="X6" i="1"/>
  <c r="X7" i="1" s="1"/>
  <c r="X8" i="1" s="1"/>
  <c r="I7" i="1"/>
  <c r="K7" i="1"/>
  <c r="M7" i="1"/>
  <c r="P7" i="1"/>
  <c r="S7" i="1"/>
  <c r="T7" i="1"/>
  <c r="U7" i="1"/>
  <c r="I8" i="1"/>
  <c r="L8" i="1"/>
  <c r="F8" i="1" s="1"/>
  <c r="Q8" i="1"/>
  <c r="T8" i="1"/>
  <c r="I9" i="1"/>
  <c r="J9" i="1"/>
  <c r="H9" i="1" s="1"/>
  <c r="K9" i="1"/>
  <c r="M9" i="1"/>
  <c r="N9" i="1"/>
  <c r="O9" i="1"/>
  <c r="Q9" i="1"/>
  <c r="R9" i="1"/>
  <c r="S9" i="1"/>
  <c r="U9" i="1"/>
  <c r="W9" i="1"/>
  <c r="X9" i="1"/>
  <c r="X10" i="1" s="1"/>
  <c r="E10" i="1"/>
  <c r="I10" i="1"/>
  <c r="J10" i="1"/>
  <c r="H10" i="1" s="1"/>
  <c r="K10" i="1"/>
  <c r="L10" i="1"/>
  <c r="F10" i="1" s="1"/>
  <c r="M10" i="1"/>
  <c r="N10" i="1"/>
  <c r="P10" i="1"/>
  <c r="Q10" i="1"/>
  <c r="R10" i="1"/>
  <c r="S10" i="1"/>
  <c r="T10" i="1"/>
  <c r="U10" i="1"/>
  <c r="I11" i="1"/>
  <c r="L11" i="1"/>
  <c r="F11" i="1" s="1"/>
  <c r="Q11" i="1"/>
  <c r="T11" i="1"/>
  <c r="X11" i="1"/>
  <c r="X12" i="1" s="1"/>
  <c r="X13" i="1" s="1"/>
  <c r="X14" i="1" s="1"/>
  <c r="H12" i="1"/>
  <c r="I12" i="1"/>
  <c r="J12" i="1"/>
  <c r="L12" i="1"/>
  <c r="F12" i="1" s="1"/>
  <c r="M12" i="1"/>
  <c r="N12" i="1"/>
  <c r="O12" i="1" s="1"/>
  <c r="P12" i="1"/>
  <c r="Q12" i="1"/>
  <c r="R12" i="1"/>
  <c r="T12" i="1"/>
  <c r="U12" i="1"/>
  <c r="W12" i="1"/>
  <c r="E13" i="1"/>
  <c r="I13" i="1"/>
  <c r="J13" i="1"/>
  <c r="N13" i="1"/>
  <c r="O13" i="1" s="1"/>
  <c r="Q13" i="1"/>
  <c r="U13" i="1"/>
  <c r="H14" i="1"/>
  <c r="I14" i="1"/>
  <c r="J14" i="1"/>
  <c r="K14" i="1"/>
  <c r="L14" i="1"/>
  <c r="F14" i="1" s="1"/>
  <c r="M14" i="1"/>
  <c r="N14" i="1"/>
  <c r="O14" i="1"/>
  <c r="P14" i="1"/>
  <c r="Q14" i="1"/>
  <c r="R14" i="1"/>
  <c r="S14" i="1"/>
  <c r="T14" i="1"/>
  <c r="U14" i="1"/>
  <c r="W14" i="1"/>
  <c r="I15" i="1"/>
  <c r="K15" i="1"/>
  <c r="L15" i="1"/>
  <c r="F15" i="1" s="1"/>
  <c r="M15" i="1"/>
  <c r="P15" i="1"/>
  <c r="Q15" i="1"/>
  <c r="T15" i="1"/>
  <c r="U15" i="1"/>
  <c r="X15" i="1"/>
  <c r="I16" i="1"/>
  <c r="J16" i="1"/>
  <c r="N16" i="1"/>
  <c r="O16" i="1" s="1"/>
  <c r="Q16" i="1"/>
  <c r="U16" i="1"/>
  <c r="X16" i="1"/>
  <c r="F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W17" i="1"/>
  <c r="X17" i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9" i="1" s="1"/>
  <c r="I18" i="1"/>
  <c r="K18" i="1"/>
  <c r="L18" i="1"/>
  <c r="F18" i="1" s="1"/>
  <c r="M18" i="1"/>
  <c r="P18" i="1"/>
  <c r="Q18" i="1"/>
  <c r="S18" i="1"/>
  <c r="T18" i="1"/>
  <c r="U18" i="1"/>
  <c r="I19" i="1"/>
  <c r="P19" i="1" s="1"/>
  <c r="F20" i="1"/>
  <c r="I20" i="1"/>
  <c r="K20" i="1" s="1"/>
  <c r="L20" i="1"/>
  <c r="Q20" i="1"/>
  <c r="U20" i="1"/>
  <c r="I21" i="1"/>
  <c r="J21" i="1" s="1"/>
  <c r="K21" i="1"/>
  <c r="N21" i="1"/>
  <c r="O21" i="1" s="1"/>
  <c r="Q21" i="1"/>
  <c r="S21" i="1"/>
  <c r="W21" i="1"/>
  <c r="F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W22" i="1"/>
  <c r="I23" i="1"/>
  <c r="L23" i="1" s="1"/>
  <c r="F23" i="1" s="1"/>
  <c r="K23" i="1"/>
  <c r="M23" i="1"/>
  <c r="P23" i="1"/>
  <c r="S23" i="1"/>
  <c r="T23" i="1"/>
  <c r="U23" i="1"/>
  <c r="I24" i="1"/>
  <c r="J24" i="1" s="1"/>
  <c r="L24" i="1"/>
  <c r="F24" i="1" s="1"/>
  <c r="N24" i="1"/>
  <c r="O24" i="1" s="1"/>
  <c r="Q24" i="1"/>
  <c r="T24" i="1"/>
  <c r="W24" i="1"/>
  <c r="I25" i="1"/>
  <c r="J25" i="1"/>
  <c r="K25" i="1"/>
  <c r="M25" i="1"/>
  <c r="N25" i="1"/>
  <c r="O25" i="1"/>
  <c r="Q25" i="1"/>
  <c r="R25" i="1"/>
  <c r="S25" i="1"/>
  <c r="U25" i="1"/>
  <c r="W25" i="1"/>
  <c r="H26" i="1"/>
  <c r="I26" i="1"/>
  <c r="J26" i="1"/>
  <c r="K26" i="1"/>
  <c r="L26" i="1"/>
  <c r="F26" i="1" s="1"/>
  <c r="M26" i="1"/>
  <c r="O26" i="1"/>
  <c r="P26" i="1"/>
  <c r="Q26" i="1"/>
  <c r="R26" i="1"/>
  <c r="S26" i="1"/>
  <c r="T26" i="1"/>
  <c r="U26" i="1"/>
  <c r="W26" i="1"/>
  <c r="H27" i="1"/>
  <c r="I27" i="1"/>
  <c r="E27" i="1" s="1"/>
  <c r="J27" i="1"/>
  <c r="M27" i="1"/>
  <c r="N27" i="1"/>
  <c r="O27" i="1" s="1"/>
  <c r="P27" i="1"/>
  <c r="R27" i="1"/>
  <c r="T27" i="1"/>
  <c r="U27" i="1"/>
  <c r="E29" i="1"/>
  <c r="H29" i="1"/>
  <c r="I29" i="1"/>
  <c r="J29" i="1"/>
  <c r="K29" i="1"/>
  <c r="L29" i="1"/>
  <c r="F29" i="1" s="1"/>
  <c r="M29" i="1"/>
  <c r="N29" i="1"/>
  <c r="O29" i="1" s="1"/>
  <c r="P29" i="1"/>
  <c r="Q29" i="1"/>
  <c r="R29" i="1"/>
  <c r="S29" i="1"/>
  <c r="T29" i="1"/>
  <c r="U29" i="1"/>
  <c r="W29" i="1"/>
  <c r="I30" i="1"/>
  <c r="K30" i="1" s="1"/>
  <c r="L30" i="1"/>
  <c r="F30" i="1" s="1"/>
  <c r="Q30" i="1"/>
  <c r="T30" i="1"/>
  <c r="X30" i="1"/>
  <c r="X31" i="1" s="1"/>
  <c r="X32" i="1" s="1"/>
  <c r="X33" i="1" s="1"/>
  <c r="X34" i="1" s="1"/>
  <c r="X35" i="1" s="1"/>
  <c r="X36" i="1" s="1"/>
  <c r="X37" i="1" s="1"/>
  <c r="I31" i="1"/>
  <c r="J31" i="1"/>
  <c r="H31" i="1" s="1"/>
  <c r="L31" i="1"/>
  <c r="F31" i="1" s="1"/>
  <c r="M31" i="1"/>
  <c r="N31" i="1"/>
  <c r="O31" i="1" s="1"/>
  <c r="P31" i="1"/>
  <c r="Q31" i="1"/>
  <c r="R31" i="1"/>
  <c r="T31" i="1"/>
  <c r="U31" i="1"/>
  <c r="W31" i="1"/>
  <c r="I32" i="1"/>
  <c r="J32" i="1"/>
  <c r="K32" i="1"/>
  <c r="Q32" i="1"/>
  <c r="S32" i="1"/>
  <c r="H33" i="1"/>
  <c r="I33" i="1"/>
  <c r="J33" i="1"/>
  <c r="K33" i="1"/>
  <c r="L33" i="1"/>
  <c r="F33" i="1" s="1"/>
  <c r="M33" i="1"/>
  <c r="N33" i="1"/>
  <c r="O33" i="1"/>
  <c r="P33" i="1"/>
  <c r="Q33" i="1"/>
  <c r="R33" i="1"/>
  <c r="S33" i="1"/>
  <c r="T33" i="1"/>
  <c r="U33" i="1"/>
  <c r="W33" i="1"/>
  <c r="I34" i="1"/>
  <c r="K34" i="1"/>
  <c r="L34" i="1"/>
  <c r="F34" i="1" s="1"/>
  <c r="M34" i="1"/>
  <c r="P34" i="1"/>
  <c r="Q34" i="1"/>
  <c r="T34" i="1"/>
  <c r="U34" i="1"/>
  <c r="I35" i="1"/>
  <c r="J35" i="1"/>
  <c r="H35" i="1" s="1"/>
  <c r="K35" i="1"/>
  <c r="M35" i="1"/>
  <c r="N35" i="1"/>
  <c r="O35" i="1"/>
  <c r="Q35" i="1"/>
  <c r="R35" i="1"/>
  <c r="S35" i="1"/>
  <c r="U35" i="1"/>
  <c r="W35" i="1"/>
  <c r="E36" i="1"/>
  <c r="I36" i="1"/>
  <c r="J36" i="1"/>
  <c r="H36" i="1" s="1"/>
  <c r="K36" i="1"/>
  <c r="L36" i="1"/>
  <c r="F36" i="1" s="1"/>
  <c r="M36" i="1"/>
  <c r="N36" i="1"/>
  <c r="P36" i="1"/>
  <c r="Q36" i="1"/>
  <c r="R36" i="1"/>
  <c r="T36" i="1"/>
  <c r="U36" i="1"/>
  <c r="I37" i="1"/>
  <c r="J37" i="1"/>
  <c r="H37" i="1" s="1"/>
  <c r="L37" i="1"/>
  <c r="F37" i="1" s="1"/>
  <c r="P37" i="1"/>
  <c r="Q37" i="1"/>
  <c r="T37" i="1"/>
  <c r="I38" i="1"/>
  <c r="J38" i="1"/>
  <c r="X38" i="1"/>
  <c r="F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W39" i="1"/>
  <c r="X39" i="1"/>
  <c r="X40" i="1" s="1"/>
  <c r="X42" i="1" s="1"/>
  <c r="X43" i="1" s="1"/>
  <c r="X44" i="1" s="1"/>
  <c r="X46" i="1" s="1"/>
  <c r="X47" i="1" s="1"/>
  <c r="X48" i="1" s="1"/>
  <c r="X49" i="1" s="1"/>
  <c r="I40" i="1"/>
  <c r="T40" i="1"/>
  <c r="I42" i="1"/>
  <c r="J42" i="1"/>
  <c r="H42" i="1" s="1"/>
  <c r="R42" i="1"/>
  <c r="H43" i="1"/>
  <c r="I43" i="1"/>
  <c r="J43" i="1"/>
  <c r="K43" i="1"/>
  <c r="L43" i="1"/>
  <c r="F43" i="1" s="1"/>
  <c r="M43" i="1"/>
  <c r="N43" i="1"/>
  <c r="O43" i="1"/>
  <c r="P43" i="1"/>
  <c r="Q43" i="1"/>
  <c r="R43" i="1"/>
  <c r="S43" i="1"/>
  <c r="T43" i="1"/>
  <c r="U43" i="1"/>
  <c r="W43" i="1"/>
  <c r="I44" i="1"/>
  <c r="P44" i="1"/>
  <c r="I46" i="1"/>
  <c r="J46" i="1"/>
  <c r="H46" i="1" s="1"/>
  <c r="K46" i="1"/>
  <c r="M46" i="1"/>
  <c r="N46" i="1"/>
  <c r="O46" i="1"/>
  <c r="Q46" i="1"/>
  <c r="R46" i="1"/>
  <c r="S46" i="1"/>
  <c r="U46" i="1"/>
  <c r="W46" i="1"/>
  <c r="I47" i="1"/>
  <c r="J47" i="1"/>
  <c r="H47" i="1" s="1"/>
  <c r="K47" i="1"/>
  <c r="L47" i="1"/>
  <c r="F47" i="1" s="1"/>
  <c r="M47" i="1"/>
  <c r="N47" i="1"/>
  <c r="O47" i="1" s="1"/>
  <c r="P47" i="1"/>
  <c r="Q47" i="1"/>
  <c r="R47" i="1"/>
  <c r="S47" i="1"/>
  <c r="T47" i="1"/>
  <c r="U47" i="1"/>
  <c r="I48" i="1"/>
  <c r="L48" i="1" s="1"/>
  <c r="F48" i="1" s="1"/>
  <c r="Q48" i="1"/>
  <c r="H49" i="1"/>
  <c r="I49" i="1"/>
  <c r="K49" i="1" s="1"/>
  <c r="J49" i="1"/>
  <c r="L49" i="1"/>
  <c r="F49" i="1" s="1"/>
  <c r="M49" i="1"/>
  <c r="N49" i="1"/>
  <c r="O49" i="1" s="1"/>
  <c r="P49" i="1"/>
  <c r="Q49" i="1"/>
  <c r="R49" i="1"/>
  <c r="S49" i="1"/>
  <c r="T49" i="1"/>
  <c r="U49" i="1"/>
  <c r="W49" i="1"/>
  <c r="E51" i="1"/>
  <c r="F51" i="1"/>
  <c r="I51" i="1"/>
  <c r="J51" i="1"/>
  <c r="H51" i="1" s="1"/>
  <c r="K51" i="1"/>
  <c r="L51" i="1"/>
  <c r="M51" i="1"/>
  <c r="N51" i="1"/>
  <c r="W51" i="1" s="1"/>
  <c r="P51" i="1"/>
  <c r="Q51" i="1"/>
  <c r="R51" i="1"/>
  <c r="T51" i="1"/>
  <c r="U51" i="1"/>
  <c r="E52" i="1"/>
  <c r="I52" i="1"/>
  <c r="J52" i="1" s="1"/>
  <c r="L52" i="1"/>
  <c r="F52" i="1" s="1"/>
  <c r="M52" i="1"/>
  <c r="N52" i="1"/>
  <c r="O52" i="1" s="1"/>
  <c r="Q52" i="1"/>
  <c r="R52" i="1"/>
  <c r="T52" i="1"/>
  <c r="W52" i="1"/>
  <c r="I53" i="1"/>
  <c r="J53" i="1"/>
  <c r="K53" i="1"/>
  <c r="M53" i="1"/>
  <c r="N53" i="1"/>
  <c r="O53" i="1"/>
  <c r="Q53" i="1"/>
  <c r="R53" i="1"/>
  <c r="S53" i="1"/>
  <c r="U53" i="1"/>
  <c r="W53" i="1"/>
  <c r="H54" i="1"/>
  <c r="I54" i="1"/>
  <c r="J54" i="1"/>
  <c r="K54" i="1"/>
  <c r="L54" i="1"/>
  <c r="F54" i="1" s="1"/>
  <c r="M54" i="1"/>
  <c r="N54" i="1"/>
  <c r="O54" i="1" s="1"/>
  <c r="P54" i="1"/>
  <c r="Q54" i="1"/>
  <c r="R54" i="1"/>
  <c r="S54" i="1"/>
  <c r="T54" i="1"/>
  <c r="U54" i="1"/>
  <c r="W54" i="1"/>
  <c r="F55" i="1"/>
  <c r="I55" i="1"/>
  <c r="K55" i="1" s="1"/>
  <c r="L55" i="1"/>
  <c r="M55" i="1"/>
  <c r="Q55" i="1"/>
  <c r="S55" i="1"/>
  <c r="T55" i="1"/>
  <c r="I56" i="1"/>
  <c r="J56" i="1"/>
  <c r="H56" i="1" s="1"/>
  <c r="L56" i="1"/>
  <c r="F56" i="1" s="1"/>
  <c r="M56" i="1"/>
  <c r="N56" i="1"/>
  <c r="O56" i="1" s="1"/>
  <c r="P56" i="1"/>
  <c r="Q56" i="1"/>
  <c r="R56" i="1"/>
  <c r="T56" i="1"/>
  <c r="U56" i="1"/>
  <c r="W56" i="1"/>
  <c r="I57" i="1"/>
  <c r="N57" i="1" s="1"/>
  <c r="J57" i="1"/>
  <c r="H57" i="1" s="1"/>
  <c r="S57" i="1"/>
  <c r="U57" i="1"/>
  <c r="I58" i="1"/>
  <c r="K58" i="1"/>
  <c r="L58" i="1"/>
  <c r="F58" i="1" s="1"/>
  <c r="M58" i="1"/>
  <c r="P58" i="1"/>
  <c r="Q58" i="1"/>
  <c r="S58" i="1"/>
  <c r="T58" i="1"/>
  <c r="U58" i="1"/>
  <c r="I59" i="1"/>
  <c r="J59" i="1"/>
  <c r="H59" i="1" s="1"/>
  <c r="L59" i="1"/>
  <c r="F59" i="1" s="1"/>
  <c r="M59" i="1"/>
  <c r="N59" i="1"/>
  <c r="O59" i="1" s="1"/>
  <c r="P59" i="1"/>
  <c r="Q59" i="1"/>
  <c r="R59" i="1"/>
  <c r="T59" i="1"/>
  <c r="U59" i="1"/>
  <c r="W59" i="1"/>
  <c r="I60" i="1"/>
  <c r="E60" i="1" s="1"/>
  <c r="J60" i="1"/>
  <c r="H60" i="1" s="1"/>
  <c r="N60" i="1"/>
  <c r="W60" i="1" s="1"/>
  <c r="O60" i="1"/>
  <c r="S60" i="1"/>
  <c r="U60" i="1"/>
  <c r="H61" i="1"/>
  <c r="I61" i="1"/>
  <c r="J61" i="1"/>
  <c r="K61" i="1"/>
  <c r="L61" i="1"/>
  <c r="F61" i="1" s="1"/>
  <c r="M61" i="1"/>
  <c r="N61" i="1"/>
  <c r="W61" i="1" s="1"/>
  <c r="O61" i="1"/>
  <c r="P61" i="1"/>
  <c r="Q61" i="1"/>
  <c r="R61" i="1"/>
  <c r="T61" i="1"/>
  <c r="U61" i="1"/>
  <c r="I62" i="1"/>
  <c r="J62" i="1" s="1"/>
  <c r="N62" i="1"/>
  <c r="O62" i="1" s="1"/>
  <c r="T62" i="1"/>
  <c r="I63" i="1"/>
  <c r="J63" i="1"/>
  <c r="H63" i="1" s="1"/>
  <c r="K63" i="1"/>
  <c r="M63" i="1"/>
  <c r="N63" i="1"/>
  <c r="O63" i="1"/>
  <c r="Q63" i="1"/>
  <c r="R63" i="1"/>
  <c r="S63" i="1"/>
  <c r="U63" i="1"/>
  <c r="W63" i="1"/>
  <c r="I65" i="1"/>
  <c r="K65" i="1"/>
  <c r="L65" i="1"/>
  <c r="F65" i="1" s="1"/>
  <c r="M65" i="1"/>
  <c r="P65" i="1"/>
  <c r="Q65" i="1"/>
  <c r="T65" i="1"/>
  <c r="U65" i="1"/>
  <c r="I66" i="1"/>
  <c r="J66" i="1"/>
  <c r="H66" i="1" s="1"/>
  <c r="K66" i="1"/>
  <c r="M66" i="1"/>
  <c r="N66" i="1"/>
  <c r="O66" i="1"/>
  <c r="Q66" i="1"/>
  <c r="R66" i="1"/>
  <c r="T66" i="1"/>
  <c r="W66" i="1"/>
  <c r="F67" i="1"/>
  <c r="I67" i="1"/>
  <c r="K67" i="1" s="1"/>
  <c r="L67" i="1"/>
  <c r="Q67" i="1"/>
  <c r="T67" i="1"/>
  <c r="I68" i="1"/>
  <c r="J68" i="1"/>
  <c r="H68" i="1" s="1"/>
  <c r="M68" i="1"/>
  <c r="N68" i="1"/>
  <c r="O68" i="1" s="1"/>
  <c r="P68" i="1"/>
  <c r="R68" i="1"/>
  <c r="T68" i="1"/>
  <c r="U68" i="1"/>
  <c r="E70" i="1"/>
  <c r="I70" i="1"/>
  <c r="J70" i="1"/>
  <c r="H70" i="1" s="1"/>
  <c r="K70" i="1"/>
  <c r="L70" i="1"/>
  <c r="F70" i="1" s="1"/>
  <c r="M70" i="1"/>
  <c r="N70" i="1"/>
  <c r="P70" i="1"/>
  <c r="Q70" i="1"/>
  <c r="R70" i="1"/>
  <c r="T70" i="1"/>
  <c r="U70" i="1"/>
  <c r="I71" i="1"/>
  <c r="J71" i="1" s="1"/>
  <c r="H71" i="1" s="1"/>
  <c r="L71" i="1"/>
  <c r="F71" i="1" s="1"/>
  <c r="N71" i="1"/>
  <c r="O71" i="1" s="1"/>
  <c r="Q71" i="1"/>
  <c r="T71" i="1"/>
  <c r="W71" i="1"/>
  <c r="I72" i="1"/>
  <c r="E72" i="1" s="1"/>
  <c r="J72" i="1"/>
  <c r="H72" i="1" s="1"/>
  <c r="M72" i="1"/>
  <c r="N72" i="1"/>
  <c r="W72" i="1" s="1"/>
  <c r="O72" i="1"/>
  <c r="R72" i="1"/>
  <c r="S72" i="1"/>
  <c r="U72" i="1"/>
  <c r="H73" i="1"/>
  <c r="I73" i="1"/>
  <c r="J73" i="1"/>
  <c r="K73" i="1"/>
  <c r="L73" i="1"/>
  <c r="F73" i="1" s="1"/>
  <c r="M73" i="1"/>
  <c r="N73" i="1"/>
  <c r="O73" i="1" s="1"/>
  <c r="P73" i="1"/>
  <c r="Q73" i="1"/>
  <c r="R73" i="1"/>
  <c r="S73" i="1"/>
  <c r="T73" i="1"/>
  <c r="U73" i="1"/>
  <c r="I75" i="1"/>
  <c r="L75" i="1" s="1"/>
  <c r="F75" i="1" s="1"/>
  <c r="P75" i="1"/>
  <c r="W75" i="1"/>
  <c r="I76" i="1"/>
  <c r="L76" i="1" s="1"/>
  <c r="F76" i="1" s="1"/>
  <c r="U76" i="1"/>
  <c r="I77" i="1"/>
  <c r="K77" i="1" s="1"/>
  <c r="N77" i="1"/>
  <c r="O77" i="1" s="1"/>
  <c r="S77" i="1"/>
  <c r="I78" i="1"/>
  <c r="J78" i="1"/>
  <c r="H78" i="1" s="1"/>
  <c r="M78" i="1"/>
  <c r="N78" i="1"/>
  <c r="O78" i="1"/>
  <c r="R78" i="1"/>
  <c r="T78" i="1"/>
  <c r="W78" i="1"/>
  <c r="E79" i="1"/>
  <c r="F79" i="1"/>
  <c r="I79" i="1"/>
  <c r="J79" i="1"/>
  <c r="H79" i="1" s="1"/>
  <c r="K79" i="1"/>
  <c r="L79" i="1"/>
  <c r="M79" i="1"/>
  <c r="N79" i="1"/>
  <c r="O79" i="1" s="1"/>
  <c r="P79" i="1"/>
  <c r="Q79" i="1"/>
  <c r="R79" i="1"/>
  <c r="S79" i="1"/>
  <c r="T79" i="1"/>
  <c r="U79" i="1"/>
  <c r="W79" i="1"/>
  <c r="E81" i="1"/>
  <c r="G81" i="1"/>
  <c r="C84" i="1"/>
  <c r="I84" i="1"/>
  <c r="K84" i="1" s="1"/>
  <c r="L84" i="1"/>
  <c r="F84" i="1" s="1"/>
  <c r="P84" i="1"/>
  <c r="T84" i="1"/>
  <c r="I85" i="1"/>
  <c r="J85" i="1" s="1"/>
  <c r="K85" i="1"/>
  <c r="S85" i="1"/>
  <c r="X85" i="1"/>
  <c r="H86" i="1"/>
  <c r="I86" i="1"/>
  <c r="J86" i="1"/>
  <c r="K86" i="1"/>
  <c r="L86" i="1"/>
  <c r="F86" i="1" s="1"/>
  <c r="M86" i="1"/>
  <c r="N86" i="1"/>
  <c r="O86" i="1"/>
  <c r="P86" i="1"/>
  <c r="Q86" i="1"/>
  <c r="R86" i="1"/>
  <c r="S86" i="1"/>
  <c r="T86" i="1"/>
  <c r="U86" i="1"/>
  <c r="W86" i="1"/>
  <c r="X86" i="1"/>
  <c r="I87" i="1"/>
  <c r="K87" i="1"/>
  <c r="L87" i="1"/>
  <c r="F87" i="1" s="1"/>
  <c r="M87" i="1"/>
  <c r="P87" i="1"/>
  <c r="Q87" i="1"/>
  <c r="S87" i="1"/>
  <c r="T87" i="1"/>
  <c r="U87" i="1"/>
  <c r="X87" i="1"/>
  <c r="X88" i="1" s="1"/>
  <c r="X89" i="1" s="1"/>
  <c r="X90" i="1" s="1"/>
  <c r="X91" i="1" s="1"/>
  <c r="X93" i="1" s="1"/>
  <c r="X94" i="1" s="1"/>
  <c r="X95" i="1" s="1"/>
  <c r="I88" i="1"/>
  <c r="J88" i="1"/>
  <c r="H88" i="1" s="1"/>
  <c r="L88" i="1"/>
  <c r="F88" i="1" s="1"/>
  <c r="N88" i="1"/>
  <c r="O88" i="1" s="1"/>
  <c r="P88" i="1"/>
  <c r="Q88" i="1"/>
  <c r="T88" i="1"/>
  <c r="U88" i="1"/>
  <c r="I89" i="1"/>
  <c r="N89" i="1"/>
  <c r="S89" i="1"/>
  <c r="I90" i="1"/>
  <c r="J90" i="1"/>
  <c r="H90" i="1" s="1"/>
  <c r="K90" i="1"/>
  <c r="L90" i="1"/>
  <c r="F90" i="1" s="1"/>
  <c r="M90" i="1"/>
  <c r="N90" i="1"/>
  <c r="O90" i="1" s="1"/>
  <c r="P90" i="1"/>
  <c r="Q90" i="1"/>
  <c r="R90" i="1"/>
  <c r="S90" i="1"/>
  <c r="T90" i="1"/>
  <c r="U90" i="1"/>
  <c r="I91" i="1"/>
  <c r="L91" i="1" s="1"/>
  <c r="F91" i="1" s="1"/>
  <c r="K91" i="1"/>
  <c r="M91" i="1"/>
  <c r="Q91" i="1"/>
  <c r="T91" i="1"/>
  <c r="I93" i="1"/>
  <c r="J93" i="1"/>
  <c r="H93" i="1" s="1"/>
  <c r="K93" i="1"/>
  <c r="L93" i="1"/>
  <c r="F93" i="1" s="1"/>
  <c r="M93" i="1"/>
  <c r="N93" i="1"/>
  <c r="O93" i="1" s="1"/>
  <c r="P93" i="1"/>
  <c r="Q93" i="1"/>
  <c r="R93" i="1"/>
  <c r="S93" i="1"/>
  <c r="T93" i="1"/>
  <c r="U93" i="1"/>
  <c r="I94" i="1"/>
  <c r="L94" i="1" s="1"/>
  <c r="F94" i="1" s="1"/>
  <c r="K94" i="1"/>
  <c r="M94" i="1"/>
  <c r="Q94" i="1"/>
  <c r="S94" i="1"/>
  <c r="U94" i="1"/>
  <c r="H95" i="1"/>
  <c r="I95" i="1"/>
  <c r="K95" i="1" s="1"/>
  <c r="J95" i="1"/>
  <c r="L95" i="1"/>
  <c r="F95" i="1" s="1"/>
  <c r="M95" i="1"/>
  <c r="N95" i="1"/>
  <c r="O95" i="1" s="1"/>
  <c r="P95" i="1"/>
  <c r="Q95" i="1"/>
  <c r="R95" i="1"/>
  <c r="T95" i="1"/>
  <c r="U95" i="1"/>
  <c r="W95" i="1"/>
  <c r="I96" i="1"/>
  <c r="K96" i="1"/>
  <c r="S96" i="1"/>
  <c r="X96" i="1"/>
  <c r="X97" i="1" s="1"/>
  <c r="X98" i="1" s="1"/>
  <c r="H97" i="1"/>
  <c r="I97" i="1"/>
  <c r="J97" i="1"/>
  <c r="K97" i="1"/>
  <c r="L97" i="1"/>
  <c r="F97" i="1" s="1"/>
  <c r="M97" i="1"/>
  <c r="N97" i="1"/>
  <c r="O97" i="1" s="1"/>
  <c r="P97" i="1"/>
  <c r="Q97" i="1"/>
  <c r="R97" i="1"/>
  <c r="S97" i="1"/>
  <c r="T97" i="1"/>
  <c r="U97" i="1"/>
  <c r="W97" i="1"/>
  <c r="I98" i="1"/>
  <c r="U98" i="1"/>
  <c r="I100" i="1"/>
  <c r="K100" i="1"/>
  <c r="M100" i="1"/>
  <c r="Q100" i="1"/>
  <c r="S100" i="1"/>
  <c r="U100" i="1"/>
  <c r="X100" i="1"/>
  <c r="X101" i="1" s="1"/>
  <c r="X102" i="1" s="1"/>
  <c r="X103" i="1" s="1"/>
  <c r="H101" i="1"/>
  <c r="I101" i="1"/>
  <c r="J101" i="1"/>
  <c r="K101" i="1"/>
  <c r="L101" i="1"/>
  <c r="F101" i="1" s="1"/>
  <c r="M101" i="1"/>
  <c r="N101" i="1"/>
  <c r="P101" i="1"/>
  <c r="Q101" i="1"/>
  <c r="R101" i="1"/>
  <c r="S101" i="1"/>
  <c r="T101" i="1"/>
  <c r="U101" i="1"/>
  <c r="I102" i="1"/>
  <c r="S102" i="1"/>
  <c r="I103" i="1"/>
  <c r="K103" i="1" s="1"/>
  <c r="J103" i="1"/>
  <c r="H103" i="1" s="1"/>
  <c r="L103" i="1"/>
  <c r="F103" i="1" s="1"/>
  <c r="M103" i="1"/>
  <c r="N103" i="1"/>
  <c r="O103" i="1" s="1"/>
  <c r="P103" i="1"/>
  <c r="Q103" i="1"/>
  <c r="R103" i="1"/>
  <c r="T103" i="1"/>
  <c r="U103" i="1"/>
  <c r="W103" i="1"/>
  <c r="E105" i="1"/>
  <c r="H105" i="1"/>
  <c r="I105" i="1"/>
  <c r="J105" i="1"/>
  <c r="K105" i="1"/>
  <c r="L105" i="1"/>
  <c r="F105" i="1" s="1"/>
  <c r="M105" i="1"/>
  <c r="N105" i="1"/>
  <c r="O105" i="1" s="1"/>
  <c r="P105" i="1"/>
  <c r="Q105" i="1"/>
  <c r="R105" i="1"/>
  <c r="S105" i="1"/>
  <c r="T105" i="1"/>
  <c r="U105" i="1"/>
  <c r="W105" i="1"/>
  <c r="X105" i="1"/>
  <c r="Y105" i="1"/>
  <c r="Z105" i="1" s="1"/>
  <c r="I106" i="1"/>
  <c r="K106" i="1"/>
  <c r="M106" i="1"/>
  <c r="Q106" i="1"/>
  <c r="T106" i="1"/>
  <c r="X106" i="1"/>
  <c r="I107" i="1"/>
  <c r="K107" i="1"/>
  <c r="M107" i="1"/>
  <c r="Q107" i="1"/>
  <c r="S107" i="1"/>
  <c r="U107" i="1"/>
  <c r="X107" i="1"/>
  <c r="X108" i="1" s="1"/>
  <c r="X109" i="1" s="1"/>
  <c r="X110" i="1" s="1"/>
  <c r="H108" i="1"/>
  <c r="I108" i="1"/>
  <c r="J108" i="1"/>
  <c r="K108" i="1"/>
  <c r="L108" i="1"/>
  <c r="F108" i="1" s="1"/>
  <c r="M108" i="1"/>
  <c r="N108" i="1"/>
  <c r="P108" i="1"/>
  <c r="Q108" i="1"/>
  <c r="R108" i="1"/>
  <c r="S108" i="1"/>
  <c r="T108" i="1"/>
  <c r="U108" i="1"/>
  <c r="I109" i="1"/>
  <c r="S109" i="1"/>
  <c r="I110" i="1"/>
  <c r="K110" i="1" s="1"/>
  <c r="J110" i="1"/>
  <c r="H110" i="1" s="1"/>
  <c r="L110" i="1"/>
  <c r="F110" i="1" s="1"/>
  <c r="M110" i="1"/>
  <c r="N110" i="1"/>
  <c r="O110" i="1" s="1"/>
  <c r="P110" i="1"/>
  <c r="Q110" i="1"/>
  <c r="R110" i="1"/>
  <c r="T110" i="1"/>
  <c r="U110" i="1"/>
  <c r="W110" i="1"/>
  <c r="I111" i="1"/>
  <c r="X111" i="1"/>
  <c r="F112" i="1"/>
  <c r="I112" i="1"/>
  <c r="J112" i="1"/>
  <c r="H112" i="1" s="1"/>
  <c r="K112" i="1"/>
  <c r="L112" i="1"/>
  <c r="M112" i="1"/>
  <c r="N112" i="1"/>
  <c r="O112" i="1"/>
  <c r="P112" i="1"/>
  <c r="Q112" i="1"/>
  <c r="R112" i="1"/>
  <c r="S112" i="1"/>
  <c r="T112" i="1"/>
  <c r="U112" i="1"/>
  <c r="W112" i="1"/>
  <c r="X112" i="1"/>
  <c r="X113" i="1" s="1"/>
  <c r="F113" i="1"/>
  <c r="I113" i="1"/>
  <c r="K113" i="1" s="1"/>
  <c r="L113" i="1"/>
  <c r="P113" i="1"/>
  <c r="T113" i="1"/>
  <c r="U113" i="1"/>
  <c r="I114" i="1"/>
  <c r="J114" i="1"/>
  <c r="E115" i="1" s="1"/>
  <c r="M114" i="1"/>
  <c r="N114" i="1"/>
  <c r="O114" i="1" s="1"/>
  <c r="P114" i="1"/>
  <c r="R114" i="1"/>
  <c r="U114" i="1"/>
  <c r="W114" i="1"/>
  <c r="F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W115" i="1"/>
  <c r="I116" i="1"/>
  <c r="K116" i="1"/>
  <c r="L116" i="1"/>
  <c r="F116" i="1" s="1"/>
  <c r="M116" i="1"/>
  <c r="P116" i="1"/>
  <c r="Q116" i="1"/>
  <c r="S116" i="1"/>
  <c r="T116" i="1"/>
  <c r="U116" i="1"/>
  <c r="I117" i="1"/>
  <c r="J117" i="1" s="1"/>
  <c r="H117" i="1" s="1"/>
  <c r="L117" i="1"/>
  <c r="F117" i="1" s="1"/>
  <c r="N117" i="1"/>
  <c r="O117" i="1" s="1"/>
  <c r="P117" i="1"/>
  <c r="T117" i="1"/>
  <c r="U117" i="1"/>
  <c r="I118" i="1"/>
  <c r="J118" i="1"/>
  <c r="H118" i="1" s="1"/>
  <c r="M118" i="1"/>
  <c r="N118" i="1"/>
  <c r="W118" i="1" s="1"/>
  <c r="R118" i="1"/>
  <c r="S118" i="1"/>
  <c r="U118" i="1"/>
  <c r="H119" i="1"/>
  <c r="I119" i="1"/>
  <c r="J119" i="1"/>
  <c r="K119" i="1"/>
  <c r="L119" i="1"/>
  <c r="F119" i="1" s="1"/>
  <c r="M119" i="1"/>
  <c r="N119" i="1"/>
  <c r="O119" i="1" s="1"/>
  <c r="P119" i="1"/>
  <c r="Q119" i="1"/>
  <c r="R119" i="1"/>
  <c r="S119" i="1"/>
  <c r="T119" i="1"/>
  <c r="U119" i="1"/>
  <c r="W119" i="1"/>
  <c r="E121" i="1"/>
  <c r="I121" i="1"/>
  <c r="L121" i="1" s="1"/>
  <c r="F121" i="1" s="1"/>
  <c r="M121" i="1"/>
  <c r="N121" i="1"/>
  <c r="O121" i="1" s="1"/>
  <c r="Q121" i="1"/>
  <c r="T121" i="1"/>
  <c r="W121" i="1"/>
  <c r="I122" i="1"/>
  <c r="J122" i="1"/>
  <c r="H122" i="1" s="1"/>
  <c r="K122" i="1"/>
  <c r="M122" i="1"/>
  <c r="N122" i="1"/>
  <c r="O122" i="1"/>
  <c r="Q122" i="1"/>
  <c r="R122" i="1"/>
  <c r="S122" i="1"/>
  <c r="U122" i="1"/>
  <c r="W122" i="1"/>
  <c r="E123" i="1"/>
  <c r="I123" i="1"/>
  <c r="J123" i="1"/>
  <c r="H123" i="1" s="1"/>
  <c r="K123" i="1"/>
  <c r="L123" i="1"/>
  <c r="F123" i="1" s="1"/>
  <c r="M123" i="1"/>
  <c r="N123" i="1"/>
  <c r="O123" i="1" s="1"/>
  <c r="P123" i="1"/>
  <c r="Q123" i="1"/>
  <c r="R123" i="1"/>
  <c r="S123" i="1"/>
  <c r="T123" i="1"/>
  <c r="U123" i="1"/>
  <c r="E125" i="1"/>
  <c r="I125" i="1"/>
  <c r="J125" i="1" s="1"/>
  <c r="L125" i="1"/>
  <c r="F125" i="1" s="1"/>
  <c r="N125" i="1"/>
  <c r="O125" i="1" s="1"/>
  <c r="P125" i="1"/>
  <c r="T125" i="1"/>
  <c r="U125" i="1"/>
  <c r="F127" i="1"/>
  <c r="I127" i="1"/>
  <c r="J127" i="1"/>
  <c r="H127" i="1" s="1"/>
  <c r="K127" i="1"/>
  <c r="L127" i="1"/>
  <c r="M127" i="1"/>
  <c r="N127" i="1"/>
  <c r="O127" i="1" s="1"/>
  <c r="P127" i="1"/>
  <c r="Q127" i="1"/>
  <c r="R127" i="1"/>
  <c r="S127" i="1"/>
  <c r="T127" i="1"/>
  <c r="U127" i="1"/>
  <c r="W127" i="1"/>
  <c r="I128" i="1"/>
  <c r="T128" i="1"/>
  <c r="I130" i="1"/>
  <c r="J130" i="1"/>
  <c r="H130" i="1" s="1"/>
  <c r="K130" i="1"/>
  <c r="N130" i="1"/>
  <c r="O130" i="1"/>
  <c r="Q130" i="1"/>
  <c r="S130" i="1"/>
  <c r="U130" i="1"/>
  <c r="W130" i="1"/>
  <c r="H131" i="1"/>
  <c r="I131" i="1"/>
  <c r="J131" i="1"/>
  <c r="K131" i="1"/>
  <c r="L131" i="1"/>
  <c r="F131" i="1" s="1"/>
  <c r="M131" i="1"/>
  <c r="N131" i="1"/>
  <c r="O131" i="1"/>
  <c r="P131" i="1"/>
  <c r="Q131" i="1"/>
  <c r="R131" i="1"/>
  <c r="S131" i="1"/>
  <c r="T131" i="1"/>
  <c r="U131" i="1"/>
  <c r="W131" i="1"/>
  <c r="I133" i="1"/>
  <c r="N133" i="1"/>
  <c r="O133" i="1" s="1"/>
  <c r="T133" i="1"/>
  <c r="I134" i="1"/>
  <c r="J134" i="1" s="1"/>
  <c r="M134" i="1"/>
  <c r="N134" i="1"/>
  <c r="O134" i="1" s="1"/>
  <c r="R134" i="1"/>
  <c r="S134" i="1"/>
  <c r="F135" i="1"/>
  <c r="I135" i="1"/>
  <c r="J135" i="1"/>
  <c r="H135" i="1" s="1"/>
  <c r="K135" i="1"/>
  <c r="L135" i="1"/>
  <c r="M135" i="1"/>
  <c r="N135" i="1"/>
  <c r="O135" i="1" s="1"/>
  <c r="P135" i="1"/>
  <c r="Q135" i="1"/>
  <c r="R135" i="1"/>
  <c r="S135" i="1"/>
  <c r="T135" i="1"/>
  <c r="U135" i="1"/>
  <c r="I136" i="1"/>
  <c r="T136" i="1"/>
  <c r="E138" i="1"/>
  <c r="Y138" i="1" s="1"/>
  <c r="Z138" i="1" s="1"/>
  <c r="I138" i="1"/>
  <c r="J138" i="1"/>
  <c r="H138" i="1" s="1"/>
  <c r="K138" i="1"/>
  <c r="N138" i="1"/>
  <c r="O138" i="1"/>
  <c r="Q138" i="1"/>
  <c r="S138" i="1"/>
  <c r="U138" i="1"/>
  <c r="W138" i="1"/>
  <c r="X138" i="1"/>
  <c r="H139" i="1"/>
  <c r="I139" i="1"/>
  <c r="J139" i="1"/>
  <c r="K139" i="1"/>
  <c r="L139" i="1"/>
  <c r="F139" i="1" s="1"/>
  <c r="M139" i="1"/>
  <c r="N139" i="1"/>
  <c r="O139" i="1"/>
  <c r="P139" i="1"/>
  <c r="Q139" i="1"/>
  <c r="R139" i="1"/>
  <c r="S139" i="1"/>
  <c r="T139" i="1"/>
  <c r="U139" i="1"/>
  <c r="W139" i="1"/>
  <c r="X139" i="1"/>
  <c r="I140" i="1"/>
  <c r="K140" i="1"/>
  <c r="L140" i="1"/>
  <c r="F140" i="1" s="1"/>
  <c r="M140" i="1"/>
  <c r="P140" i="1"/>
  <c r="Q140" i="1"/>
  <c r="S140" i="1"/>
  <c r="T140" i="1"/>
  <c r="U140" i="1"/>
  <c r="X140" i="1"/>
  <c r="X141" i="1" s="1"/>
  <c r="X142" i="1" s="1"/>
  <c r="X143" i="1" s="1"/>
  <c r="X144" i="1" s="1"/>
  <c r="X146" i="1" s="1"/>
  <c r="I141" i="1"/>
  <c r="J141" i="1"/>
  <c r="E142" i="1" s="1"/>
  <c r="L141" i="1"/>
  <c r="F141" i="1" s="1"/>
  <c r="M141" i="1"/>
  <c r="N141" i="1"/>
  <c r="O141" i="1" s="1"/>
  <c r="P141" i="1"/>
  <c r="Q141" i="1"/>
  <c r="R141" i="1"/>
  <c r="U141" i="1"/>
  <c r="W141" i="1"/>
  <c r="F142" i="1"/>
  <c r="I142" i="1"/>
  <c r="J142" i="1"/>
  <c r="H142" i="1" s="1"/>
  <c r="K142" i="1"/>
  <c r="L142" i="1"/>
  <c r="M142" i="1"/>
  <c r="N142" i="1"/>
  <c r="O142" i="1"/>
  <c r="P142" i="1"/>
  <c r="Q142" i="1"/>
  <c r="R142" i="1"/>
  <c r="S142" i="1"/>
  <c r="T142" i="1"/>
  <c r="U142" i="1"/>
  <c r="W142" i="1"/>
  <c r="I143" i="1"/>
  <c r="L143" i="1" s="1"/>
  <c r="F143" i="1" s="1"/>
  <c r="K143" i="1"/>
  <c r="M143" i="1"/>
  <c r="P143" i="1"/>
  <c r="S143" i="1"/>
  <c r="T143" i="1"/>
  <c r="U143" i="1"/>
  <c r="I144" i="1"/>
  <c r="J144" i="1" s="1"/>
  <c r="H144" i="1" s="1"/>
  <c r="L144" i="1"/>
  <c r="F144" i="1" s="1"/>
  <c r="N144" i="1"/>
  <c r="O144" i="1" s="1"/>
  <c r="Q144" i="1"/>
  <c r="U144" i="1"/>
  <c r="I146" i="1"/>
  <c r="L146" i="1" s="1"/>
  <c r="F146" i="1" s="1"/>
  <c r="K146" i="1"/>
  <c r="M146" i="1"/>
  <c r="P146" i="1"/>
  <c r="S146" i="1"/>
  <c r="T146" i="1"/>
  <c r="U146" i="1"/>
  <c r="E148" i="1"/>
  <c r="G148" i="1"/>
  <c r="C151" i="1"/>
  <c r="D151" i="1"/>
  <c r="B152" i="1" s="1"/>
  <c r="E151" i="1"/>
  <c r="I151" i="1"/>
  <c r="J151" i="1"/>
  <c r="K151" i="1"/>
  <c r="L151" i="1"/>
  <c r="M151" i="1"/>
  <c r="N151" i="1"/>
  <c r="O151" i="1" s="1"/>
  <c r="Q151" i="1"/>
  <c r="R151" i="1"/>
  <c r="S151" i="1"/>
  <c r="T151" i="1"/>
  <c r="U151" i="1"/>
  <c r="W151" i="1"/>
  <c r="C152" i="1"/>
  <c r="F152" i="1"/>
  <c r="I152" i="1"/>
  <c r="K152" i="1"/>
  <c r="L152" i="1"/>
  <c r="M152" i="1"/>
  <c r="Q152" i="1"/>
  <c r="S152" i="1"/>
  <c r="T152" i="1"/>
  <c r="U152" i="1"/>
  <c r="E153" i="1"/>
  <c r="I153" i="1"/>
  <c r="K153" i="1" s="1"/>
  <c r="L153" i="1"/>
  <c r="F153" i="1" s="1"/>
  <c r="Q153" i="1"/>
  <c r="T153" i="1"/>
  <c r="X153" i="1"/>
  <c r="X152" i="1" s="1"/>
  <c r="X154" i="1" s="1"/>
  <c r="X157" i="1" s="1"/>
  <c r="X160" i="1" s="1"/>
  <c r="X162" i="1" s="1"/>
  <c r="I154" i="1"/>
  <c r="K154" i="1"/>
  <c r="M154" i="1"/>
  <c r="S154" i="1"/>
  <c r="T154" i="1"/>
  <c r="U154" i="1"/>
  <c r="I155" i="1"/>
  <c r="J155" i="1" s="1"/>
  <c r="N155" i="1"/>
  <c r="O155" i="1" s="1"/>
  <c r="R155" i="1"/>
  <c r="I157" i="1"/>
  <c r="L157" i="1" s="1"/>
  <c r="F157" i="1" s="1"/>
  <c r="K157" i="1"/>
  <c r="M157" i="1"/>
  <c r="Q157" i="1"/>
  <c r="S157" i="1"/>
  <c r="U157" i="1"/>
  <c r="I159" i="1"/>
  <c r="E159" i="1" s="1"/>
  <c r="J159" i="1"/>
  <c r="L159" i="1"/>
  <c r="F159" i="1" s="1"/>
  <c r="M159" i="1"/>
  <c r="N159" i="1"/>
  <c r="W159" i="1" s="1"/>
  <c r="Q159" i="1"/>
  <c r="R159" i="1"/>
  <c r="T159" i="1"/>
  <c r="U159" i="1"/>
  <c r="I160" i="1"/>
  <c r="J160" i="1"/>
  <c r="L160" i="1"/>
  <c r="F160" i="1" s="1"/>
  <c r="M160" i="1"/>
  <c r="N160" i="1"/>
  <c r="W160" i="1" s="1"/>
  <c r="Q160" i="1"/>
  <c r="R160" i="1"/>
  <c r="S160" i="1"/>
  <c r="U160" i="1"/>
  <c r="I161" i="1"/>
  <c r="J161" i="1" s="1"/>
  <c r="M161" i="1"/>
  <c r="Q161" i="1"/>
  <c r="U161" i="1"/>
  <c r="I162" i="1"/>
  <c r="J162" i="1" s="1"/>
  <c r="M162" i="1"/>
  <c r="Q162" i="1"/>
  <c r="U162" i="1"/>
  <c r="C173" i="1"/>
  <c r="I173" i="1"/>
  <c r="J173" i="1" s="1"/>
  <c r="E174" i="1" s="1"/>
  <c r="Q173" i="1"/>
  <c r="U173" i="1"/>
  <c r="F174" i="1"/>
  <c r="I174" i="1"/>
  <c r="J174" i="1"/>
  <c r="L174" i="1"/>
  <c r="M174" i="1"/>
  <c r="Q174" i="1"/>
  <c r="R174" i="1"/>
  <c r="T174" i="1"/>
  <c r="U174" i="1"/>
  <c r="W174" i="1"/>
  <c r="X174" i="1"/>
  <c r="E176" i="1"/>
  <c r="I176" i="1"/>
  <c r="L176" i="1" s="1"/>
  <c r="F176" i="1" s="1"/>
  <c r="K176" i="1"/>
  <c r="M176" i="1"/>
  <c r="Q176" i="1"/>
  <c r="S176" i="1"/>
  <c r="U176" i="1"/>
  <c r="X176" i="1"/>
  <c r="I177" i="1"/>
  <c r="L177" i="1" s="1"/>
  <c r="F177" i="1" s="1"/>
  <c r="K177" i="1"/>
  <c r="M177" i="1"/>
  <c r="Q177" i="1"/>
  <c r="S177" i="1"/>
  <c r="U177" i="1"/>
  <c r="X177" i="1"/>
  <c r="X179" i="1" s="1"/>
  <c r="X180" i="1" s="1"/>
  <c r="X182" i="1" s="1"/>
  <c r="X183" i="1" s="1"/>
  <c r="X186" i="1" s="1"/>
  <c r="I179" i="1"/>
  <c r="J179" i="1"/>
  <c r="L179" i="1"/>
  <c r="F179" i="1" s="1"/>
  <c r="M179" i="1"/>
  <c r="N179" i="1"/>
  <c r="O179" i="1" s="1"/>
  <c r="Q179" i="1"/>
  <c r="R179" i="1"/>
  <c r="T179" i="1"/>
  <c r="U179" i="1"/>
  <c r="W179" i="1"/>
  <c r="I180" i="1"/>
  <c r="E180" i="1" s="1"/>
  <c r="J180" i="1"/>
  <c r="L180" i="1"/>
  <c r="F180" i="1" s="1"/>
  <c r="M180" i="1"/>
  <c r="N180" i="1"/>
  <c r="O180" i="1" s="1"/>
  <c r="Q180" i="1"/>
  <c r="R180" i="1"/>
  <c r="T180" i="1"/>
  <c r="U180" i="1"/>
  <c r="W180" i="1"/>
  <c r="I182" i="1"/>
  <c r="J182" i="1" s="1"/>
  <c r="M182" i="1"/>
  <c r="Q182" i="1"/>
  <c r="U182" i="1"/>
  <c r="I183" i="1"/>
  <c r="J183" i="1" s="1"/>
  <c r="E186" i="1" s="1"/>
  <c r="Q183" i="1"/>
  <c r="U183" i="1"/>
  <c r="I186" i="1"/>
  <c r="L186" i="1" s="1"/>
  <c r="F186" i="1" s="1"/>
  <c r="K186" i="1"/>
  <c r="M186" i="1"/>
  <c r="Q186" i="1"/>
  <c r="S186" i="1"/>
  <c r="U186" i="1"/>
  <c r="W186" i="1"/>
  <c r="I190" i="1"/>
  <c r="K190" i="1" s="1"/>
  <c r="J190" i="1"/>
  <c r="L190" i="1"/>
  <c r="M190" i="1"/>
  <c r="N190" i="1"/>
  <c r="O190" i="1" s="1"/>
  <c r="P190" i="1"/>
  <c r="Q190" i="1"/>
  <c r="R190" i="1"/>
  <c r="T190" i="1"/>
  <c r="U190" i="1"/>
  <c r="W190" i="1"/>
  <c r="I191" i="1"/>
  <c r="J191" i="1"/>
  <c r="K191" i="1"/>
  <c r="L191" i="1"/>
  <c r="M191" i="1"/>
  <c r="N191" i="1"/>
  <c r="O191" i="1" s="1"/>
  <c r="P191" i="1"/>
  <c r="Q191" i="1"/>
  <c r="R191" i="1"/>
  <c r="S191" i="1"/>
  <c r="T191" i="1"/>
  <c r="U191" i="1"/>
  <c r="I192" i="1"/>
  <c r="K192" i="1" s="1"/>
  <c r="J192" i="1"/>
  <c r="L192" i="1"/>
  <c r="M192" i="1"/>
  <c r="N192" i="1"/>
  <c r="O192" i="1" s="1"/>
  <c r="P192" i="1"/>
  <c r="Q192" i="1"/>
  <c r="R192" i="1"/>
  <c r="T192" i="1"/>
  <c r="U192" i="1"/>
  <c r="W192" i="1"/>
  <c r="I193" i="1"/>
  <c r="J193" i="1"/>
  <c r="L193" i="1"/>
  <c r="M193" i="1"/>
  <c r="P193" i="1"/>
  <c r="Q193" i="1"/>
  <c r="R193" i="1"/>
  <c r="T193" i="1"/>
  <c r="U193" i="1"/>
  <c r="W193" i="1"/>
  <c r="I194" i="1"/>
  <c r="K194" i="1" s="1"/>
  <c r="J194" i="1"/>
  <c r="L194" i="1"/>
  <c r="M194" i="1"/>
  <c r="N194" i="1"/>
  <c r="W194" i="1" s="1"/>
  <c r="P194" i="1"/>
  <c r="Q194" i="1"/>
  <c r="R194" i="1"/>
  <c r="T194" i="1"/>
  <c r="U194" i="1"/>
  <c r="H134" i="1" l="1"/>
  <c r="E135" i="1"/>
  <c r="X114" i="1"/>
  <c r="X115" i="1"/>
  <c r="X116" i="1" s="1"/>
  <c r="X117" i="1" s="1"/>
  <c r="X118" i="1" s="1"/>
  <c r="X119" i="1" s="1"/>
  <c r="X121" i="1" s="1"/>
  <c r="X122" i="1" s="1"/>
  <c r="X123" i="1" s="1"/>
  <c r="X125" i="1" s="1"/>
  <c r="X127" i="1" s="1"/>
  <c r="X128" i="1" s="1"/>
  <c r="X130" i="1" s="1"/>
  <c r="X131" i="1" s="1"/>
  <c r="X133" i="1" s="1"/>
  <c r="X134" i="1" s="1"/>
  <c r="X135" i="1" s="1"/>
  <c r="X136" i="1" s="1"/>
  <c r="H125" i="1"/>
  <c r="E127" i="1"/>
  <c r="W191" i="1"/>
  <c r="F151" i="1"/>
  <c r="M183" i="1"/>
  <c r="M173" i="1"/>
  <c r="E136" i="1"/>
  <c r="J136" i="1"/>
  <c r="H136" i="1" s="1"/>
  <c r="N136" i="1"/>
  <c r="R136" i="1"/>
  <c r="W135" i="1"/>
  <c r="K133" i="1"/>
  <c r="S133" i="1"/>
  <c r="E128" i="1"/>
  <c r="J128" i="1"/>
  <c r="N128" i="1"/>
  <c r="R128" i="1"/>
  <c r="L111" i="1"/>
  <c r="F111" i="1" s="1"/>
  <c r="P111" i="1"/>
  <c r="T111" i="1"/>
  <c r="E111" i="1"/>
  <c r="K111" i="1"/>
  <c r="Q111" i="1"/>
  <c r="L109" i="1"/>
  <c r="F109" i="1" s="1"/>
  <c r="P109" i="1"/>
  <c r="T109" i="1"/>
  <c r="E109" i="1"/>
  <c r="J109" i="1"/>
  <c r="N109" i="1"/>
  <c r="R109" i="1"/>
  <c r="L102" i="1"/>
  <c r="F102" i="1" s="1"/>
  <c r="P102" i="1"/>
  <c r="T102" i="1"/>
  <c r="E102" i="1"/>
  <c r="J102" i="1"/>
  <c r="N102" i="1"/>
  <c r="R102" i="1"/>
  <c r="L98" i="1"/>
  <c r="F98" i="1" s="1"/>
  <c r="P98" i="1"/>
  <c r="T98" i="1"/>
  <c r="E98" i="1"/>
  <c r="J98" i="1"/>
  <c r="H98" i="1" s="1"/>
  <c r="N98" i="1"/>
  <c r="R98" i="1"/>
  <c r="K98" i="1"/>
  <c r="S98" i="1"/>
  <c r="O89" i="1"/>
  <c r="W89" i="1"/>
  <c r="I195" i="1"/>
  <c r="S194" i="1"/>
  <c r="O194" i="1"/>
  <c r="S192" i="1"/>
  <c r="S190" i="1"/>
  <c r="T186" i="1"/>
  <c r="J186" i="1"/>
  <c r="T183" i="1"/>
  <c r="L183" i="1"/>
  <c r="F183" i="1" s="1"/>
  <c r="T182" i="1"/>
  <c r="L182" i="1"/>
  <c r="F182" i="1" s="1"/>
  <c r="S180" i="1"/>
  <c r="K180" i="1"/>
  <c r="S179" i="1"/>
  <c r="K179" i="1"/>
  <c r="R177" i="1"/>
  <c r="N177" i="1"/>
  <c r="J177" i="1"/>
  <c r="E179" i="1" s="1"/>
  <c r="R176" i="1"/>
  <c r="N176" i="1"/>
  <c r="J176" i="1"/>
  <c r="E177" i="1" s="1"/>
  <c r="T173" i="1"/>
  <c r="L173" i="1"/>
  <c r="T162" i="1"/>
  <c r="L162" i="1"/>
  <c r="F162" i="1" s="1"/>
  <c r="T161" i="1"/>
  <c r="L161" i="1"/>
  <c r="F161" i="1" s="1"/>
  <c r="T160" i="1"/>
  <c r="O160" i="1"/>
  <c r="K160" i="1"/>
  <c r="S159" i="1"/>
  <c r="O159" i="1"/>
  <c r="K159" i="1"/>
  <c r="R157" i="1"/>
  <c r="N157" i="1"/>
  <c r="J157" i="1"/>
  <c r="E160" i="1" s="1"/>
  <c r="U155" i="1"/>
  <c r="Q155" i="1"/>
  <c r="M155" i="1"/>
  <c r="Q154" i="1"/>
  <c r="L154" i="1"/>
  <c r="F154" i="1" s="1"/>
  <c r="U153" i="1"/>
  <c r="J152" i="1"/>
  <c r="E154" i="1" s="1"/>
  <c r="N152" i="1"/>
  <c r="R152" i="1"/>
  <c r="Q146" i="1"/>
  <c r="W144" i="1"/>
  <c r="P144" i="1"/>
  <c r="Q143" i="1"/>
  <c r="K141" i="1"/>
  <c r="T141" i="1"/>
  <c r="L138" i="1"/>
  <c r="F138" i="1" s="1"/>
  <c r="P138" i="1"/>
  <c r="T138" i="1"/>
  <c r="S136" i="1"/>
  <c r="M136" i="1"/>
  <c r="W134" i="1"/>
  <c r="Q134" i="1"/>
  <c r="K134" i="1"/>
  <c r="R133" i="1"/>
  <c r="M133" i="1"/>
  <c r="L130" i="1"/>
  <c r="F130" i="1" s="1"/>
  <c r="P130" i="1"/>
  <c r="T130" i="1"/>
  <c r="S128" i="1"/>
  <c r="M128" i="1"/>
  <c r="U111" i="1"/>
  <c r="N111" i="1"/>
  <c r="Q109" i="1"/>
  <c r="Q102" i="1"/>
  <c r="Q98" i="1"/>
  <c r="E96" i="1"/>
  <c r="J96" i="1"/>
  <c r="N96" i="1"/>
  <c r="R96" i="1"/>
  <c r="L96" i="1"/>
  <c r="F96" i="1" s="1"/>
  <c r="P96" i="1"/>
  <c r="T96" i="1"/>
  <c r="M96" i="1"/>
  <c r="U96" i="1"/>
  <c r="W93" i="1"/>
  <c r="W155" i="1"/>
  <c r="I187" i="1"/>
  <c r="S183" i="1"/>
  <c r="K183" i="1"/>
  <c r="E183" i="1"/>
  <c r="S182" i="1"/>
  <c r="K182" i="1"/>
  <c r="E182" i="1"/>
  <c r="S173" i="1"/>
  <c r="E173" i="1"/>
  <c r="D173" i="1" s="1"/>
  <c r="S162" i="1"/>
  <c r="K162" i="1"/>
  <c r="E162" i="1"/>
  <c r="S161" i="1"/>
  <c r="K161" i="1"/>
  <c r="E161" i="1"/>
  <c r="T155" i="1"/>
  <c r="L155" i="1"/>
  <c r="F155" i="1" s="1"/>
  <c r="E155" i="1"/>
  <c r="J153" i="1"/>
  <c r="E152" i="1" s="1"/>
  <c r="D152" i="1" s="1"/>
  <c r="N153" i="1"/>
  <c r="R153" i="1"/>
  <c r="K144" i="1"/>
  <c r="T144" i="1"/>
  <c r="H141" i="1"/>
  <c r="E140" i="1"/>
  <c r="J140" i="1"/>
  <c r="N140" i="1"/>
  <c r="R140" i="1"/>
  <c r="E139" i="1"/>
  <c r="R138" i="1"/>
  <c r="M138" i="1"/>
  <c r="Q136" i="1"/>
  <c r="L136" i="1"/>
  <c r="F136" i="1" s="1"/>
  <c r="U134" i="1"/>
  <c r="W133" i="1"/>
  <c r="Q133" i="1"/>
  <c r="L133" i="1"/>
  <c r="F133" i="1" s="1"/>
  <c r="E133" i="1"/>
  <c r="E131" i="1"/>
  <c r="R130" i="1"/>
  <c r="M130" i="1"/>
  <c r="Q128" i="1"/>
  <c r="L128" i="1"/>
  <c r="F128" i="1" s="1"/>
  <c r="Q125" i="1"/>
  <c r="W123" i="1"/>
  <c r="R121" i="1"/>
  <c r="O118" i="1"/>
  <c r="L118" i="1"/>
  <c r="F118" i="1" s="1"/>
  <c r="P118" i="1"/>
  <c r="T118" i="1"/>
  <c r="E118" i="1"/>
  <c r="K118" i="1"/>
  <c r="Q118" i="1"/>
  <c r="Q117" i="1"/>
  <c r="K114" i="1"/>
  <c r="T114" i="1"/>
  <c r="L114" i="1"/>
  <c r="F114" i="1" s="1"/>
  <c r="Q114" i="1"/>
  <c r="Q113" i="1"/>
  <c r="S111" i="1"/>
  <c r="M111" i="1"/>
  <c r="M109" i="1"/>
  <c r="O108" i="1"/>
  <c r="W108" i="1"/>
  <c r="M102" i="1"/>
  <c r="O101" i="1"/>
  <c r="W101" i="1"/>
  <c r="Q96" i="1"/>
  <c r="W90" i="1"/>
  <c r="H85" i="1"/>
  <c r="E86" i="1"/>
  <c r="K173" i="1"/>
  <c r="K187" i="1" s="1"/>
  <c r="R186" i="1"/>
  <c r="R183" i="1"/>
  <c r="N183" i="1"/>
  <c r="R182" i="1"/>
  <c r="N182" i="1"/>
  <c r="T177" i="1"/>
  <c r="T176" i="1"/>
  <c r="R173" i="1"/>
  <c r="N173" i="1"/>
  <c r="I170" i="1"/>
  <c r="R162" i="1"/>
  <c r="N162" i="1"/>
  <c r="R161" i="1"/>
  <c r="N161" i="1"/>
  <c r="T157" i="1"/>
  <c r="X155" i="1"/>
  <c r="X159" i="1" s="1"/>
  <c r="X161" i="1" s="1"/>
  <c r="S155" i="1"/>
  <c r="K155" i="1"/>
  <c r="K170" i="1" s="1"/>
  <c r="J154" i="1"/>
  <c r="E157" i="1" s="1"/>
  <c r="N154" i="1"/>
  <c r="R154" i="1"/>
  <c r="S153" i="1"/>
  <c r="M153" i="1"/>
  <c r="E146" i="1"/>
  <c r="J146" i="1"/>
  <c r="H146" i="1" s="1"/>
  <c r="N146" i="1"/>
  <c r="R146" i="1"/>
  <c r="R144" i="1"/>
  <c r="M144" i="1"/>
  <c r="E143" i="1"/>
  <c r="J143" i="1"/>
  <c r="N143" i="1"/>
  <c r="R143" i="1"/>
  <c r="U136" i="1"/>
  <c r="P136" i="1"/>
  <c r="K136" i="1"/>
  <c r="L134" i="1"/>
  <c r="F134" i="1" s="1"/>
  <c r="P134" i="1"/>
  <c r="T134" i="1"/>
  <c r="U133" i="1"/>
  <c r="P133" i="1"/>
  <c r="J133" i="1"/>
  <c r="H133" i="1" s="1"/>
  <c r="U128" i="1"/>
  <c r="P128" i="1"/>
  <c r="K128" i="1"/>
  <c r="W125" i="1"/>
  <c r="K125" i="1"/>
  <c r="S125" i="1"/>
  <c r="M125" i="1"/>
  <c r="R125" i="1"/>
  <c r="K121" i="1"/>
  <c r="S121" i="1"/>
  <c r="J121" i="1"/>
  <c r="P121" i="1"/>
  <c r="U121" i="1"/>
  <c r="E119" i="1"/>
  <c r="W117" i="1"/>
  <c r="K117" i="1"/>
  <c r="S117" i="1"/>
  <c r="M117" i="1"/>
  <c r="R117" i="1"/>
  <c r="H114" i="1"/>
  <c r="E113" i="1"/>
  <c r="J113" i="1"/>
  <c r="H113" i="1" s="1"/>
  <c r="N113" i="1"/>
  <c r="R113" i="1"/>
  <c r="M113" i="1"/>
  <c r="S113" i="1"/>
  <c r="R111" i="1"/>
  <c r="J111" i="1"/>
  <c r="U109" i="1"/>
  <c r="K109" i="1"/>
  <c r="U102" i="1"/>
  <c r="K102" i="1"/>
  <c r="M98" i="1"/>
  <c r="L89" i="1"/>
  <c r="F89" i="1" s="1"/>
  <c r="P89" i="1"/>
  <c r="T89" i="1"/>
  <c r="E89" i="1"/>
  <c r="J89" i="1"/>
  <c r="U89" i="1"/>
  <c r="K89" i="1"/>
  <c r="Q89" i="1"/>
  <c r="M89" i="1"/>
  <c r="R89" i="1"/>
  <c r="L122" i="1"/>
  <c r="F122" i="1" s="1"/>
  <c r="P122" i="1"/>
  <c r="T122" i="1"/>
  <c r="E116" i="1"/>
  <c r="J116" i="1"/>
  <c r="N116" i="1"/>
  <c r="R116" i="1"/>
  <c r="J107" i="1"/>
  <c r="N107" i="1"/>
  <c r="R107" i="1"/>
  <c r="L107" i="1"/>
  <c r="F107" i="1" s="1"/>
  <c r="P107" i="1"/>
  <c r="T107" i="1"/>
  <c r="L106" i="1"/>
  <c r="F106" i="1" s="1"/>
  <c r="P106" i="1"/>
  <c r="U106" i="1"/>
  <c r="E106" i="1"/>
  <c r="J106" i="1"/>
  <c r="H106" i="1" s="1"/>
  <c r="N106" i="1"/>
  <c r="R106" i="1"/>
  <c r="E100" i="1"/>
  <c r="J100" i="1"/>
  <c r="N100" i="1"/>
  <c r="R100" i="1"/>
  <c r="L100" i="1"/>
  <c r="F100" i="1" s="1"/>
  <c r="P100" i="1"/>
  <c r="T100" i="1"/>
  <c r="S110" i="1"/>
  <c r="S103" i="1"/>
  <c r="S95" i="1"/>
  <c r="R94" i="1"/>
  <c r="N94" i="1"/>
  <c r="J94" i="1"/>
  <c r="E94" i="1"/>
  <c r="R91" i="1"/>
  <c r="N91" i="1"/>
  <c r="J91" i="1"/>
  <c r="E91" i="1"/>
  <c r="W88" i="1"/>
  <c r="K88" i="1"/>
  <c r="K148" i="1" s="1"/>
  <c r="S88" i="1"/>
  <c r="M88" i="1"/>
  <c r="R88" i="1"/>
  <c r="Q85" i="1"/>
  <c r="Q84" i="1"/>
  <c r="W77" i="1"/>
  <c r="E73" i="1"/>
  <c r="E71" i="1"/>
  <c r="H62" i="1"/>
  <c r="E63" i="1"/>
  <c r="L85" i="1"/>
  <c r="P85" i="1"/>
  <c r="T85" i="1"/>
  <c r="M85" i="1"/>
  <c r="R85" i="1"/>
  <c r="E84" i="1"/>
  <c r="J84" i="1"/>
  <c r="H84" i="1" s="1"/>
  <c r="N84" i="1"/>
  <c r="R84" i="1"/>
  <c r="M84" i="1"/>
  <c r="S84" i="1"/>
  <c r="E78" i="1"/>
  <c r="L77" i="1"/>
  <c r="F77" i="1" s="1"/>
  <c r="P77" i="1"/>
  <c r="T77" i="1"/>
  <c r="M77" i="1"/>
  <c r="R77" i="1"/>
  <c r="J77" i="1"/>
  <c r="H77" i="1" s="1"/>
  <c r="U77" i="1"/>
  <c r="J76" i="1"/>
  <c r="H76" i="1" s="1"/>
  <c r="N76" i="1"/>
  <c r="R76" i="1"/>
  <c r="M76" i="1"/>
  <c r="T76" i="1"/>
  <c r="K76" i="1"/>
  <c r="P76" i="1"/>
  <c r="K75" i="1"/>
  <c r="Q75" i="1"/>
  <c r="U75" i="1"/>
  <c r="M75" i="1"/>
  <c r="T75" i="1"/>
  <c r="J75" i="1"/>
  <c r="H75" i="1" s="1"/>
  <c r="R75" i="1"/>
  <c r="T94" i="1"/>
  <c r="P94" i="1"/>
  <c r="U91" i="1"/>
  <c r="P91" i="1"/>
  <c r="U85" i="1"/>
  <c r="N85" i="1"/>
  <c r="E85" i="1"/>
  <c r="U84" i="1"/>
  <c r="Q77" i="1"/>
  <c r="E77" i="1"/>
  <c r="Q76" i="1"/>
  <c r="S75" i="1"/>
  <c r="E75" i="1"/>
  <c r="W73" i="1"/>
  <c r="W70" i="1"/>
  <c r="O70" i="1"/>
  <c r="W57" i="1"/>
  <c r="O57" i="1"/>
  <c r="E87" i="1"/>
  <c r="J87" i="1"/>
  <c r="N87" i="1"/>
  <c r="R87" i="1"/>
  <c r="Q78" i="1"/>
  <c r="K78" i="1"/>
  <c r="Q72" i="1"/>
  <c r="K72" i="1"/>
  <c r="R71" i="1"/>
  <c r="M71" i="1"/>
  <c r="W68" i="1"/>
  <c r="Q68" i="1"/>
  <c r="L68" i="1"/>
  <c r="F68" i="1" s="1"/>
  <c r="S67" i="1"/>
  <c r="M67" i="1"/>
  <c r="L66" i="1"/>
  <c r="F66" i="1" s="1"/>
  <c r="P66" i="1"/>
  <c r="U66" i="1"/>
  <c r="E65" i="1"/>
  <c r="J65" i="1"/>
  <c r="N65" i="1"/>
  <c r="R65" i="1"/>
  <c r="L63" i="1"/>
  <c r="F63" i="1" s="1"/>
  <c r="P63" i="1"/>
  <c r="T63" i="1"/>
  <c r="U62" i="1"/>
  <c r="P62" i="1"/>
  <c r="Q60" i="1"/>
  <c r="K60" i="1"/>
  <c r="E58" i="1"/>
  <c r="K62" i="1"/>
  <c r="S62" i="1"/>
  <c r="H52" i="1"/>
  <c r="E53" i="1"/>
  <c r="X52" i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5" i="1" s="1"/>
  <c r="X66" i="1" s="1"/>
  <c r="X67" i="1" s="1"/>
  <c r="X68" i="1" s="1"/>
  <c r="X70" i="1" s="1"/>
  <c r="X71" i="1" s="1"/>
  <c r="X72" i="1" s="1"/>
  <c r="X73" i="1" s="1"/>
  <c r="X75" i="1" s="1"/>
  <c r="X76" i="1" s="1"/>
  <c r="X51" i="1"/>
  <c r="L78" i="1"/>
  <c r="F78" i="1" s="1"/>
  <c r="P78" i="1"/>
  <c r="U78" i="1"/>
  <c r="L72" i="1"/>
  <c r="F72" i="1" s="1"/>
  <c r="P72" i="1"/>
  <c r="T72" i="1"/>
  <c r="U71" i="1"/>
  <c r="P71" i="1"/>
  <c r="K68" i="1"/>
  <c r="S68" i="1"/>
  <c r="U67" i="1"/>
  <c r="P67" i="1"/>
  <c r="R62" i="1"/>
  <c r="M62" i="1"/>
  <c r="L60" i="1"/>
  <c r="F60" i="1" s="1"/>
  <c r="P60" i="1"/>
  <c r="T60" i="1"/>
  <c r="L57" i="1"/>
  <c r="F57" i="1" s="1"/>
  <c r="P57" i="1"/>
  <c r="T57" i="1"/>
  <c r="E57" i="1"/>
  <c r="K57" i="1"/>
  <c r="Q57" i="1"/>
  <c r="M57" i="1"/>
  <c r="R57" i="1"/>
  <c r="K71" i="1"/>
  <c r="S71" i="1"/>
  <c r="E67" i="1"/>
  <c r="J67" i="1"/>
  <c r="H67" i="1" s="1"/>
  <c r="N67" i="1"/>
  <c r="R67" i="1"/>
  <c r="W62" i="1"/>
  <c r="Q62" i="1"/>
  <c r="L62" i="1"/>
  <c r="F62" i="1" s="1"/>
  <c r="E62" i="1"/>
  <c r="E61" i="1"/>
  <c r="R60" i="1"/>
  <c r="M60" i="1"/>
  <c r="K59" i="1"/>
  <c r="S59" i="1"/>
  <c r="H53" i="1"/>
  <c r="E54" i="1"/>
  <c r="E44" i="1"/>
  <c r="J44" i="1"/>
  <c r="N44" i="1"/>
  <c r="R44" i="1"/>
  <c r="M44" i="1"/>
  <c r="S44" i="1"/>
  <c r="E40" i="1"/>
  <c r="J40" i="1"/>
  <c r="H40" i="1" s="1"/>
  <c r="N40" i="1"/>
  <c r="R40" i="1"/>
  <c r="M40" i="1"/>
  <c r="S40" i="1"/>
  <c r="K40" i="1"/>
  <c r="Q40" i="1"/>
  <c r="O10" i="1"/>
  <c r="W10" i="1"/>
  <c r="R58" i="1"/>
  <c r="N58" i="1"/>
  <c r="J58" i="1"/>
  <c r="K56" i="1"/>
  <c r="S56" i="1"/>
  <c r="U55" i="1"/>
  <c r="P55" i="1"/>
  <c r="L53" i="1"/>
  <c r="F53" i="1" s="1"/>
  <c r="P53" i="1"/>
  <c r="T53" i="1"/>
  <c r="U52" i="1"/>
  <c r="P52" i="1"/>
  <c r="T48" i="1"/>
  <c r="M48" i="1"/>
  <c r="W47" i="1"/>
  <c r="U44" i="1"/>
  <c r="L42" i="1"/>
  <c r="F42" i="1" s="1"/>
  <c r="P42" i="1"/>
  <c r="T42" i="1"/>
  <c r="E42" i="1"/>
  <c r="K42" i="1"/>
  <c r="Q42" i="1"/>
  <c r="P40" i="1"/>
  <c r="H38" i="1"/>
  <c r="E39" i="1"/>
  <c r="H21" i="1"/>
  <c r="E22" i="1"/>
  <c r="E55" i="1"/>
  <c r="J55" i="1"/>
  <c r="N55" i="1"/>
  <c r="R55" i="1"/>
  <c r="K52" i="1"/>
  <c r="S52" i="1"/>
  <c r="S48" i="1"/>
  <c r="T44" i="1"/>
  <c r="L44" i="1"/>
  <c r="F44" i="1" s="1"/>
  <c r="E43" i="1"/>
  <c r="U42" i="1"/>
  <c r="N42" i="1"/>
  <c r="L38" i="1"/>
  <c r="F38" i="1" s="1"/>
  <c r="P38" i="1"/>
  <c r="T38" i="1"/>
  <c r="E38" i="1"/>
  <c r="K38" i="1"/>
  <c r="Q38" i="1"/>
  <c r="M38" i="1"/>
  <c r="S38" i="1"/>
  <c r="N38" i="1"/>
  <c r="U38" i="1"/>
  <c r="W36" i="1"/>
  <c r="O36" i="1"/>
  <c r="H13" i="1"/>
  <c r="E14" i="1"/>
  <c r="O51" i="1"/>
  <c r="E48" i="1"/>
  <c r="J48" i="1"/>
  <c r="N48" i="1"/>
  <c r="R48" i="1"/>
  <c r="K48" i="1"/>
  <c r="P48" i="1"/>
  <c r="U48" i="1"/>
  <c r="E47" i="1"/>
  <c r="Q44" i="1"/>
  <c r="K44" i="1"/>
  <c r="S42" i="1"/>
  <c r="M42" i="1"/>
  <c r="U40" i="1"/>
  <c r="L40" i="1"/>
  <c r="F40" i="1" s="1"/>
  <c r="R38" i="1"/>
  <c r="H32" i="1"/>
  <c r="E33" i="1"/>
  <c r="K37" i="1"/>
  <c r="S37" i="1"/>
  <c r="M37" i="1"/>
  <c r="R37" i="1"/>
  <c r="L32" i="1"/>
  <c r="F32" i="1" s="1"/>
  <c r="P32" i="1"/>
  <c r="T32" i="1"/>
  <c r="M32" i="1"/>
  <c r="R32" i="1"/>
  <c r="L46" i="1"/>
  <c r="F46" i="1" s="1"/>
  <c r="P46" i="1"/>
  <c r="T46" i="1"/>
  <c r="U37" i="1"/>
  <c r="N37" i="1"/>
  <c r="E37" i="1"/>
  <c r="U32" i="1"/>
  <c r="N32" i="1"/>
  <c r="E32" i="1"/>
  <c r="H25" i="1"/>
  <c r="E26" i="1"/>
  <c r="H24" i="1"/>
  <c r="E25" i="1"/>
  <c r="K19" i="1"/>
  <c r="S19" i="1"/>
  <c r="M19" i="1"/>
  <c r="R19" i="1"/>
  <c r="J19" i="1"/>
  <c r="H19" i="1" s="1"/>
  <c r="Q19" i="1"/>
  <c r="L19" i="1"/>
  <c r="F19" i="1" s="1"/>
  <c r="T19" i="1"/>
  <c r="N19" i="1"/>
  <c r="U19" i="1"/>
  <c r="H16" i="1"/>
  <c r="E17" i="1"/>
  <c r="L35" i="1"/>
  <c r="F35" i="1" s="1"/>
  <c r="P35" i="1"/>
  <c r="T35" i="1"/>
  <c r="E34" i="1"/>
  <c r="J34" i="1"/>
  <c r="N34" i="1"/>
  <c r="R34" i="1"/>
  <c r="K31" i="1"/>
  <c r="S31" i="1"/>
  <c r="U30" i="1"/>
  <c r="P30" i="1"/>
  <c r="W27" i="1"/>
  <c r="Q27" i="1"/>
  <c r="L27" i="1"/>
  <c r="F27" i="1" s="1"/>
  <c r="L25" i="1"/>
  <c r="F25" i="1" s="1"/>
  <c r="P25" i="1"/>
  <c r="T25" i="1"/>
  <c r="U24" i="1"/>
  <c r="P24" i="1"/>
  <c r="Q23" i="1"/>
  <c r="U21" i="1"/>
  <c r="P20" i="1"/>
  <c r="W16" i="1"/>
  <c r="L16" i="1"/>
  <c r="F16" i="1" s="1"/>
  <c r="P16" i="1"/>
  <c r="T16" i="1"/>
  <c r="M16" i="1"/>
  <c r="R16" i="1"/>
  <c r="W13" i="1"/>
  <c r="L13" i="1"/>
  <c r="F13" i="1" s="1"/>
  <c r="P13" i="1"/>
  <c r="T13" i="1"/>
  <c r="M13" i="1"/>
  <c r="R13" i="1"/>
  <c r="E11" i="1"/>
  <c r="J11" i="1"/>
  <c r="N11" i="1"/>
  <c r="R11" i="1"/>
  <c r="K11" i="1"/>
  <c r="P11" i="1"/>
  <c r="U11" i="1"/>
  <c r="M11" i="1"/>
  <c r="S11" i="1"/>
  <c r="K8" i="1"/>
  <c r="S8" i="1"/>
  <c r="J8" i="1"/>
  <c r="P8" i="1"/>
  <c r="U8" i="1"/>
  <c r="M8" i="1"/>
  <c r="R8" i="1"/>
  <c r="E30" i="1"/>
  <c r="J30" i="1"/>
  <c r="N30" i="1"/>
  <c r="R30" i="1"/>
  <c r="K24" i="1"/>
  <c r="S24" i="1"/>
  <c r="L21" i="1"/>
  <c r="F21" i="1" s="1"/>
  <c r="P21" i="1"/>
  <c r="T21" i="1"/>
  <c r="E20" i="1"/>
  <c r="J20" i="1"/>
  <c r="N20" i="1"/>
  <c r="R20" i="1"/>
  <c r="S30" i="1"/>
  <c r="M30" i="1"/>
  <c r="K27" i="1"/>
  <c r="S27" i="1"/>
  <c r="R24" i="1"/>
  <c r="M24" i="1"/>
  <c r="E23" i="1"/>
  <c r="J23" i="1"/>
  <c r="N23" i="1"/>
  <c r="R23" i="1"/>
  <c r="R21" i="1"/>
  <c r="M21" i="1"/>
  <c r="T20" i="1"/>
  <c r="M20" i="1"/>
  <c r="S16" i="1"/>
  <c r="K16" i="1"/>
  <c r="S13" i="1"/>
  <c r="K13" i="1"/>
  <c r="N8" i="1"/>
  <c r="L5" i="1"/>
  <c r="F5" i="1" s="1"/>
  <c r="P5" i="1"/>
  <c r="T5" i="1"/>
  <c r="J5" i="1"/>
  <c r="U5" i="1"/>
  <c r="M5" i="1"/>
  <c r="R5" i="1"/>
  <c r="E7" i="1"/>
  <c r="J7" i="1"/>
  <c r="N7" i="1"/>
  <c r="R7" i="1"/>
  <c r="E18" i="1"/>
  <c r="J18" i="1"/>
  <c r="H18" i="1" s="1"/>
  <c r="N18" i="1"/>
  <c r="R18" i="1"/>
  <c r="E15" i="1"/>
  <c r="J15" i="1"/>
  <c r="N15" i="1"/>
  <c r="R15" i="1"/>
  <c r="K12" i="1"/>
  <c r="S12" i="1"/>
  <c r="L9" i="1"/>
  <c r="F9" i="1" s="1"/>
  <c r="P9" i="1"/>
  <c r="T9" i="1"/>
  <c r="Q7" i="1"/>
  <c r="L7" i="1"/>
  <c r="F7" i="1" s="1"/>
  <c r="S2" i="1"/>
  <c r="K2" i="1"/>
  <c r="K81" i="1" s="1"/>
  <c r="T3" i="1"/>
  <c r="P3" i="1"/>
  <c r="L3" i="1"/>
  <c r="R2" i="1"/>
  <c r="N2" i="1"/>
  <c r="J2" i="1"/>
  <c r="H2" i="1" s="1"/>
  <c r="E2" i="1"/>
  <c r="Y2" i="1" s="1"/>
  <c r="Z2" i="1" s="1"/>
  <c r="S4" i="1"/>
  <c r="R3" i="1"/>
  <c r="N3" i="1"/>
  <c r="J3" i="1"/>
  <c r="T2" i="1"/>
  <c r="P2" i="1"/>
  <c r="P186" i="1" s="1"/>
  <c r="B174" i="1" l="1"/>
  <c r="C174" i="1"/>
  <c r="D174" i="1" s="1"/>
  <c r="B153" i="1"/>
  <c r="C153" i="1"/>
  <c r="D153" i="1" s="1"/>
  <c r="W107" i="1"/>
  <c r="O107" i="1"/>
  <c r="W116" i="1"/>
  <c r="O116" i="1"/>
  <c r="H89" i="1"/>
  <c r="E90" i="1"/>
  <c r="W161" i="1"/>
  <c r="O161" i="1"/>
  <c r="E114" i="1"/>
  <c r="H140" i="1"/>
  <c r="E141" i="1"/>
  <c r="H96" i="1"/>
  <c r="E97" i="1"/>
  <c r="W157" i="1"/>
  <c r="O157" i="1"/>
  <c r="P162" i="1"/>
  <c r="P182" i="1"/>
  <c r="W109" i="1"/>
  <c r="O109" i="1"/>
  <c r="E130" i="1"/>
  <c r="H128" i="1"/>
  <c r="H30" i="1"/>
  <c r="E31" i="1"/>
  <c r="O37" i="1"/>
  <c r="W37" i="1"/>
  <c r="E66" i="1"/>
  <c r="H65" i="1"/>
  <c r="W91" i="1"/>
  <c r="O91" i="1"/>
  <c r="Y106" i="1"/>
  <c r="Z106" i="1" s="1"/>
  <c r="H3" i="1"/>
  <c r="E4" i="1"/>
  <c r="F3" i="1"/>
  <c r="L81" i="1"/>
  <c r="M82" i="1" s="1"/>
  <c r="O8" i="1"/>
  <c r="W8" i="1"/>
  <c r="W23" i="1"/>
  <c r="O23" i="1"/>
  <c r="O20" i="1"/>
  <c r="W20" i="1"/>
  <c r="H44" i="1"/>
  <c r="E46" i="1"/>
  <c r="W87" i="1"/>
  <c r="O87" i="1"/>
  <c r="E76" i="1"/>
  <c r="W84" i="1"/>
  <c r="O84" i="1"/>
  <c r="W100" i="1"/>
  <c r="O100" i="1"/>
  <c r="H107" i="1"/>
  <c r="E108" i="1"/>
  <c r="H116" i="1"/>
  <c r="E117" i="1"/>
  <c r="W143" i="1"/>
  <c r="O143" i="1"/>
  <c r="W154" i="1"/>
  <c r="O154" i="1"/>
  <c r="W173" i="1"/>
  <c r="O173" i="1"/>
  <c r="P177" i="1"/>
  <c r="W183" i="1"/>
  <c r="O183" i="1"/>
  <c r="Y139" i="1"/>
  <c r="Z139" i="1" s="1"/>
  <c r="W111" i="1"/>
  <c r="O111" i="1"/>
  <c r="P161" i="1"/>
  <c r="W177" i="1"/>
  <c r="O177" i="1"/>
  <c r="W102" i="1"/>
  <c r="O102" i="1"/>
  <c r="H109" i="1"/>
  <c r="E110" i="1"/>
  <c r="E16" i="1"/>
  <c r="H15" i="1"/>
  <c r="E8" i="1"/>
  <c r="H7" i="1"/>
  <c r="H11" i="1"/>
  <c r="E12" i="1"/>
  <c r="W48" i="1"/>
  <c r="O48" i="1"/>
  <c r="H55" i="1"/>
  <c r="E56" i="1"/>
  <c r="O85" i="1"/>
  <c r="W85" i="1"/>
  <c r="F85" i="1"/>
  <c r="L148" i="1"/>
  <c r="M149" i="1" s="1"/>
  <c r="W94" i="1"/>
  <c r="O94" i="1"/>
  <c r="Y15" i="1"/>
  <c r="Z15" i="1" s="1"/>
  <c r="H5" i="1"/>
  <c r="E6" i="1"/>
  <c r="O32" i="1"/>
  <c r="W32" i="1"/>
  <c r="H48" i="1"/>
  <c r="E49" i="1"/>
  <c r="W38" i="1"/>
  <c r="O38" i="1"/>
  <c r="W3" i="1"/>
  <c r="O3" i="1"/>
  <c r="D2" i="1"/>
  <c r="E24" i="1"/>
  <c r="H23" i="1"/>
  <c r="E3" i="1"/>
  <c r="H20" i="1"/>
  <c r="E21" i="1"/>
  <c r="H8" i="1"/>
  <c r="E9" i="1"/>
  <c r="O34" i="1"/>
  <c r="W34" i="1"/>
  <c r="O19" i="1"/>
  <c r="W19" i="1"/>
  <c r="W42" i="1"/>
  <c r="O42" i="1"/>
  <c r="H58" i="1"/>
  <c r="E59" i="1"/>
  <c r="W40" i="1"/>
  <c r="O40" i="1"/>
  <c r="E88" i="1"/>
  <c r="H87" i="1"/>
  <c r="E68" i="1"/>
  <c r="H100" i="1"/>
  <c r="E101" i="1"/>
  <c r="W106" i="1"/>
  <c r="O106" i="1"/>
  <c r="E107" i="1"/>
  <c r="H111" i="1"/>
  <c r="E112" i="1"/>
  <c r="H143" i="1"/>
  <c r="E144" i="1"/>
  <c r="P157" i="1"/>
  <c r="W162" i="1"/>
  <c r="O162" i="1"/>
  <c r="W153" i="1"/>
  <c r="O153" i="1"/>
  <c r="P155" i="1"/>
  <c r="E134" i="1"/>
  <c r="W152" i="1"/>
  <c r="O152" i="1"/>
  <c r="F173" i="1"/>
  <c r="L187" i="1"/>
  <c r="W176" i="1"/>
  <c r="O176" i="1"/>
  <c r="W98" i="1"/>
  <c r="O98" i="1"/>
  <c r="H102" i="1"/>
  <c r="E103" i="1"/>
  <c r="W136" i="1"/>
  <c r="O136" i="1"/>
  <c r="L170" i="1"/>
  <c r="W44" i="1"/>
  <c r="O44" i="1"/>
  <c r="W67" i="1"/>
  <c r="O67" i="1"/>
  <c r="P174" i="1"/>
  <c r="P159" i="1"/>
  <c r="P179" i="1"/>
  <c r="P180" i="1"/>
  <c r="W2" i="1"/>
  <c r="O2" i="1"/>
  <c r="O15" i="1"/>
  <c r="W15" i="1"/>
  <c r="W18" i="1"/>
  <c r="O18" i="1"/>
  <c r="W7" i="1"/>
  <c r="O7" i="1"/>
  <c r="W30" i="1"/>
  <c r="O30" i="1"/>
  <c r="W11" i="1"/>
  <c r="O11" i="1"/>
  <c r="E35" i="1"/>
  <c r="H34" i="1"/>
  <c r="E19" i="1"/>
  <c r="W55" i="1"/>
  <c r="O55" i="1"/>
  <c r="W58" i="1"/>
  <c r="O58" i="1"/>
  <c r="W65" i="1"/>
  <c r="O65" i="1"/>
  <c r="W76" i="1"/>
  <c r="O76" i="1"/>
  <c r="Y84" i="1"/>
  <c r="Z84" i="1" s="1"/>
  <c r="D84" i="1"/>
  <c r="H91" i="1"/>
  <c r="E93" i="1"/>
  <c r="H94" i="1"/>
  <c r="E95" i="1"/>
  <c r="Y100" i="1"/>
  <c r="Z100" i="1" s="1"/>
  <c r="W113" i="1"/>
  <c r="O113" i="1"/>
  <c r="H121" i="1"/>
  <c r="E122" i="1"/>
  <c r="W146" i="1"/>
  <c r="O146" i="1"/>
  <c r="P176" i="1"/>
  <c r="W182" i="1"/>
  <c r="O182" i="1"/>
  <c r="W140" i="1"/>
  <c r="O140" i="1"/>
  <c r="W96" i="1"/>
  <c r="O96" i="1"/>
  <c r="P173" i="1"/>
  <c r="P183" i="1"/>
  <c r="W128" i="1"/>
  <c r="O128" i="1"/>
  <c r="Y107" i="1" l="1"/>
  <c r="Z107" i="1" s="1"/>
  <c r="B3" i="1"/>
  <c r="C3" i="1"/>
  <c r="D3" i="1" s="1"/>
  <c r="Y16" i="1"/>
  <c r="Y108" i="1"/>
  <c r="Y3" i="1"/>
  <c r="Z3" i="1" s="1"/>
  <c r="B175" i="1"/>
  <c r="C175" i="1"/>
  <c r="D175" i="1" s="1"/>
  <c r="C85" i="1"/>
  <c r="D85" i="1" s="1"/>
  <c r="B85" i="1"/>
  <c r="Y85" i="1"/>
  <c r="Y101" i="1"/>
  <c r="Y140" i="1"/>
  <c r="Z140" i="1" s="1"/>
  <c r="Y4" i="1"/>
  <c r="B154" i="1"/>
  <c r="C154" i="1"/>
  <c r="D154" i="1" s="1"/>
  <c r="B4" i="1" l="1"/>
  <c r="C4" i="1"/>
  <c r="D4" i="1" s="1"/>
  <c r="C155" i="1"/>
  <c r="D155" i="1" s="1"/>
  <c r="B155" i="1"/>
  <c r="Z101" i="1"/>
  <c r="Y102" i="1"/>
  <c r="Z85" i="1"/>
  <c r="Y86" i="1"/>
  <c r="B86" i="1"/>
  <c r="C86" i="1"/>
  <c r="D86" i="1" s="1"/>
  <c r="Y141" i="1"/>
  <c r="Z108" i="1"/>
  <c r="Y109" i="1"/>
  <c r="Z4" i="1"/>
  <c r="Y5" i="1"/>
  <c r="B176" i="1"/>
  <c r="C176" i="1"/>
  <c r="D176" i="1" s="1"/>
  <c r="Z16" i="1"/>
  <c r="Y17" i="1"/>
  <c r="Z17" i="1" l="1"/>
  <c r="Y18" i="1"/>
  <c r="B156" i="1"/>
  <c r="C156" i="1"/>
  <c r="D156" i="1" s="1"/>
  <c r="Z86" i="1"/>
  <c r="Y87" i="1"/>
  <c r="Z141" i="1"/>
  <c r="Y142" i="1"/>
  <c r="C87" i="1"/>
  <c r="D87" i="1" s="1"/>
  <c r="B87" i="1"/>
  <c r="Z102" i="1"/>
  <c r="Y103" i="1"/>
  <c r="Z103" i="1" s="1"/>
  <c r="C5" i="1"/>
  <c r="D5" i="1" s="1"/>
  <c r="B5" i="1"/>
  <c r="Z5" i="1"/>
  <c r="Y6" i="1"/>
  <c r="B177" i="1"/>
  <c r="C177" i="1"/>
  <c r="D177" i="1" s="1"/>
  <c r="Z109" i="1"/>
  <c r="Y110" i="1"/>
  <c r="B6" i="1" l="1"/>
  <c r="C6" i="1"/>
  <c r="D6" i="1" s="1"/>
  <c r="Z110" i="1"/>
  <c r="Y111" i="1"/>
  <c r="Z6" i="1"/>
  <c r="Y7" i="1"/>
  <c r="Z142" i="1"/>
  <c r="Y143" i="1"/>
  <c r="B157" i="1"/>
  <c r="C157" i="1"/>
  <c r="D157" i="1" s="1"/>
  <c r="B178" i="1"/>
  <c r="C178" i="1"/>
  <c r="D178" i="1" s="1"/>
  <c r="Z87" i="1"/>
  <c r="Y88" i="1"/>
  <c r="Z18" i="1"/>
  <c r="Y19" i="1"/>
  <c r="B88" i="1"/>
  <c r="C88" i="1"/>
  <c r="D88" i="1" s="1"/>
  <c r="C179" i="1" l="1"/>
  <c r="D179" i="1" s="1"/>
  <c r="B179" i="1"/>
  <c r="Z143" i="1"/>
  <c r="Y144" i="1"/>
  <c r="Z111" i="1"/>
  <c r="Y112" i="1"/>
  <c r="Z19" i="1"/>
  <c r="Y20" i="1"/>
  <c r="C89" i="1"/>
  <c r="D89" i="1" s="1"/>
  <c r="B89" i="1"/>
  <c r="B158" i="1"/>
  <c r="C158" i="1"/>
  <c r="D158" i="1" s="1"/>
  <c r="Z7" i="1"/>
  <c r="Y8" i="1"/>
  <c r="C7" i="1"/>
  <c r="D7" i="1" s="1"/>
  <c r="B7" i="1"/>
  <c r="Z88" i="1"/>
  <c r="Y89" i="1"/>
  <c r="C159" i="1" l="1"/>
  <c r="D159" i="1" s="1"/>
  <c r="B159" i="1"/>
  <c r="Z144" i="1"/>
  <c r="Y146" i="1"/>
  <c r="Z146" i="1" s="1"/>
  <c r="Z20" i="1"/>
  <c r="Y21" i="1"/>
  <c r="B8" i="1"/>
  <c r="C8" i="1"/>
  <c r="D8" i="1" s="1"/>
  <c r="Z89" i="1"/>
  <c r="Y90" i="1"/>
  <c r="Z8" i="1"/>
  <c r="Y9" i="1"/>
  <c r="Z112" i="1"/>
  <c r="Y113" i="1"/>
  <c r="B90" i="1"/>
  <c r="C90" i="1"/>
  <c r="D90" i="1" s="1"/>
  <c r="C180" i="1"/>
  <c r="D180" i="1" s="1"/>
  <c r="B180" i="1"/>
  <c r="C91" i="1" l="1"/>
  <c r="D91" i="1" s="1"/>
  <c r="B91" i="1"/>
  <c r="Z9" i="1"/>
  <c r="Y10" i="1"/>
  <c r="C9" i="1"/>
  <c r="D9" i="1" s="1"/>
  <c r="B9" i="1"/>
  <c r="Z113" i="1"/>
  <c r="Y115" i="1"/>
  <c r="Y114" i="1"/>
  <c r="Z114" i="1" s="1"/>
  <c r="Z90" i="1"/>
  <c r="Y91" i="1"/>
  <c r="Z21" i="1"/>
  <c r="Y22" i="1"/>
  <c r="C181" i="1"/>
  <c r="D181" i="1" s="1"/>
  <c r="B181" i="1"/>
  <c r="C160" i="1"/>
  <c r="D160" i="1" s="1"/>
  <c r="B160" i="1"/>
  <c r="Z91" i="1" l="1"/>
  <c r="Y93" i="1"/>
  <c r="C161" i="1"/>
  <c r="D161" i="1" s="1"/>
  <c r="B161" i="1"/>
  <c r="Z115" i="1"/>
  <c r="Y116" i="1"/>
  <c r="Z10" i="1"/>
  <c r="Y11" i="1"/>
  <c r="B182" i="1"/>
  <c r="C182" i="1"/>
  <c r="D182" i="1" s="1"/>
  <c r="Z22" i="1"/>
  <c r="Y23" i="1"/>
  <c r="C10" i="1"/>
  <c r="D10" i="1" s="1"/>
  <c r="B10" i="1"/>
  <c r="B92" i="1"/>
  <c r="C92" i="1"/>
  <c r="D92" i="1" s="1"/>
  <c r="B93" i="1" l="1"/>
  <c r="C93" i="1"/>
  <c r="D93" i="1" s="1"/>
  <c r="Z23" i="1"/>
  <c r="Y24" i="1"/>
  <c r="Z11" i="1"/>
  <c r="Y12" i="1"/>
  <c r="C162" i="1"/>
  <c r="D162" i="1" s="1"/>
  <c r="B162" i="1"/>
  <c r="B183" i="1"/>
  <c r="C183" i="1"/>
  <c r="D183" i="1" s="1"/>
  <c r="Z116" i="1"/>
  <c r="Y117" i="1"/>
  <c r="Z93" i="1"/>
  <c r="Y94" i="1"/>
  <c r="B11" i="1"/>
  <c r="C11" i="1"/>
  <c r="D11" i="1" s="1"/>
  <c r="B12" i="1" l="1"/>
  <c r="C12" i="1"/>
  <c r="D12" i="1" s="1"/>
  <c r="Z117" i="1"/>
  <c r="Y118" i="1"/>
  <c r="Z24" i="1"/>
  <c r="Y25" i="1"/>
  <c r="B170" i="1"/>
  <c r="C163" i="1"/>
  <c r="D163" i="1" s="1"/>
  <c r="B163" i="1"/>
  <c r="C170" i="1"/>
  <c r="D170" i="1" s="1"/>
  <c r="Z94" i="1"/>
  <c r="Y95" i="1"/>
  <c r="B184" i="1"/>
  <c r="C184" i="1"/>
  <c r="D184" i="1" s="1"/>
  <c r="Z12" i="1"/>
  <c r="Y13" i="1"/>
  <c r="C94" i="1"/>
  <c r="D94" i="1" s="1"/>
  <c r="B94" i="1"/>
  <c r="Z13" i="1" l="1"/>
  <c r="Y14" i="1"/>
  <c r="Z14" i="1" s="1"/>
  <c r="Z95" i="1"/>
  <c r="Y96" i="1"/>
  <c r="Z118" i="1"/>
  <c r="Y119" i="1"/>
  <c r="B185" i="1"/>
  <c r="C185" i="1"/>
  <c r="D185" i="1" s="1"/>
  <c r="C13" i="1"/>
  <c r="D13" i="1" s="1"/>
  <c r="B13" i="1"/>
  <c r="Z25" i="1"/>
  <c r="Y26" i="1"/>
  <c r="B95" i="1"/>
  <c r="C95" i="1"/>
  <c r="D95" i="1" s="1"/>
  <c r="Y27" i="1" l="1"/>
  <c r="Z26" i="1"/>
  <c r="B186" i="1"/>
  <c r="C186" i="1"/>
  <c r="D186" i="1" s="1"/>
  <c r="Z96" i="1"/>
  <c r="Y97" i="1"/>
  <c r="C96" i="1"/>
  <c r="D96" i="1" s="1"/>
  <c r="B96" i="1"/>
  <c r="Z119" i="1"/>
  <c r="Y121" i="1"/>
  <c r="B14" i="1"/>
  <c r="C14" i="1"/>
  <c r="D14" i="1" s="1"/>
  <c r="C15" i="1" l="1"/>
  <c r="D15" i="1" s="1"/>
  <c r="B15" i="1"/>
  <c r="C187" i="1"/>
  <c r="D187" i="1" s="1"/>
  <c r="B187" i="1"/>
  <c r="B97" i="1"/>
  <c r="C97" i="1"/>
  <c r="D97" i="1" s="1"/>
  <c r="Z121" i="1"/>
  <c r="Y122" i="1"/>
  <c r="Z97" i="1"/>
  <c r="Y98" i="1"/>
  <c r="Z98" i="1" s="1"/>
  <c r="Z27" i="1"/>
  <c r="Y29" i="1"/>
  <c r="C98" i="1" l="1"/>
  <c r="D98" i="1" s="1"/>
  <c r="B98" i="1"/>
  <c r="Z29" i="1"/>
  <c r="Y30" i="1"/>
  <c r="Z122" i="1"/>
  <c r="Y123" i="1"/>
  <c r="C16" i="1"/>
  <c r="D16" i="1" s="1"/>
  <c r="B16" i="1"/>
  <c r="Z30" i="1" l="1"/>
  <c r="Y31" i="1"/>
  <c r="B17" i="1"/>
  <c r="C17" i="1"/>
  <c r="D17" i="1" s="1"/>
  <c r="Z123" i="1"/>
  <c r="Y125" i="1"/>
  <c r="B99" i="1"/>
  <c r="C99" i="1"/>
  <c r="D99" i="1" s="1"/>
  <c r="C100" i="1" l="1"/>
  <c r="D100" i="1" s="1"/>
  <c r="B100" i="1"/>
  <c r="C18" i="1"/>
  <c r="D18" i="1" s="1"/>
  <c r="B18" i="1"/>
  <c r="Z125" i="1"/>
  <c r="Y127" i="1"/>
  <c r="Z31" i="1"/>
  <c r="Y32" i="1"/>
  <c r="Z32" i="1" l="1"/>
  <c r="Y33" i="1"/>
  <c r="B19" i="1"/>
  <c r="C19" i="1"/>
  <c r="D19" i="1" s="1"/>
  <c r="Z127" i="1"/>
  <c r="Y128" i="1"/>
  <c r="B101" i="1"/>
  <c r="C101" i="1"/>
  <c r="D101" i="1" s="1"/>
  <c r="C102" i="1" l="1"/>
  <c r="D102" i="1" s="1"/>
  <c r="B102" i="1"/>
  <c r="C20" i="1"/>
  <c r="D20" i="1" s="1"/>
  <c r="B20" i="1"/>
  <c r="Z128" i="1"/>
  <c r="Y130" i="1"/>
  <c r="Z33" i="1"/>
  <c r="Y34" i="1"/>
  <c r="Z34" i="1" l="1"/>
  <c r="Y35" i="1"/>
  <c r="Z130" i="1"/>
  <c r="Y131" i="1"/>
  <c r="C21" i="1"/>
  <c r="D21" i="1" s="1"/>
  <c r="B21" i="1"/>
  <c r="B103" i="1"/>
  <c r="C103" i="1"/>
  <c r="D103" i="1" s="1"/>
  <c r="C104" i="1" l="1"/>
  <c r="D104" i="1" s="1"/>
  <c r="B104" i="1"/>
  <c r="Z131" i="1"/>
  <c r="Y133" i="1"/>
  <c r="Z35" i="1"/>
  <c r="Y36" i="1"/>
  <c r="B22" i="1"/>
  <c r="C22" i="1"/>
  <c r="D22" i="1" s="1"/>
  <c r="C23" i="1" l="1"/>
  <c r="D23" i="1" s="1"/>
  <c r="B23" i="1"/>
  <c r="Z133" i="1"/>
  <c r="Y134" i="1"/>
  <c r="Z36" i="1"/>
  <c r="Y37" i="1"/>
  <c r="B105" i="1"/>
  <c r="C105" i="1"/>
  <c r="D105" i="1" s="1"/>
  <c r="Z134" i="1" l="1"/>
  <c r="Y135" i="1"/>
  <c r="Z37" i="1"/>
  <c r="Y38" i="1"/>
  <c r="C106" i="1"/>
  <c r="D106" i="1" s="1"/>
  <c r="B106" i="1"/>
  <c r="P151" i="1" s="1"/>
  <c r="B24" i="1"/>
  <c r="C24" i="1"/>
  <c r="D24" i="1" s="1"/>
  <c r="Z135" i="1" l="1"/>
  <c r="Y136" i="1"/>
  <c r="Z136" i="1" s="1"/>
  <c r="C25" i="1"/>
  <c r="D25" i="1" s="1"/>
  <c r="B25" i="1"/>
  <c r="Z38" i="1"/>
  <c r="Y39" i="1"/>
  <c r="C107" i="1"/>
  <c r="D107" i="1" s="1"/>
  <c r="B107" i="1"/>
  <c r="B108" i="1" l="1"/>
  <c r="C108" i="1"/>
  <c r="D108" i="1" s="1"/>
  <c r="C26" i="1"/>
  <c r="D26" i="1" s="1"/>
  <c r="B26" i="1"/>
  <c r="Z39" i="1"/>
  <c r="Y40" i="1"/>
  <c r="B27" i="1" l="1"/>
  <c r="C27" i="1"/>
  <c r="D27" i="1" s="1"/>
  <c r="Z40" i="1"/>
  <c r="Y42" i="1"/>
  <c r="C109" i="1"/>
  <c r="D109" i="1" s="1"/>
  <c r="B109" i="1"/>
  <c r="Z42" i="1" l="1"/>
  <c r="Y43" i="1"/>
  <c r="C28" i="1"/>
  <c r="D28" i="1" s="1"/>
  <c r="B28" i="1"/>
  <c r="B110" i="1"/>
  <c r="C110" i="1"/>
  <c r="D110" i="1" s="1"/>
  <c r="C29" i="1" l="1"/>
  <c r="D29" i="1" s="1"/>
  <c r="B29" i="1"/>
  <c r="C111" i="1"/>
  <c r="D111" i="1" s="1"/>
  <c r="B111" i="1"/>
  <c r="Z43" i="1"/>
  <c r="Y44" i="1"/>
  <c r="C112" i="1" l="1"/>
  <c r="D112" i="1" s="1"/>
  <c r="B112" i="1"/>
  <c r="Z44" i="1"/>
  <c r="Y46" i="1"/>
  <c r="B30" i="1"/>
  <c r="C30" i="1"/>
  <c r="D30" i="1" s="1"/>
  <c r="Z46" i="1" l="1"/>
  <c r="Y47" i="1"/>
  <c r="B31" i="1"/>
  <c r="C31" i="1"/>
  <c r="D31" i="1" s="1"/>
  <c r="B113" i="1"/>
  <c r="C113" i="1"/>
  <c r="D113" i="1" s="1"/>
  <c r="C32" i="1" l="1"/>
  <c r="D32" i="1" s="1"/>
  <c r="B32" i="1"/>
  <c r="B114" i="1"/>
  <c r="C114" i="1"/>
  <c r="D114" i="1" s="1"/>
  <c r="Z47" i="1"/>
  <c r="Y48" i="1"/>
  <c r="B115" i="1" l="1"/>
  <c r="C115" i="1"/>
  <c r="D115" i="1" s="1"/>
  <c r="Z48" i="1"/>
  <c r="Y49" i="1"/>
  <c r="C33" i="1"/>
  <c r="D33" i="1" s="1"/>
  <c r="B33" i="1"/>
  <c r="C116" i="1" l="1"/>
  <c r="D116" i="1" s="1"/>
  <c r="B116" i="1"/>
  <c r="Z49" i="1"/>
  <c r="Y51" i="1"/>
  <c r="Z51" i="1" s="1"/>
  <c r="Y52" i="1"/>
  <c r="C34" i="1"/>
  <c r="D34" i="1" s="1"/>
  <c r="B34" i="1"/>
  <c r="C35" i="1" l="1"/>
  <c r="D35" i="1" s="1"/>
  <c r="B35" i="1"/>
  <c r="Z52" i="1"/>
  <c r="Y53" i="1"/>
  <c r="B117" i="1"/>
  <c r="C117" i="1"/>
  <c r="D117" i="1" s="1"/>
  <c r="Z53" i="1" l="1"/>
  <c r="Y54" i="1"/>
  <c r="C118" i="1"/>
  <c r="D118" i="1" s="1"/>
  <c r="B118" i="1"/>
  <c r="B36" i="1"/>
  <c r="C36" i="1"/>
  <c r="D36" i="1" s="1"/>
  <c r="C119" i="1" l="1"/>
  <c r="D119" i="1" s="1"/>
  <c r="B119" i="1"/>
  <c r="Z54" i="1"/>
  <c r="Y55" i="1"/>
  <c r="B37" i="1"/>
  <c r="C37" i="1"/>
  <c r="D37" i="1" s="1"/>
  <c r="Z55" i="1" l="1"/>
  <c r="Y56" i="1"/>
  <c r="C38" i="1"/>
  <c r="D38" i="1" s="1"/>
  <c r="B38" i="1"/>
  <c r="B120" i="1"/>
  <c r="C120" i="1"/>
  <c r="D120" i="1" s="1"/>
  <c r="C39" i="1" l="1"/>
  <c r="D39" i="1" s="1"/>
  <c r="B39" i="1"/>
  <c r="B121" i="1"/>
  <c r="C121" i="1"/>
  <c r="D121" i="1" s="1"/>
  <c r="Z56" i="1"/>
  <c r="Y57" i="1"/>
  <c r="C122" i="1" l="1"/>
  <c r="D122" i="1" s="1"/>
  <c r="B122" i="1"/>
  <c r="Z57" i="1"/>
  <c r="Y58" i="1"/>
  <c r="B40" i="1"/>
  <c r="C40" i="1"/>
  <c r="D40" i="1" s="1"/>
  <c r="B41" i="1" l="1"/>
  <c r="C41" i="1"/>
  <c r="D41" i="1" s="1"/>
  <c r="Z58" i="1"/>
  <c r="Y59" i="1"/>
  <c r="B123" i="1"/>
  <c r="C123" i="1"/>
  <c r="D123" i="1" s="1"/>
  <c r="Z59" i="1" l="1"/>
  <c r="Y60" i="1"/>
  <c r="C124" i="1"/>
  <c r="D124" i="1" s="1"/>
  <c r="B124" i="1"/>
  <c r="C42" i="1"/>
  <c r="D42" i="1" s="1"/>
  <c r="B42" i="1"/>
  <c r="B125" i="1" l="1"/>
  <c r="C125" i="1"/>
  <c r="D125" i="1" s="1"/>
  <c r="Z60" i="1"/>
  <c r="Y61" i="1"/>
  <c r="C43" i="1"/>
  <c r="D43" i="1" s="1"/>
  <c r="B43" i="1"/>
  <c r="Z61" i="1" l="1"/>
  <c r="Y62" i="1"/>
  <c r="C126" i="1"/>
  <c r="D126" i="1" s="1"/>
  <c r="B126" i="1"/>
  <c r="B44" i="1"/>
  <c r="C44" i="1"/>
  <c r="D44" i="1" s="1"/>
  <c r="B127" i="1" l="1"/>
  <c r="C127" i="1"/>
  <c r="D127" i="1" s="1"/>
  <c r="B45" i="1"/>
  <c r="C45" i="1"/>
  <c r="D45" i="1" s="1"/>
  <c r="Z62" i="1"/>
  <c r="Y63" i="1"/>
  <c r="B128" i="1" l="1"/>
  <c r="C128" i="1"/>
  <c r="D128" i="1" s="1"/>
  <c r="C46" i="1"/>
  <c r="D46" i="1" s="1"/>
  <c r="B46" i="1"/>
  <c r="Z63" i="1"/>
  <c r="Y65" i="1"/>
  <c r="B47" i="1" l="1"/>
  <c r="C47" i="1"/>
  <c r="D47" i="1" s="1"/>
  <c r="B129" i="1"/>
  <c r="C129" i="1"/>
  <c r="D129" i="1" s="1"/>
  <c r="Z65" i="1"/>
  <c r="Y66" i="1"/>
  <c r="C130" i="1" l="1"/>
  <c r="D130" i="1" s="1"/>
  <c r="B130" i="1"/>
  <c r="B48" i="1"/>
  <c r="C48" i="1"/>
  <c r="D48" i="1" s="1"/>
  <c r="Z66" i="1"/>
  <c r="Y67" i="1"/>
  <c r="B49" i="1" l="1"/>
  <c r="C49" i="1"/>
  <c r="D49" i="1" s="1"/>
  <c r="Z67" i="1"/>
  <c r="Y68" i="1"/>
  <c r="C131" i="1"/>
  <c r="D131" i="1" s="1"/>
  <c r="B131" i="1"/>
  <c r="Z68" i="1" l="1"/>
  <c r="Y70" i="1"/>
  <c r="C50" i="1"/>
  <c r="D50" i="1" s="1"/>
  <c r="B50" i="1"/>
  <c r="B132" i="1"/>
  <c r="C132" i="1"/>
  <c r="D132" i="1" s="1"/>
  <c r="B133" i="1" l="1"/>
  <c r="C133" i="1"/>
  <c r="D133" i="1" s="1"/>
  <c r="B51" i="1"/>
  <c r="C51" i="1"/>
  <c r="D51" i="1" s="1"/>
  <c r="Z70" i="1"/>
  <c r="Y71" i="1"/>
  <c r="B52" i="1" l="1"/>
  <c r="C52" i="1"/>
  <c r="D52" i="1" s="1"/>
  <c r="Z71" i="1"/>
  <c r="Y72" i="1"/>
  <c r="C134" i="1"/>
  <c r="D134" i="1" s="1"/>
  <c r="B134" i="1"/>
  <c r="C53" i="1" l="1"/>
  <c r="D53" i="1" s="1"/>
  <c r="B53" i="1"/>
  <c r="Z72" i="1"/>
  <c r="Y73" i="1"/>
  <c r="B135" i="1"/>
  <c r="C135" i="1"/>
  <c r="D135" i="1" s="1"/>
  <c r="Z73" i="1" l="1"/>
  <c r="Y75" i="1"/>
  <c r="B136" i="1"/>
  <c r="C136" i="1"/>
  <c r="D136" i="1" s="1"/>
  <c r="B54" i="1"/>
  <c r="C54" i="1"/>
  <c r="D54" i="1" s="1"/>
  <c r="Z75" i="1" l="1"/>
  <c r="Y76" i="1"/>
  <c r="Z76" i="1" s="1"/>
  <c r="B137" i="1"/>
  <c r="C137" i="1"/>
  <c r="D137" i="1" s="1"/>
  <c r="C55" i="1"/>
  <c r="D55" i="1" s="1"/>
  <c r="B55" i="1"/>
  <c r="B56" i="1" l="1"/>
  <c r="C56" i="1"/>
  <c r="D56" i="1" s="1"/>
  <c r="C138" i="1"/>
  <c r="D138" i="1" s="1"/>
  <c r="B138" i="1"/>
  <c r="C139" i="1" l="1"/>
  <c r="D139" i="1" s="1"/>
  <c r="B139" i="1"/>
  <c r="C57" i="1"/>
  <c r="D57" i="1" s="1"/>
  <c r="B57" i="1"/>
  <c r="C58" i="1" l="1"/>
  <c r="D58" i="1" s="1"/>
  <c r="B58" i="1"/>
  <c r="B140" i="1"/>
  <c r="C140" i="1"/>
  <c r="D140" i="1" s="1"/>
  <c r="B141" i="1" l="1"/>
  <c r="P153" i="1" s="1"/>
  <c r="C141" i="1"/>
  <c r="D141" i="1" s="1"/>
  <c r="B59" i="1"/>
  <c r="C59" i="1"/>
  <c r="D59" i="1" s="1"/>
  <c r="C60" i="1" l="1"/>
  <c r="D60" i="1" s="1"/>
  <c r="B60" i="1"/>
  <c r="B142" i="1"/>
  <c r="C142" i="1"/>
  <c r="D142" i="1" s="1"/>
  <c r="C143" i="1" l="1"/>
  <c r="D143" i="1" s="1"/>
  <c r="B143" i="1"/>
  <c r="B61" i="1"/>
  <c r="C61" i="1"/>
  <c r="D61" i="1" s="1"/>
  <c r="B62" i="1" l="1"/>
  <c r="C62" i="1"/>
  <c r="D62" i="1" s="1"/>
  <c r="B144" i="1"/>
  <c r="P154" i="1" s="1"/>
  <c r="C144" i="1"/>
  <c r="D144" i="1" s="1"/>
  <c r="B145" i="1" l="1"/>
  <c r="C145" i="1"/>
  <c r="D145" i="1" s="1"/>
  <c r="C63" i="1"/>
  <c r="D63" i="1" s="1"/>
  <c r="B63" i="1"/>
  <c r="B64" i="1" l="1"/>
  <c r="C64" i="1"/>
  <c r="D64" i="1" s="1"/>
  <c r="C146" i="1"/>
  <c r="D146" i="1" s="1"/>
  <c r="B146" i="1"/>
  <c r="B147" i="1" l="1"/>
  <c r="C147" i="1"/>
  <c r="D147" i="1" s="1"/>
  <c r="B65" i="1"/>
  <c r="C65" i="1"/>
  <c r="D65" i="1" s="1"/>
  <c r="C66" i="1" l="1"/>
  <c r="D66" i="1" s="1"/>
  <c r="B66" i="1"/>
  <c r="C67" i="1" l="1"/>
  <c r="D67" i="1" s="1"/>
  <c r="B67" i="1"/>
  <c r="B68" i="1" l="1"/>
  <c r="C68" i="1"/>
  <c r="D68" i="1" s="1"/>
  <c r="C69" i="1" l="1"/>
  <c r="D69" i="1" s="1"/>
  <c r="B69" i="1"/>
  <c r="B70" i="1" l="1"/>
  <c r="C70" i="1"/>
  <c r="D70" i="1" s="1"/>
  <c r="B71" i="1" l="1"/>
  <c r="P152" i="1" s="1"/>
  <c r="C71" i="1"/>
  <c r="D71" i="1" s="1"/>
  <c r="C72" i="1" l="1"/>
  <c r="D72" i="1" s="1"/>
  <c r="B72" i="1"/>
  <c r="C73" i="1" l="1"/>
  <c r="D73" i="1" s="1"/>
  <c r="B73" i="1"/>
  <c r="B74" i="1" l="1"/>
  <c r="C74" i="1"/>
  <c r="D74" i="1" s="1"/>
  <c r="B75" i="1" l="1"/>
  <c r="C75" i="1"/>
  <c r="D75" i="1" s="1"/>
  <c r="B76" i="1" l="1"/>
  <c r="C76" i="1"/>
  <c r="D76" i="1" s="1"/>
  <c r="C77" i="1" l="1"/>
  <c r="D77" i="1" s="1"/>
  <c r="B77" i="1"/>
  <c r="C78" i="1" l="1"/>
  <c r="D78" i="1" s="1"/>
  <c r="B78" i="1"/>
  <c r="B79" i="1" l="1"/>
  <c r="C79" i="1"/>
  <c r="D79" i="1" s="1"/>
  <c r="C80" i="1" l="1"/>
  <c r="D80" i="1" s="1"/>
  <c r="B80" i="1"/>
</calcChain>
</file>

<file path=xl/sharedStrings.xml><?xml version="1.0" encoding="utf-8"?>
<sst xmlns="http://schemas.openxmlformats.org/spreadsheetml/2006/main" count="228" uniqueCount="89">
  <si>
    <t>During Kosher Runs double the route time of the last PO on 4A as all going down 1 Head</t>
  </si>
  <si>
    <t>KOSHER Drain Down Heads</t>
  </si>
  <si>
    <t>KOSHER</t>
  </si>
  <si>
    <t>Customer Order, 2 CASE LINE ASSOCIATES RQD</t>
  </si>
  <si>
    <t>For Packout Upstair Mon 12th</t>
  </si>
  <si>
    <t>Customer Order, Need Exact Qty</t>
  </si>
  <si>
    <t xml:space="preserve">Customer Order </t>
  </si>
  <si>
    <t>Half Night Shift Unscheduled</t>
  </si>
  <si>
    <t>Monthly Ops Team Meeting: Night Shift</t>
  </si>
  <si>
    <t>Monthly Ops Team Meeting: Day Shift</t>
  </si>
  <si>
    <t>WASH DOWN &amp; SET UP</t>
  </si>
  <si>
    <t>WIPEDOWN &amp; Drain Heads</t>
  </si>
  <si>
    <t>WIPEDOWN &amp; SET UP</t>
  </si>
  <si>
    <t>FLM FOIL LMN 735MM MTRE</t>
  </si>
  <si>
    <t>WEIGHTS, WIPs &amp; Labels ARE GUIDE ONLY, PLEASE FOLLOW SMI</t>
  </si>
  <si>
    <t>F_D4K</t>
  </si>
  <si>
    <t>RMV EXC AIR 10 BG/CT                      Customer Order</t>
  </si>
  <si>
    <t>PI01</t>
  </si>
  <si>
    <t>Label</t>
  </si>
  <si>
    <t>Additional Comments</t>
  </si>
  <si>
    <r>
      <rPr>
        <b/>
        <sz val="10"/>
        <color rgb="FFFF0000"/>
        <rFont val="Arial"/>
        <family val="2"/>
      </rPr>
      <t>GUIDE</t>
    </r>
    <r>
      <rPr>
        <b/>
        <sz val="10"/>
        <rFont val="Arial"/>
        <family val="2"/>
      </rPr>
      <t xml:space="preserve"> Ing WT</t>
    </r>
  </si>
  <si>
    <r>
      <rPr>
        <b/>
        <sz val="10"/>
        <color rgb="FFFF0000"/>
        <rFont val="Arial"/>
        <family val="2"/>
      </rPr>
      <t>GUIDE</t>
    </r>
    <r>
      <rPr>
        <b/>
        <sz val="10"/>
        <rFont val="Arial"/>
        <family val="2"/>
      </rPr>
      <t xml:space="preserve"> Bag WT</t>
    </r>
  </si>
  <si>
    <t>WIPS</t>
  </si>
  <si>
    <t>PO Type</t>
  </si>
  <si>
    <t>ProcOrder</t>
  </si>
  <si>
    <t>Ingredients</t>
  </si>
  <si>
    <t>Bags</t>
  </si>
  <si>
    <t>Qty</t>
  </si>
  <si>
    <t>Description</t>
  </si>
  <si>
    <t>MATERIAL</t>
  </si>
  <si>
    <t>WIP</t>
  </si>
  <si>
    <t>4K: Packouts</t>
  </si>
  <si>
    <t>Delivery Wips to requested area</t>
  </si>
  <si>
    <t xml:space="preserve">WASHDOWN &amp; SET UP </t>
  </si>
  <si>
    <t>Reduced</t>
  </si>
  <si>
    <t>RESTART WEDNESDAY NIGHT</t>
  </si>
  <si>
    <t>RESTART TUESDAY NIGHT</t>
  </si>
  <si>
    <t>New PO</t>
  </si>
  <si>
    <t>F_D4E</t>
  </si>
  <si>
    <t>4E</t>
  </si>
  <si>
    <t>F_D4C</t>
  </si>
  <si>
    <t>On Openbatch</t>
  </si>
  <si>
    <t/>
  </si>
  <si>
    <t>2-3Kgs SBZ</t>
  </si>
  <si>
    <t>SBZ</t>
  </si>
  <si>
    <t>WIP PART 1B 2.040KG 6UN</t>
  </si>
  <si>
    <t>ECM</t>
  </si>
  <si>
    <t>No</t>
  </si>
  <si>
    <t>0-1Kgs SBZ</t>
  </si>
  <si>
    <t>WIP PART 1B 0.680KG 2UN</t>
  </si>
  <si>
    <t>WIP PF-11.621 P1B 2.5UN BAG</t>
  </si>
  <si>
    <t>1-2Kgs SBZ</t>
  </si>
  <si>
    <t>WIP PART 1B 1.700KG HL 5UN BAG L1</t>
  </si>
  <si>
    <t>WIP PART 1B 1.344KG 4UN BAG (813)</t>
  </si>
  <si>
    <t>WIP PART 1B 0.900KG 4UN BAG (813)</t>
  </si>
  <si>
    <t>BROUGHT FORWARD FROM WK 47</t>
  </si>
  <si>
    <t>RESTART TUESDAY MORNING</t>
  </si>
  <si>
    <t>Cancelled - demand</t>
  </si>
  <si>
    <t>First Requirement</t>
  </si>
  <si>
    <t>4C: Innotech</t>
  </si>
  <si>
    <t>Bags PER SHIFT</t>
  </si>
  <si>
    <t>Verify 6159 ok to fill (new supplier)</t>
  </si>
  <si>
    <t>Customer Order</t>
  </si>
  <si>
    <t xml:space="preserve">WIPEDOWN &amp; Drain Head </t>
  </si>
  <si>
    <t>H/A wip</t>
  </si>
  <si>
    <t>WIPEDOWN &amp; Drain Heads WASH POSITIONS</t>
  </si>
  <si>
    <t>RESTART MONDAY MORNING</t>
  </si>
  <si>
    <t>Webb Tue 13:00</t>
  </si>
  <si>
    <t>F_D4B</t>
  </si>
  <si>
    <t>New Label</t>
  </si>
  <si>
    <t>Breaks &amp; Meetings</t>
  </si>
  <si>
    <t>Target Bags / minute</t>
  </si>
  <si>
    <t>Route &amp; Setup</t>
  </si>
  <si>
    <t xml:space="preserve">Finish </t>
  </si>
  <si>
    <t>Start Time</t>
  </si>
  <si>
    <t>4B</t>
  </si>
  <si>
    <t>WASHDOWN &amp; SET UP  - ROOM AVAILABLE FOR SS CLADDING</t>
  </si>
  <si>
    <t>1ST BATCH X 2HEADS XTRA TOTES                 Customer Order</t>
  </si>
  <si>
    <t>B1 400633722 Coupling</t>
  </si>
  <si>
    <t>B1 cancelled</t>
  </si>
  <si>
    <t>Recipe</t>
  </si>
  <si>
    <t>F_D4A</t>
  </si>
  <si>
    <t>Shift</t>
  </si>
  <si>
    <t>Cum Hours</t>
  </si>
  <si>
    <t>Line</t>
  </si>
  <si>
    <t>PO Vlookup</t>
  </si>
  <si>
    <t>Changes</t>
  </si>
  <si>
    <t>BTO</t>
  </si>
  <si>
    <t>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</si>
</sst>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400]h:mm:ss\ AM/PM"/>
    <numFmt numFmtId="165" formatCode="dddd\ dd/mm/yyyy"/>
    <numFmt numFmtId="166" formatCode="0.0"/>
    <numFmt numFmtId="167" formatCode="ddd\ dd\-mmm\-yy"/>
    <numFmt numFmtId="168" formatCode="ddd\ hh:mm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u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Calibri"/>
      <family val="2"/>
      <scheme val="minor"/>
    </font>
    <font>
      <b/>
      <u/>
      <sz val="10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4">
    <xf numFmtId="0" fontId="0" fillId="0" borderId="0" xfId="0"/>
    <xf numFmtId="0" fontId="0" fillId="0" borderId="1" xfId="0" applyBorder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165" fontId="2" fillId="0" borderId="1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vertical="center"/>
    </xf>
    <xf numFmtId="164" fontId="0" fillId="0" borderId="0" xfId="0" applyNumberFormat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  <xf numFmtId="3" fontId="5" fillId="0" borderId="4" xfId="1" applyNumberFormat="1" applyFont="1" applyBorder="1" applyAlignment="1">
      <alignment horizontal="right" vertical="center"/>
    </xf>
    <xf numFmtId="49" fontId="5" fillId="0" borderId="4" xfId="1" applyNumberFormat="1" applyFont="1" applyBorder="1" applyAlignment="1">
      <alignment horizontal="left" vertical="center"/>
    </xf>
    <xf numFmtId="2" fontId="5" fillId="0" borderId="4" xfId="1" applyNumberFormat="1" applyFont="1" applyBorder="1" applyAlignment="1">
      <alignment horizontal="center" vertical="center"/>
    </xf>
    <xf numFmtId="4" fontId="5" fillId="0" borderId="4" xfId="1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21" fontId="4" fillId="0" borderId="4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1" fontId="4" fillId="3" borderId="4" xfId="0" applyNumberFormat="1" applyFont="1" applyFill="1" applyBorder="1" applyAlignment="1">
      <alignment horizontal="center" vertical="center"/>
    </xf>
    <xf numFmtId="49" fontId="5" fillId="3" borderId="4" xfId="1" applyNumberFormat="1" applyFont="1" applyFill="1" applyBorder="1" applyAlignment="1">
      <alignment horizontal="center" vertical="center"/>
    </xf>
    <xf numFmtId="3" fontId="5" fillId="3" borderId="4" xfId="1" applyNumberFormat="1" applyFont="1" applyFill="1" applyBorder="1" applyAlignment="1">
      <alignment horizontal="right" vertical="center"/>
    </xf>
    <xf numFmtId="49" fontId="5" fillId="3" borderId="4" xfId="1" applyNumberFormat="1" applyFont="1" applyFill="1" applyBorder="1" applyAlignment="1">
      <alignment horizontal="left" vertical="center"/>
    </xf>
    <xf numFmtId="2" fontId="5" fillId="3" borderId="4" xfId="1" applyNumberFormat="1" applyFont="1" applyFill="1" applyBorder="1" applyAlignment="1">
      <alignment horizontal="center" vertical="center"/>
    </xf>
    <xf numFmtId="4" fontId="5" fillId="3" borderId="4" xfId="1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21" fontId="4" fillId="3" borderId="4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1" fontId="4" fillId="3" borderId="5" xfId="0" applyNumberFormat="1" applyFont="1" applyFill="1" applyBorder="1" applyAlignment="1">
      <alignment horizontal="center" vertical="center"/>
    </xf>
    <xf numFmtId="49" fontId="5" fillId="3" borderId="5" xfId="1" applyNumberFormat="1" applyFont="1" applyFill="1" applyBorder="1" applyAlignment="1">
      <alignment horizontal="center" vertical="center"/>
    </xf>
    <xf numFmtId="3" fontId="5" fillId="3" borderId="5" xfId="1" applyNumberFormat="1" applyFont="1" applyFill="1" applyBorder="1" applyAlignment="1">
      <alignment horizontal="right" vertical="center"/>
    </xf>
    <xf numFmtId="49" fontId="5" fillId="3" borderId="5" xfId="1" applyNumberFormat="1" applyFont="1" applyFill="1" applyBorder="1" applyAlignment="1">
      <alignment horizontal="left" vertical="center"/>
    </xf>
    <xf numFmtId="2" fontId="5" fillId="3" borderId="5" xfId="1" applyNumberFormat="1" applyFont="1" applyFill="1" applyBorder="1" applyAlignment="1">
      <alignment horizontal="center" vertical="center"/>
    </xf>
    <xf numFmtId="4" fontId="5" fillId="3" borderId="5" xfId="1" applyNumberFormat="1" applyFont="1" applyFill="1" applyBorder="1" applyAlignment="1">
      <alignment horizontal="center" vertical="center"/>
    </xf>
    <xf numFmtId="164" fontId="4" fillId="3" borderId="5" xfId="0" applyNumberFormat="1" applyFont="1" applyFill="1" applyBorder="1" applyAlignment="1">
      <alignment horizontal="center" vertical="center"/>
    </xf>
    <xf numFmtId="21" fontId="4" fillId="3" borderId="5" xfId="0" applyNumberFormat="1" applyFont="1" applyFill="1" applyBorder="1" applyAlignment="1">
      <alignment horizontal="center" vertical="center"/>
    </xf>
    <xf numFmtId="165" fontId="4" fillId="3" borderId="6" xfId="0" applyNumberFormat="1" applyFon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66" fontId="2" fillId="4" borderId="4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166" fontId="2" fillId="4" borderId="5" xfId="0" applyNumberFormat="1" applyFont="1" applyFill="1" applyBorder="1" applyAlignment="1">
      <alignment horizontal="center" vertical="center"/>
    </xf>
    <xf numFmtId="166" fontId="2" fillId="4" borderId="3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49" fontId="5" fillId="3" borderId="7" xfId="1" applyNumberFormat="1" applyFont="1" applyFill="1" applyBorder="1" applyAlignment="1">
      <alignment horizontal="center" vertical="center"/>
    </xf>
    <xf numFmtId="3" fontId="5" fillId="3" borderId="7" xfId="1" applyNumberFormat="1" applyFont="1" applyFill="1" applyBorder="1" applyAlignment="1">
      <alignment horizontal="right" vertical="center"/>
    </xf>
    <xf numFmtId="49" fontId="5" fillId="3" borderId="7" xfId="1" applyNumberFormat="1" applyFont="1" applyFill="1" applyBorder="1" applyAlignment="1">
      <alignment horizontal="left" vertical="center"/>
    </xf>
    <xf numFmtId="2" fontId="5" fillId="3" borderId="7" xfId="1" applyNumberFormat="1" applyFont="1" applyFill="1" applyBorder="1" applyAlignment="1">
      <alignment horizontal="center" vertical="center"/>
    </xf>
    <xf numFmtId="4" fontId="5" fillId="3" borderId="7" xfId="1" applyNumberFormat="1" applyFont="1" applyFill="1" applyBorder="1" applyAlignment="1">
      <alignment horizontal="center" vertical="center"/>
    </xf>
    <xf numFmtId="164" fontId="4" fillId="3" borderId="7" xfId="0" applyNumberFormat="1" applyFont="1" applyFill="1" applyBorder="1" applyAlignment="1">
      <alignment horizontal="center" vertical="center"/>
    </xf>
    <xf numFmtId="21" fontId="4" fillId="3" borderId="7" xfId="0" applyNumberFormat="1" applyFont="1" applyFill="1" applyBorder="1" applyAlignment="1">
      <alignment horizontal="center" vertical="center"/>
    </xf>
    <xf numFmtId="165" fontId="6" fillId="5" borderId="8" xfId="0" applyNumberFormat="1" applyFont="1" applyFill="1" applyBorder="1" applyAlignment="1">
      <alignment vertical="center"/>
    </xf>
    <xf numFmtId="0" fontId="0" fillId="0" borderId="8" xfId="0" applyBorder="1" applyAlignment="1">
      <alignment vertical="center"/>
    </xf>
    <xf numFmtId="164" fontId="7" fillId="5" borderId="9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3" fillId="5" borderId="9" xfId="0" applyNumberFormat="1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1" fontId="3" fillId="6" borderId="4" xfId="0" applyNumberFormat="1" applyFont="1" applyFill="1" applyBorder="1" applyAlignment="1">
      <alignment horizontal="center" vertical="center"/>
    </xf>
    <xf numFmtId="3" fontId="3" fillId="6" borderId="4" xfId="0" applyNumberFormat="1" applyFont="1" applyFill="1" applyBorder="1" applyAlignment="1">
      <alignment horizontal="right" vertical="center"/>
    </xf>
    <xf numFmtId="1" fontId="3" fillId="6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6" borderId="2" xfId="0" applyNumberFormat="1" applyFont="1" applyFill="1" applyBorder="1" applyAlignment="1">
      <alignment horizontal="center" vertical="center"/>
    </xf>
    <xf numFmtId="166" fontId="2" fillId="6" borderId="1" xfId="0" applyNumberFormat="1" applyFont="1" applyFill="1" applyBorder="1" applyAlignment="1">
      <alignment horizontal="center" vertical="center"/>
    </xf>
    <xf numFmtId="20" fontId="2" fillId="6" borderId="1" xfId="0" applyNumberFormat="1" applyFont="1" applyFill="1" applyBorder="1" applyAlignment="1">
      <alignment horizontal="center" vertical="center"/>
    </xf>
    <xf numFmtId="167" fontId="2" fillId="6" borderId="1" xfId="0" applyNumberFormat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 wrapText="1"/>
    </xf>
    <xf numFmtId="164" fontId="2" fillId="7" borderId="4" xfId="0" applyNumberFormat="1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166" fontId="2" fillId="7" borderId="4" xfId="0" applyNumberFormat="1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/>
    </xf>
    <xf numFmtId="3" fontId="2" fillId="7" borderId="4" xfId="0" applyNumberFormat="1" applyFont="1" applyFill="1" applyBorder="1" applyAlignment="1">
      <alignment horizontal="right" vertical="center"/>
    </xf>
    <xf numFmtId="0" fontId="2" fillId="7" borderId="4" xfId="0" applyFont="1" applyFill="1" applyBorder="1" applyAlignment="1">
      <alignment horizontal="left" vertical="center"/>
    </xf>
    <xf numFmtId="1" fontId="8" fillId="7" borderId="4" xfId="0" applyNumberFormat="1" applyFont="1" applyFill="1" applyBorder="1" applyAlignment="1">
      <alignment horizontal="center" vertical="center"/>
    </xf>
    <xf numFmtId="2" fontId="2" fillId="7" borderId="4" xfId="0" applyNumberFormat="1" applyFont="1" applyFill="1" applyBorder="1" applyAlignment="1">
      <alignment horizontal="center" vertical="center"/>
    </xf>
    <xf numFmtId="166" fontId="2" fillId="7" borderId="4" xfId="0" applyNumberFormat="1" applyFont="1" applyFill="1" applyBorder="1" applyAlignment="1">
      <alignment horizontal="center" vertical="center"/>
    </xf>
    <xf numFmtId="20" fontId="2" fillId="7" borderId="4" xfId="0" applyNumberFormat="1" applyFont="1" applyFill="1" applyBorder="1" applyAlignment="1">
      <alignment horizontal="center" vertical="center"/>
    </xf>
    <xf numFmtId="167" fontId="2" fillId="7" borderId="2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  <xf numFmtId="3" fontId="3" fillId="8" borderId="1" xfId="0" applyNumberFormat="1" applyFont="1" applyFill="1" applyBorder="1" applyAlignment="1">
      <alignment horizontal="right" vertical="center"/>
    </xf>
    <xf numFmtId="1" fontId="3" fillId="8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3" fontId="3" fillId="0" borderId="10" xfId="0" applyNumberFormat="1" applyFont="1" applyBorder="1" applyAlignment="1">
      <alignment horizontal="right" vertical="center"/>
    </xf>
    <xf numFmtId="3" fontId="3" fillId="8" borderId="10" xfId="0" applyNumberFormat="1" applyFont="1" applyFill="1" applyBorder="1" applyAlignment="1">
      <alignment horizontal="right" vertical="center"/>
    </xf>
    <xf numFmtId="1" fontId="3" fillId="8" borderId="10" xfId="0" applyNumberFormat="1" applyFont="1" applyFill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166" fontId="2" fillId="0" borderId="10" xfId="0" applyNumberFormat="1" applyFont="1" applyBorder="1" applyAlignment="1">
      <alignment horizontal="center" vertical="center"/>
    </xf>
    <xf numFmtId="20" fontId="2" fillId="0" borderId="10" xfId="0" applyNumberFormat="1" applyFont="1" applyBorder="1" applyAlignment="1">
      <alignment horizontal="center" vertical="center"/>
    </xf>
    <xf numFmtId="167" fontId="2" fillId="0" borderId="10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4" fillId="0" borderId="8" xfId="0" applyFont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2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" fontId="3" fillId="2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3" fontId="3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/>
    </xf>
    <xf numFmtId="1" fontId="2" fillId="2" borderId="4" xfId="0" applyNumberFormat="1" applyFont="1" applyFill="1" applyBorder="1" applyAlignment="1">
      <alignment horizontal="center" vertical="center"/>
    </xf>
    <xf numFmtId="1" fontId="2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/>
    </xf>
    <xf numFmtId="166" fontId="2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5" fontId="3" fillId="2" borderId="6" xfId="0" applyNumberFormat="1" applyFont="1" applyFill="1" applyBorder="1" applyAlignment="1">
      <alignment vertical="center"/>
    </xf>
    <xf numFmtId="0" fontId="9" fillId="0" borderId="6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1" fontId="4" fillId="4" borderId="4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vertical="center"/>
    </xf>
    <xf numFmtId="49" fontId="3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/>
    </xf>
    <xf numFmtId="2" fontId="2" fillId="4" borderId="4" xfId="0" applyNumberFormat="1" applyFont="1" applyFill="1" applyBorder="1" applyAlignment="1">
      <alignment horizontal="center" vertical="center"/>
    </xf>
    <xf numFmtId="20" fontId="2" fillId="4" borderId="4" xfId="0" applyNumberFormat="1" applyFont="1" applyFill="1" applyBorder="1" applyAlignment="1">
      <alignment horizontal="center" vertical="center"/>
    </xf>
    <xf numFmtId="167" fontId="2" fillId="4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9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3" xfId="0" applyNumberFormat="1" applyFont="1" applyFill="1" applyBorder="1" applyAlignment="1">
      <alignment horizontal="center" vertical="center"/>
    </xf>
    <xf numFmtId="2" fontId="2" fillId="3" borderId="5" xfId="0" applyNumberFormat="1" applyFont="1" applyFill="1" applyBorder="1" applyAlignment="1">
      <alignment horizontal="center" vertical="center"/>
    </xf>
    <xf numFmtId="166" fontId="2" fillId="3" borderId="5" xfId="0" applyNumberFormat="1" applyFont="1" applyFill="1" applyBorder="1" applyAlignment="1">
      <alignment horizontal="center" vertical="center"/>
    </xf>
    <xf numFmtId="20" fontId="2" fillId="3" borderId="5" xfId="0" applyNumberFormat="1" applyFont="1" applyFill="1" applyBorder="1" applyAlignment="1">
      <alignment horizontal="center" vertical="center"/>
    </xf>
    <xf numFmtId="167" fontId="2" fillId="3" borderId="6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1" fontId="3" fillId="10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0" fontId="3" fillId="10" borderId="3" xfId="0" applyFont="1" applyFill="1" applyBorder="1" applyAlignment="1">
      <alignment horizontal="center" vertical="center"/>
    </xf>
    <xf numFmtId="2" fontId="3" fillId="10" borderId="4" xfId="0" applyNumberFormat="1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165" fontId="3" fillId="10" borderId="2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1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" fontId="3" fillId="3" borderId="5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3" fontId="3" fillId="3" borderId="4" xfId="0" applyNumberFormat="1" applyFont="1" applyFill="1" applyBorder="1" applyAlignment="1">
      <alignment horizontal="right" vertical="center"/>
    </xf>
    <xf numFmtId="49" fontId="3" fillId="3" borderId="4" xfId="0" applyNumberFormat="1" applyFont="1" applyFill="1" applyBorder="1" applyAlignment="1">
      <alignment horizontal="left" vertical="center"/>
    </xf>
    <xf numFmtId="1" fontId="2" fillId="3" borderId="4" xfId="0" applyNumberFormat="1" applyFont="1" applyFill="1" applyBorder="1" applyAlignment="1">
      <alignment horizontal="center" vertical="center"/>
    </xf>
    <xf numFmtId="1" fontId="2" fillId="3" borderId="5" xfId="0" applyNumberFormat="1" applyFont="1" applyFill="1" applyBorder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166" fontId="2" fillId="3" borderId="0" xfId="0" applyNumberFormat="1" applyFont="1" applyFill="1" applyAlignment="1">
      <alignment horizontal="center" vertical="center"/>
    </xf>
    <xf numFmtId="165" fontId="3" fillId="2" borderId="13" xfId="0" applyNumberFormat="1" applyFont="1" applyFill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166" fontId="2" fillId="3" borderId="1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2" fontId="2" fillId="3" borderId="1" xfId="0" applyNumberFormat="1" applyFont="1" applyFill="1" applyBorder="1" applyAlignment="1">
      <alignment horizontal="center" vertical="center"/>
    </xf>
    <xf numFmtId="166" fontId="2" fillId="5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20" fontId="2" fillId="3" borderId="1" xfId="0" applyNumberFormat="1" applyFont="1" applyFill="1" applyBorder="1" applyAlignment="1">
      <alignment horizontal="center" vertical="center"/>
    </xf>
    <xf numFmtId="3" fontId="3" fillId="11" borderId="10" xfId="0" applyNumberFormat="1" applyFont="1" applyFill="1" applyBorder="1" applyAlignment="1">
      <alignment horizontal="right" vertical="center"/>
    </xf>
    <xf numFmtId="0" fontId="4" fillId="0" borderId="10" xfId="0" applyFont="1" applyBorder="1" applyAlignment="1">
      <alignment horizontal="center" vertical="center"/>
    </xf>
    <xf numFmtId="1" fontId="3" fillId="11" borderId="10" xfId="0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" fontId="10" fillId="3" borderId="3" xfId="0" applyNumberFormat="1" applyFont="1" applyFill="1" applyBorder="1" applyAlignment="1">
      <alignment horizontal="center" vertical="center"/>
    </xf>
    <xf numFmtId="167" fontId="3" fillId="5" borderId="14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" fontId="8" fillId="5" borderId="1" xfId="0" applyNumberFormat="1" applyFont="1" applyFill="1" applyBorder="1" applyAlignment="1">
      <alignment horizontal="center" vertical="center"/>
    </xf>
    <xf numFmtId="167" fontId="2" fillId="3" borderId="1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167" fontId="2" fillId="0" borderId="14" xfId="0" applyNumberFormat="1" applyFont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" fillId="11" borderId="1" xfId="0" applyFont="1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2" fillId="11" borderId="1" xfId="0" applyFont="1" applyFill="1" applyBorder="1" applyAlignment="1">
      <alignment horizontal="center" vertical="center" wrapText="1"/>
    </xf>
    <xf numFmtId="164" fontId="2" fillId="11" borderId="1" xfId="0" applyNumberFormat="1" applyFont="1" applyFill="1" applyBorder="1" applyAlignment="1">
      <alignment horizontal="center" vertical="center" wrapText="1"/>
    </xf>
    <xf numFmtId="166" fontId="2" fillId="11" borderId="1" xfId="0" applyNumberFormat="1" applyFont="1" applyFill="1" applyBorder="1" applyAlignment="1">
      <alignment horizontal="center" vertical="center" wrapText="1"/>
    </xf>
    <xf numFmtId="168" fontId="3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right" vertical="center"/>
    </xf>
    <xf numFmtId="0" fontId="2" fillId="11" borderId="1" xfId="0" applyFont="1" applyFill="1" applyBorder="1" applyAlignment="1">
      <alignment horizontal="left" vertical="center"/>
    </xf>
    <xf numFmtId="1" fontId="8" fillId="11" borderId="1" xfId="0" applyNumberFormat="1" applyFont="1" applyFill="1" applyBorder="1" applyAlignment="1">
      <alignment horizontal="center" vertical="center"/>
    </xf>
    <xf numFmtId="1" fontId="8" fillId="11" borderId="3" xfId="0" applyNumberFormat="1" applyFont="1" applyFill="1" applyBorder="1" applyAlignment="1">
      <alignment horizontal="center" vertical="center"/>
    </xf>
    <xf numFmtId="2" fontId="2" fillId="11" borderId="1" xfId="0" applyNumberFormat="1" applyFont="1" applyFill="1" applyBorder="1" applyAlignment="1">
      <alignment horizontal="center" vertical="center"/>
    </xf>
    <xf numFmtId="166" fontId="2" fillId="11" borderId="1" xfId="0" applyNumberFormat="1" applyFont="1" applyFill="1" applyBorder="1" applyAlignment="1">
      <alignment horizontal="center" vertical="center"/>
    </xf>
    <xf numFmtId="20" fontId="2" fillId="11" borderId="1" xfId="0" applyNumberFormat="1" applyFont="1" applyFill="1" applyBorder="1" applyAlignment="1">
      <alignment horizontal="center" vertical="center"/>
    </xf>
    <xf numFmtId="167" fontId="2" fillId="11" borderId="1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11" fillId="10" borderId="1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3" fillId="3" borderId="5" xfId="0" applyNumberFormat="1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/>
    </xf>
    <xf numFmtId="3" fontId="4" fillId="5" borderId="4" xfId="0" applyNumberFormat="1" applyFont="1" applyFill="1" applyBorder="1" applyAlignment="1">
      <alignment horizontal="right" vertical="center"/>
    </xf>
    <xf numFmtId="0" fontId="0" fillId="5" borderId="4" xfId="0" applyFill="1" applyBorder="1" applyAlignment="1">
      <alignment horizontal="right" vertical="center"/>
    </xf>
    <xf numFmtId="0" fontId="2" fillId="3" borderId="5" xfId="0" applyFont="1" applyFill="1" applyBorder="1" applyAlignment="1">
      <alignment horizontal="left" vertical="center"/>
    </xf>
    <xf numFmtId="1" fontId="0" fillId="3" borderId="5" xfId="0" applyNumberFormat="1" applyFill="1" applyBorder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21" fontId="2" fillId="3" borderId="0" xfId="0" applyNumberFormat="1" applyFont="1" applyFill="1" applyAlignment="1">
      <alignment horizontal="center" vertical="center"/>
    </xf>
    <xf numFmtId="165" fontId="2" fillId="3" borderId="13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3" fontId="4" fillId="3" borderId="12" xfId="0" applyNumberFormat="1" applyFont="1" applyFill="1" applyBorder="1" applyAlignment="1">
      <alignment horizontal="right" vertical="center"/>
    </xf>
    <xf numFmtId="0" fontId="2" fillId="3" borderId="12" xfId="0" applyFont="1" applyFill="1" applyBorder="1" applyAlignment="1">
      <alignment horizontal="left" vertical="center"/>
    </xf>
    <xf numFmtId="2" fontId="12" fillId="3" borderId="5" xfId="0" applyNumberFormat="1" applyFont="1" applyFill="1" applyBorder="1" applyAlignment="1">
      <alignment horizontal="center" vertical="center"/>
    </xf>
    <xf numFmtId="3" fontId="12" fillId="3" borderId="5" xfId="0" applyNumberFormat="1" applyFont="1" applyFill="1" applyBorder="1" applyAlignment="1">
      <alignment horizontal="center" vertical="center"/>
    </xf>
    <xf numFmtId="21" fontId="2" fillId="3" borderId="5" xfId="0" applyNumberFormat="1" applyFont="1" applyFill="1" applyBorder="1" applyAlignment="1">
      <alignment horizontal="center" vertical="center"/>
    </xf>
    <xf numFmtId="165" fontId="2" fillId="2" borderId="6" xfId="0" applyNumberFormat="1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right" vertical="center"/>
    </xf>
    <xf numFmtId="49" fontId="3" fillId="4" borderId="4" xfId="0" applyNumberFormat="1" applyFont="1" applyFill="1" applyBorder="1" applyAlignment="1">
      <alignment horizontal="center" vertical="center"/>
    </xf>
    <xf numFmtId="166" fontId="0" fillId="3" borderId="1" xfId="0" applyNumberForma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2" fontId="2" fillId="3" borderId="10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2" fontId="2" fillId="3" borderId="11" xfId="0" applyNumberFormat="1" applyFont="1" applyFill="1" applyBorder="1" applyAlignment="1">
      <alignment horizontal="center" vertical="center"/>
    </xf>
    <xf numFmtId="164" fontId="3" fillId="12" borderId="1" xfId="0" applyNumberFormat="1" applyFont="1" applyFill="1" applyBorder="1" applyAlignment="1">
      <alignment horizontal="center" vertical="center" wrapText="1"/>
    </xf>
    <xf numFmtId="1" fontId="8" fillId="12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/>
    </xf>
    <xf numFmtId="166" fontId="0" fillId="0" borderId="1" xfId="0" applyNumberForma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2" fontId="4" fillId="0" borderId="10" xfId="0" applyNumberFormat="1" applyFont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 wrapText="1"/>
    </xf>
    <xf numFmtId="166" fontId="0" fillId="13" borderId="1" xfId="0" applyNumberFormat="1" applyFill="1" applyBorder="1" applyAlignment="1">
      <alignment vertical="center"/>
    </xf>
    <xf numFmtId="0" fontId="2" fillId="13" borderId="1" xfId="0" applyFont="1" applyFill="1" applyBorder="1" applyAlignment="1">
      <alignment vertical="center"/>
    </xf>
    <xf numFmtId="2" fontId="13" fillId="14" borderId="1" xfId="0" applyNumberFormat="1" applyFont="1" applyFill="1" applyBorder="1" applyAlignment="1">
      <alignment horizontal="center" vertical="center" wrapText="1"/>
    </xf>
    <xf numFmtId="164" fontId="3" fillId="10" borderId="1" xfId="0" applyNumberFormat="1" applyFont="1" applyFill="1" applyBorder="1" applyAlignment="1">
      <alignment horizontal="center" vertical="center"/>
    </xf>
    <xf numFmtId="165" fontId="3" fillId="10" borderId="1" xfId="0" applyNumberFormat="1" applyFont="1" applyFill="1" applyBorder="1" applyAlignment="1">
      <alignment vertical="center"/>
    </xf>
    <xf numFmtId="165" fontId="2" fillId="3" borderId="6" xfId="0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vertical="center"/>
    </xf>
    <xf numFmtId="166" fontId="0" fillId="3" borderId="4" xfId="0" applyNumberForma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166" fontId="2" fillId="3" borderId="1" xfId="0" applyNumberFormat="1" applyFont="1" applyFill="1" applyBorder="1" applyAlignment="1">
      <alignment vertical="center"/>
    </xf>
    <xf numFmtId="164" fontId="3" fillId="11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3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vertical="center"/>
    </xf>
  </cellXfs>
  <cellStyles count="2">
    <cellStyle name="Normal" xfId="0" builtinId="0"/>
    <cellStyle name="Normal_Schedule " xfId="1" xr:uid="{AD235D4C-BA76-4975-A9A7-A92D1FA77402}"/>
  </cellStyles>
  <dxfs count="27"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chedu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CPSI%20Supply%20Chain\Ballina%20Planning\Master%20scheduling\Dry%20Parts%20MS\YPSR2%20Formatte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 sheet"/>
      <sheetName val="10.11"/>
      <sheetName val="09.11"/>
      <sheetName val="06.11"/>
      <sheetName val="05.11"/>
      <sheetName val="Checks"/>
      <sheetName val="PO Numbers"/>
      <sheetName val="OpenBatch"/>
      <sheetName val="OB Connect"/>
      <sheetName val="Label"/>
      <sheetName val="CustomerOrder POs"/>
      <sheetName val="Sheet1"/>
    </sheetNames>
    <sheetDataSet>
      <sheetData sheetId="0">
        <row r="2">
          <cell r="G2">
            <v>0.156</v>
          </cell>
          <cell r="K2">
            <v>1677144</v>
          </cell>
          <cell r="L2" t="str">
            <v>OR/N-1463.00 P1 6UN CTN 2 BAG</v>
          </cell>
          <cell r="M2">
            <v>27</v>
          </cell>
          <cell r="N2">
            <v>54</v>
          </cell>
          <cell r="O2" t="str">
            <v>F_D4A</v>
          </cell>
          <cell r="P2" t="str">
            <v/>
          </cell>
          <cell r="Q2">
            <v>5040</v>
          </cell>
          <cell r="R2">
            <v>1600</v>
          </cell>
          <cell r="S2" t="str">
            <v>1600214</v>
          </cell>
          <cell r="T2" t="str">
            <v>CIT</v>
          </cell>
          <cell r="U2" t="str">
            <v>529</v>
          </cell>
          <cell r="V2" t="str">
            <v>B8</v>
          </cell>
          <cell r="W2" t="str">
            <v/>
          </cell>
          <cell r="X2" t="str">
            <v>ACT</v>
          </cell>
          <cell r="Z2">
            <v>8.9570000000000007</v>
          </cell>
          <cell r="AA2" t="str">
            <v>8-9Kgs CIT</v>
          </cell>
          <cell r="AB2" t="str">
            <v>CIT</v>
          </cell>
          <cell r="AC2" t="str">
            <v>NOV</v>
          </cell>
          <cell r="AD2" t="str">
            <v>Weight &gt; 7 Kg</v>
          </cell>
          <cell r="AE2" t="str">
            <v>4</v>
          </cell>
          <cell r="AF2" t="str">
            <v/>
          </cell>
          <cell r="AG2">
            <v>12.9</v>
          </cell>
          <cell r="AH2" t="str">
            <v>50143345</v>
          </cell>
          <cell r="AI2" t="str">
            <v>1</v>
          </cell>
          <cell r="AJ2" t="str">
            <v>P110</v>
          </cell>
          <cell r="AK2" t="str">
            <v>LA</v>
          </cell>
          <cell r="AL2" t="str">
            <v/>
          </cell>
        </row>
        <row r="3">
          <cell r="G3">
            <v>0.311</v>
          </cell>
          <cell r="K3">
            <v>1964692</v>
          </cell>
          <cell r="L3" t="str">
            <v>PE/B-495.00 P1 3UN CTN 1 BAG</v>
          </cell>
          <cell r="M3">
            <v>108</v>
          </cell>
          <cell r="N3">
            <v>108</v>
          </cell>
          <cell r="O3" t="str">
            <v>F_D4A</v>
          </cell>
          <cell r="P3" t="str">
            <v/>
          </cell>
          <cell r="Q3">
            <v>5040</v>
          </cell>
          <cell r="R3">
            <v>1600</v>
          </cell>
          <cell r="S3" t="str">
            <v>1600214</v>
          </cell>
          <cell r="T3" t="str">
            <v>CIT</v>
          </cell>
          <cell r="U3" t="str">
            <v>529</v>
          </cell>
          <cell r="V3" t="str">
            <v>B8</v>
          </cell>
          <cell r="W3" t="str">
            <v/>
          </cell>
          <cell r="X3" t="str">
            <v>ACT</v>
          </cell>
          <cell r="Z3">
            <v>10.598000000000001</v>
          </cell>
          <cell r="AA3" t="str">
            <v xml:space="preserve">10-11Kgs CIT </v>
          </cell>
          <cell r="AB3" t="str">
            <v>CIT</v>
          </cell>
          <cell r="AC3" t="str">
            <v>NOV</v>
          </cell>
          <cell r="AD3" t="str">
            <v>Weight &gt; 7 Kg</v>
          </cell>
          <cell r="AE3" t="str">
            <v>4</v>
          </cell>
          <cell r="AF3" t="str">
            <v/>
          </cell>
          <cell r="AG3">
            <v>12.7</v>
          </cell>
          <cell r="AH3" t="str">
            <v>50160879</v>
          </cell>
          <cell r="AI3" t="str">
            <v>1</v>
          </cell>
          <cell r="AJ3" t="str">
            <v>P110</v>
          </cell>
          <cell r="AK3" t="str">
            <v>LA</v>
          </cell>
          <cell r="AL3" t="str">
            <v/>
          </cell>
        </row>
        <row r="4">
          <cell r="G4">
            <v>0.623</v>
          </cell>
          <cell r="K4">
            <v>1405653</v>
          </cell>
          <cell r="L4" t="str">
            <v>OR-1078.002/.004 P1,1B 4UN CTN 4 BAGS</v>
          </cell>
          <cell r="M4">
            <v>54</v>
          </cell>
          <cell r="N4">
            <v>216</v>
          </cell>
          <cell r="O4" t="str">
            <v>F_D4A</v>
          </cell>
          <cell r="P4" t="str">
            <v/>
          </cell>
          <cell r="Q4">
            <v>5040</v>
          </cell>
          <cell r="R4">
            <v>1610</v>
          </cell>
          <cell r="S4" t="str">
            <v>1610207</v>
          </cell>
          <cell r="T4" t="str">
            <v>CIT/ASC</v>
          </cell>
          <cell r="U4" t="str">
            <v>529</v>
          </cell>
          <cell r="V4" t="str">
            <v>B8</v>
          </cell>
          <cell r="W4" t="str">
            <v>4 of 1243142 (SBZ)</v>
          </cell>
          <cell r="X4" t="str">
            <v>ACT</v>
          </cell>
          <cell r="Z4">
            <v>3.8</v>
          </cell>
          <cell r="AA4" t="str">
            <v>3-4Kgs CIT, 0-1Kgs ASC</v>
          </cell>
          <cell r="AB4" t="str">
            <v>CIT/ASC</v>
          </cell>
          <cell r="AC4" t="str">
            <v>NOV</v>
          </cell>
          <cell r="AD4" t="str">
            <v>Weight &lt;= 7 Kg</v>
          </cell>
          <cell r="AE4" t="str">
            <v>4</v>
          </cell>
          <cell r="AF4" t="str">
            <v/>
          </cell>
          <cell r="AG4">
            <v>17.100000000000001</v>
          </cell>
          <cell r="AH4" t="str">
            <v>50147491</v>
          </cell>
          <cell r="AI4" t="str">
            <v>1</v>
          </cell>
          <cell r="AJ4" t="str">
            <v>P110</v>
          </cell>
          <cell r="AK4" t="str">
            <v>LA</v>
          </cell>
          <cell r="AL4" t="str">
            <v/>
          </cell>
        </row>
        <row r="5">
          <cell r="G5">
            <v>0.311</v>
          </cell>
          <cell r="K5">
            <v>1743107</v>
          </cell>
          <cell r="L5" t="str">
            <v>LE-536.30 P1 4UN CTN 2 BAGS</v>
          </cell>
          <cell r="M5">
            <v>54</v>
          </cell>
          <cell r="N5">
            <v>108</v>
          </cell>
          <cell r="O5" t="str">
            <v>F_D4A</v>
          </cell>
          <cell r="P5" t="str">
            <v/>
          </cell>
          <cell r="Q5">
            <v>5040</v>
          </cell>
          <cell r="R5">
            <v>1610</v>
          </cell>
          <cell r="S5" t="str">
            <v>1610214</v>
          </cell>
          <cell r="T5" t="str">
            <v>CIT/ASC</v>
          </cell>
          <cell r="U5" t="str">
            <v>529</v>
          </cell>
          <cell r="V5" t="str">
            <v>B8</v>
          </cell>
          <cell r="W5" t="str">
            <v/>
          </cell>
          <cell r="X5" t="str">
            <v>ACT</v>
          </cell>
          <cell r="Z5">
            <v>11.04</v>
          </cell>
          <cell r="AA5" t="str">
            <v>10-11Kgs CIT, 0-1Kgs ASC</v>
          </cell>
          <cell r="AB5" t="str">
            <v>CIT/ASC</v>
          </cell>
          <cell r="AC5" t="str">
            <v>NOV</v>
          </cell>
          <cell r="AD5" t="str">
            <v>Weight &gt; 7 Kg</v>
          </cell>
          <cell r="AE5" t="str">
            <v>4</v>
          </cell>
          <cell r="AF5" t="str">
            <v/>
          </cell>
          <cell r="AG5">
            <v>12.7</v>
          </cell>
          <cell r="AH5" t="str">
            <v>50144269</v>
          </cell>
          <cell r="AI5" t="str">
            <v>1</v>
          </cell>
          <cell r="AJ5" t="str">
            <v>P110</v>
          </cell>
          <cell r="AK5" t="str">
            <v>LA</v>
          </cell>
          <cell r="AL5" t="str">
            <v/>
          </cell>
        </row>
        <row r="6">
          <cell r="G6">
            <v>0.16500000000000001</v>
          </cell>
          <cell r="K6">
            <v>1408495</v>
          </cell>
          <cell r="L6" t="str">
            <v>OR-1087.002/.003 P1,1B 5UN CTN 1 BAG</v>
          </cell>
          <cell r="M6">
            <v>54</v>
          </cell>
          <cell r="N6">
            <v>54</v>
          </cell>
          <cell r="O6" t="str">
            <v>F_D4A</v>
          </cell>
          <cell r="P6" t="str">
            <v/>
          </cell>
          <cell r="Q6">
            <v>5040</v>
          </cell>
          <cell r="R6">
            <v>1610</v>
          </cell>
          <cell r="S6" t="str">
            <v>1610214</v>
          </cell>
          <cell r="T6" t="str">
            <v>CIT/ASC</v>
          </cell>
          <cell r="U6" t="str">
            <v>529</v>
          </cell>
          <cell r="V6" t="str">
            <v>B8</v>
          </cell>
          <cell r="W6" t="str">
            <v>1 of 1408496 (SBZ/811)</v>
          </cell>
          <cell r="X6" t="str">
            <v>ACT</v>
          </cell>
          <cell r="Z6">
            <v>13.28</v>
          </cell>
          <cell r="AA6" t="str">
            <v>12-13Kgs CIT, 0-1Kgs ASC</v>
          </cell>
          <cell r="AB6" t="str">
            <v>CIT/ASC</v>
          </cell>
          <cell r="AC6" t="str">
            <v>NOV</v>
          </cell>
          <cell r="AD6" t="str">
            <v>Weight &gt; 7 Kg</v>
          </cell>
          <cell r="AE6" t="str">
            <v>4</v>
          </cell>
          <cell r="AF6" t="str">
            <v/>
          </cell>
          <cell r="AG6">
            <v>17.7</v>
          </cell>
          <cell r="AH6" t="str">
            <v>50147446</v>
          </cell>
          <cell r="AI6" t="str">
            <v>1</v>
          </cell>
          <cell r="AJ6" t="str">
            <v>P110</v>
          </cell>
          <cell r="AK6" t="str">
            <v>LA</v>
          </cell>
          <cell r="AL6" t="str">
            <v/>
          </cell>
        </row>
        <row r="7">
          <cell r="G7">
            <v>0.82699999999999996</v>
          </cell>
          <cell r="K7">
            <v>1399997</v>
          </cell>
          <cell r="L7" t="str">
            <v>BT/LE/4-82.101/.301 P1,P1B 1UN CTN 1BAG</v>
          </cell>
          <cell r="M7">
            <v>270</v>
          </cell>
          <cell r="N7">
            <v>270</v>
          </cell>
          <cell r="O7" t="str">
            <v>F_D4A</v>
          </cell>
          <cell r="P7" t="str">
            <v/>
          </cell>
          <cell r="Q7">
            <v>5040</v>
          </cell>
          <cell r="R7">
            <v>1610</v>
          </cell>
          <cell r="S7" t="str">
            <v>1610214</v>
          </cell>
          <cell r="T7" t="str">
            <v>CIT/ASC</v>
          </cell>
          <cell r="U7" t="str">
            <v>529</v>
          </cell>
          <cell r="V7" t="str">
            <v>B8</v>
          </cell>
          <cell r="W7" t="str">
            <v>1 of 1379547 (811)</v>
          </cell>
          <cell r="X7" t="str">
            <v>ACT</v>
          </cell>
          <cell r="Z7">
            <v>13.78</v>
          </cell>
          <cell r="AA7" t="str">
            <v>13-14Kgs CIT, 0-1Kgs ASC</v>
          </cell>
          <cell r="AB7" t="str">
            <v>CIT/ASC</v>
          </cell>
          <cell r="AC7" t="str">
            <v>NOV</v>
          </cell>
          <cell r="AD7" t="str">
            <v>Weight &gt; 7 Kg</v>
          </cell>
          <cell r="AE7" t="str">
            <v>4</v>
          </cell>
          <cell r="AF7" t="str">
            <v/>
          </cell>
          <cell r="AG7">
            <v>12.2</v>
          </cell>
          <cell r="AH7" t="str">
            <v>50147361</v>
          </cell>
          <cell r="AI7" t="str">
            <v>1</v>
          </cell>
          <cell r="AJ7" t="str">
            <v>P110</v>
          </cell>
          <cell r="AK7" t="str">
            <v>LA</v>
          </cell>
          <cell r="AL7" t="str">
            <v/>
          </cell>
        </row>
        <row r="8">
          <cell r="G8">
            <v>1.3240000000000001</v>
          </cell>
          <cell r="K8">
            <v>1498406</v>
          </cell>
          <cell r="L8" t="str">
            <v>MA/6-100.001 P1,1D,1B 0.5UN CTN 1 BAG</v>
          </cell>
          <cell r="M8">
            <v>432</v>
          </cell>
          <cell r="N8">
            <v>432</v>
          </cell>
          <cell r="O8" t="str">
            <v>F_D4A</v>
          </cell>
          <cell r="P8" t="str">
            <v/>
          </cell>
          <cell r="Q8">
            <v>5040</v>
          </cell>
          <cell r="R8">
            <v>1610</v>
          </cell>
          <cell r="S8" t="str">
            <v>1610214</v>
          </cell>
          <cell r="T8" t="str">
            <v>CIT/ASC</v>
          </cell>
          <cell r="U8" t="str">
            <v>529</v>
          </cell>
          <cell r="V8" t="str">
            <v>B8</v>
          </cell>
          <cell r="W8" t="str">
            <v>1 of 1498401 (811), 1 of 1498403 (7635)</v>
          </cell>
          <cell r="X8" t="str">
            <v>ACT</v>
          </cell>
          <cell r="Z8">
            <v>14.55</v>
          </cell>
          <cell r="AA8" t="str">
            <v>13-14Kgs CIT, 1-2Kgs ASC</v>
          </cell>
          <cell r="AB8" t="str">
            <v>CIT/ASC</v>
          </cell>
          <cell r="AC8" t="str">
            <v>NOV</v>
          </cell>
          <cell r="AD8" t="str">
            <v>Weight &gt; 7 Kg</v>
          </cell>
          <cell r="AE8" t="str">
            <v>4</v>
          </cell>
          <cell r="AF8" t="str">
            <v/>
          </cell>
          <cell r="AG8">
            <v>12.5</v>
          </cell>
          <cell r="AH8" t="str">
            <v>50147499</v>
          </cell>
          <cell r="AI8" t="str">
            <v>1</v>
          </cell>
          <cell r="AJ8" t="str">
            <v>P110</v>
          </cell>
          <cell r="AK8" t="str">
            <v>LA</v>
          </cell>
          <cell r="AL8" t="str">
            <v/>
          </cell>
        </row>
        <row r="9">
          <cell r="G9">
            <v>0.33100000000000002</v>
          </cell>
          <cell r="K9">
            <v>2050144</v>
          </cell>
          <cell r="L9" t="str">
            <v>MA/B/6-160.00 P1 0.5UN CTN 1 BAG</v>
          </cell>
          <cell r="M9">
            <v>108</v>
          </cell>
          <cell r="N9">
            <v>108</v>
          </cell>
          <cell r="O9" t="str">
            <v>F_D4A</v>
          </cell>
          <cell r="P9" t="str">
            <v/>
          </cell>
          <cell r="Q9">
            <v>5040</v>
          </cell>
          <cell r="R9">
            <v>1610</v>
          </cell>
          <cell r="S9" t="str">
            <v>1610214</v>
          </cell>
          <cell r="T9" t="str">
            <v>CIT/ASC</v>
          </cell>
          <cell r="U9" t="str">
            <v>529</v>
          </cell>
          <cell r="V9" t="str">
            <v>B8</v>
          </cell>
          <cell r="W9" t="str">
            <v/>
          </cell>
          <cell r="X9" t="str">
            <v>ACT</v>
          </cell>
          <cell r="Z9">
            <v>14.55</v>
          </cell>
          <cell r="AA9" t="str">
            <v>13-14Kgs CIT, 1-2Kgs ASC</v>
          </cell>
          <cell r="AB9" t="str">
            <v>CIT/ASC</v>
          </cell>
          <cell r="AC9" t="str">
            <v>NOV</v>
          </cell>
          <cell r="AD9" t="str">
            <v>Weight &gt; 7 Kg</v>
          </cell>
          <cell r="AE9" t="str">
            <v>4</v>
          </cell>
          <cell r="AF9" t="str">
            <v/>
          </cell>
          <cell r="AG9">
            <v>12.2</v>
          </cell>
          <cell r="AH9" t="str">
            <v>50181221</v>
          </cell>
          <cell r="AI9" t="str">
            <v>1</v>
          </cell>
          <cell r="AJ9" t="str">
            <v>P110</v>
          </cell>
          <cell r="AK9" t="str">
            <v>LA</v>
          </cell>
          <cell r="AL9" t="str">
            <v/>
          </cell>
        </row>
        <row r="10">
          <cell r="G10">
            <v>1.4953846153846153</v>
          </cell>
          <cell r="K10">
            <v>1520721</v>
          </cell>
          <cell r="L10" t="str">
            <v>OR-1271.00 P1 4UN CTN 1 BAG</v>
          </cell>
          <cell r="M10">
            <v>486</v>
          </cell>
          <cell r="N10">
            <v>486</v>
          </cell>
          <cell r="O10" t="str">
            <v>F_D4A</v>
          </cell>
          <cell r="P10" t="str">
            <v/>
          </cell>
          <cell r="Q10">
            <v>5040</v>
          </cell>
          <cell r="R10">
            <v>1610</v>
          </cell>
          <cell r="S10" t="str">
            <v>1610214</v>
          </cell>
          <cell r="T10" t="str">
            <v>CIT/ASC</v>
          </cell>
          <cell r="U10" t="str">
            <v>529</v>
          </cell>
          <cell r="V10" t="str">
            <v>B8</v>
          </cell>
          <cell r="W10" t="str">
            <v/>
          </cell>
          <cell r="X10" t="str">
            <v>ACT</v>
          </cell>
          <cell r="Z10">
            <v>15.2</v>
          </cell>
          <cell r="AA10" t="str">
            <v>14-15Kgs CIT, 0-1Kgs ASC</v>
          </cell>
          <cell r="AB10" t="str">
            <v>CIT/ASC</v>
          </cell>
          <cell r="AC10" t="str">
            <v>NOV</v>
          </cell>
          <cell r="AD10" t="str">
            <v>Weight &gt; 7 Kg</v>
          </cell>
          <cell r="AE10" t="str">
            <v>4</v>
          </cell>
          <cell r="AF10" t="str">
            <v/>
          </cell>
          <cell r="AG10">
            <v>17</v>
          </cell>
          <cell r="AH10" t="str">
            <v>50147520</v>
          </cell>
          <cell r="AI10" t="str">
            <v>1</v>
          </cell>
          <cell r="AJ10" t="str">
            <v>P110</v>
          </cell>
          <cell r="AK10" t="str">
            <v>LA</v>
          </cell>
          <cell r="AL10" t="str">
            <v/>
          </cell>
        </row>
        <row r="11">
          <cell r="G11">
            <v>0.11076923076923077</v>
          </cell>
          <cell r="K11">
            <v>1608711</v>
          </cell>
          <cell r="L11" t="str">
            <v>TE/AP/B-32.00 P1K,3 2UN CTN 2BAG</v>
          </cell>
          <cell r="M11">
            <v>18</v>
          </cell>
          <cell r="N11">
            <v>36</v>
          </cell>
          <cell r="O11" t="str">
            <v>F_D4A</v>
          </cell>
          <cell r="P11" t="str">
            <v/>
          </cell>
          <cell r="Q11">
            <v>5040</v>
          </cell>
          <cell r="R11">
            <v>1630</v>
          </cell>
          <cell r="S11" t="str">
            <v>1630207</v>
          </cell>
          <cell r="T11" t="str">
            <v>CIT/ASC/TSO</v>
          </cell>
          <cell r="U11" t="str">
            <v>529</v>
          </cell>
          <cell r="V11" t="str">
            <v>B8</v>
          </cell>
          <cell r="W11" t="str">
            <v>2 of 1608708 (6171)</v>
          </cell>
          <cell r="X11" t="str">
            <v>ACT</v>
          </cell>
          <cell r="Z11">
            <v>4.923</v>
          </cell>
          <cell r="AA11" t="str">
            <v>2-3Kgs CIT, 1-2Kgs TSO, 0-1Kgs ASC</v>
          </cell>
          <cell r="AB11" t="str">
            <v>CIT/ASC/TSO</v>
          </cell>
          <cell r="AC11" t="str">
            <v>NOV</v>
          </cell>
          <cell r="AD11" t="str">
            <v>Weight &lt;= 7 Kg</v>
          </cell>
          <cell r="AE11" t="str">
            <v>4</v>
          </cell>
          <cell r="AF11" t="str">
            <v/>
          </cell>
          <cell r="AG11">
            <v>12.3</v>
          </cell>
          <cell r="AH11" t="str">
            <v>50142724</v>
          </cell>
          <cell r="AI11" t="str">
            <v>1</v>
          </cell>
          <cell r="AJ11" t="str">
            <v>P110</v>
          </cell>
          <cell r="AK11" t="str">
            <v>LA</v>
          </cell>
          <cell r="AL11" t="str">
            <v/>
          </cell>
        </row>
        <row r="12">
          <cell r="G12">
            <v>0.83076923076923082</v>
          </cell>
          <cell r="K12">
            <v>1611552</v>
          </cell>
          <cell r="L12" t="str">
            <v>TE/PF/B-11.00 P1K,3 2UN CTN 2BAG</v>
          </cell>
          <cell r="M12">
            <v>135</v>
          </cell>
          <cell r="N12">
            <v>270</v>
          </cell>
          <cell r="O12" t="str">
            <v>F_D4A</v>
          </cell>
          <cell r="P12" t="str">
            <v/>
          </cell>
          <cell r="Q12">
            <v>5040</v>
          </cell>
          <cell r="R12">
            <v>1630</v>
          </cell>
          <cell r="S12" t="str">
            <v>1630207</v>
          </cell>
          <cell r="T12" t="str">
            <v>CIT/ASC/TSO</v>
          </cell>
          <cell r="U12" t="str">
            <v>529</v>
          </cell>
          <cell r="V12" t="str">
            <v>B8</v>
          </cell>
          <cell r="W12" t="str">
            <v>2 of 1608708 (6171)</v>
          </cell>
          <cell r="X12" t="str">
            <v>ACT</v>
          </cell>
          <cell r="Z12">
            <v>5.7809999999999997</v>
          </cell>
          <cell r="AA12" t="str">
            <v>3-4Kgs CIT, 1-2Kgs TSO, 0-1Kgs ASC</v>
          </cell>
          <cell r="AB12" t="str">
            <v>CIT/ASC/TSO</v>
          </cell>
          <cell r="AC12" t="str">
            <v>NOV</v>
          </cell>
          <cell r="AD12" t="str">
            <v>Weight &lt;= 7 Kg</v>
          </cell>
          <cell r="AE12" t="str">
            <v>4</v>
          </cell>
          <cell r="AF12" t="str">
            <v/>
          </cell>
          <cell r="AG12">
            <v>12.1</v>
          </cell>
          <cell r="AH12" t="str">
            <v>50142744</v>
          </cell>
          <cell r="AI12" t="str">
            <v>1</v>
          </cell>
          <cell r="AJ12" t="str">
            <v>P110</v>
          </cell>
          <cell r="AK12" t="str">
            <v>LA</v>
          </cell>
          <cell r="AL12" t="str">
            <v/>
          </cell>
        </row>
        <row r="13">
          <cell r="G13">
            <v>0.24199999999999999</v>
          </cell>
          <cell r="K13">
            <v>1755099</v>
          </cell>
          <cell r="L13" t="str">
            <v>LE/A/B-618.101 P1K,1B,3 6UN CTN 1 BAG</v>
          </cell>
          <cell r="M13">
            <v>79</v>
          </cell>
          <cell r="N13">
            <v>79</v>
          </cell>
          <cell r="O13" t="str">
            <v>F_D4A</v>
          </cell>
          <cell r="P13" t="str">
            <v/>
          </cell>
          <cell r="Q13">
            <v>5040</v>
          </cell>
          <cell r="R13">
            <v>1630</v>
          </cell>
          <cell r="S13" t="str">
            <v>1630207</v>
          </cell>
          <cell r="T13" t="str">
            <v>CIT/ASC/TSO</v>
          </cell>
          <cell r="U13" t="str">
            <v>529</v>
          </cell>
          <cell r="V13" t="str">
            <v>B8</v>
          </cell>
          <cell r="W13" t="str">
            <v>1 of 1310992 (811), 1 of 1755097 (6159)</v>
          </cell>
          <cell r="X13" t="str">
            <v>ACT</v>
          </cell>
          <cell r="Z13">
            <v>6.39</v>
          </cell>
          <cell r="AA13" t="str">
            <v>3-4Kgs ASC, 1-2Kgs CIT, 1-2Kgs TSO</v>
          </cell>
          <cell r="AB13" t="str">
            <v>CIT/ASC/TSO</v>
          </cell>
          <cell r="AC13" t="str">
            <v>NOV</v>
          </cell>
          <cell r="AD13" t="str">
            <v>Weight &lt;= 7 Kg</v>
          </cell>
          <cell r="AE13" t="str">
            <v>4</v>
          </cell>
          <cell r="AF13" t="str">
            <v/>
          </cell>
          <cell r="AG13">
            <v>22.9</v>
          </cell>
          <cell r="AH13" t="str">
            <v>50144374</v>
          </cell>
          <cell r="AI13" t="str">
            <v>1</v>
          </cell>
          <cell r="AJ13" t="str">
            <v>P110</v>
          </cell>
          <cell r="AK13" t="str">
            <v>LA</v>
          </cell>
          <cell r="AL13" t="str">
            <v/>
          </cell>
        </row>
        <row r="14">
          <cell r="G14">
            <v>0.29399999999999998</v>
          </cell>
          <cell r="K14">
            <v>2051098</v>
          </cell>
          <cell r="L14" t="str">
            <v>TE/LE/A-189.10 P1A 3UN CTN 2 BAG</v>
          </cell>
          <cell r="M14">
            <v>48</v>
          </cell>
          <cell r="N14">
            <v>96</v>
          </cell>
          <cell r="O14" t="str">
            <v>F_D4A</v>
          </cell>
          <cell r="P14" t="str">
            <v/>
          </cell>
          <cell r="Q14">
            <v>5040</v>
          </cell>
          <cell r="R14" t="str">
            <v>1630</v>
          </cell>
          <cell r="S14" t="str">
            <v>1630207</v>
          </cell>
          <cell r="T14" t="str">
            <v>CIT/ASC/TSO</v>
          </cell>
          <cell r="U14" t="str">
            <v>529</v>
          </cell>
          <cell r="V14" t="str">
            <v>C1</v>
          </cell>
          <cell r="W14" t="str">
            <v/>
          </cell>
          <cell r="X14" t="str">
            <v>ACT</v>
          </cell>
          <cell r="Z14">
            <v>8.0250000000000004</v>
          </cell>
          <cell r="AA14" t="str">
            <v>5-6Kgs CIT, 1-2Kgs TSO, 1-2Kgs ASC</v>
          </cell>
          <cell r="AB14" t="str">
            <v>CIT/ASC/TSO</v>
          </cell>
          <cell r="AC14" t="str">
            <v>NOV</v>
          </cell>
          <cell r="AD14" t="str">
            <v>Weight &gt; 7 Kg</v>
          </cell>
          <cell r="AE14" t="str">
            <v>4</v>
          </cell>
          <cell r="AF14" t="str">
            <v/>
          </cell>
          <cell r="AG14">
            <v>12.5</v>
          </cell>
          <cell r="AH14" t="str">
            <v>50178070</v>
          </cell>
          <cell r="AI14" t="str">
            <v>1</v>
          </cell>
          <cell r="AJ14" t="str">
            <v>P110</v>
          </cell>
          <cell r="AK14" t="str">
            <v>LA</v>
          </cell>
          <cell r="AL14" t="str">
            <v/>
          </cell>
        </row>
        <row r="15">
          <cell r="G15">
            <v>1.4890000000000001</v>
          </cell>
          <cell r="K15">
            <v>1945454</v>
          </cell>
          <cell r="L15" t="str">
            <v>TE/LE/B-163.00 P1 3UN CTN 2 BAG</v>
          </cell>
          <cell r="M15">
            <v>243</v>
          </cell>
          <cell r="N15">
            <v>486</v>
          </cell>
          <cell r="O15" t="str">
            <v>F_D4A</v>
          </cell>
          <cell r="P15" t="str">
            <v/>
          </cell>
          <cell r="Q15">
            <v>5040</v>
          </cell>
          <cell r="R15">
            <v>1630</v>
          </cell>
          <cell r="S15" t="str">
            <v>1630214</v>
          </cell>
          <cell r="T15" t="str">
            <v>CIT/ASC/TSO</v>
          </cell>
          <cell r="U15" t="str">
            <v>529</v>
          </cell>
          <cell r="V15" t="str">
            <v>B8</v>
          </cell>
          <cell r="W15" t="str">
            <v/>
          </cell>
          <cell r="X15" t="str">
            <v>ACT</v>
          </cell>
          <cell r="Z15">
            <v>7.65</v>
          </cell>
          <cell r="AA15" t="str">
            <v>5-6Kgs CIT, 1-2Kgs TSO, 0-1Kgs ASC</v>
          </cell>
          <cell r="AB15" t="str">
            <v>CIT/ASC/TSO</v>
          </cell>
          <cell r="AC15" t="str">
            <v>NOV</v>
          </cell>
          <cell r="AD15" t="str">
            <v>Weight &gt; 7 Kg</v>
          </cell>
          <cell r="AE15" t="str">
            <v>4</v>
          </cell>
          <cell r="AF15" t="str">
            <v/>
          </cell>
          <cell r="AG15">
            <v>7.6</v>
          </cell>
          <cell r="AH15" t="str">
            <v>50157291</v>
          </cell>
          <cell r="AI15" t="str">
            <v>1</v>
          </cell>
          <cell r="AJ15" t="str">
            <v>P110</v>
          </cell>
          <cell r="AK15" t="str">
            <v>LA</v>
          </cell>
          <cell r="AL15" t="str">
            <v>OK FOR 4B</v>
          </cell>
        </row>
        <row r="16">
          <cell r="G16">
            <v>0.18461538461538463</v>
          </cell>
          <cell r="K16">
            <v>3008898</v>
          </cell>
          <cell r="L16" t="str">
            <v>TE/AP/B-54.00 P1K 2UN CTN 2 BAG</v>
          </cell>
          <cell r="M16">
            <v>30</v>
          </cell>
          <cell r="N16">
            <v>60</v>
          </cell>
          <cell r="O16" t="str">
            <v>F_D4A</v>
          </cell>
          <cell r="P16" t="str">
            <v/>
          </cell>
          <cell r="Q16">
            <v>5040</v>
          </cell>
          <cell r="R16">
            <v>1630</v>
          </cell>
          <cell r="S16" t="str">
            <v>1630214</v>
          </cell>
          <cell r="T16" t="str">
            <v>CIT/ASC/TSO</v>
          </cell>
          <cell r="U16" t="str">
            <v>529</v>
          </cell>
          <cell r="V16" t="str">
            <v>B8</v>
          </cell>
          <cell r="W16" t="str">
            <v/>
          </cell>
          <cell r="X16" t="str">
            <v>ACT</v>
          </cell>
          <cell r="Z16">
            <v>7.665</v>
          </cell>
          <cell r="AA16" t="str">
            <v>4-5Kgs CIT, 1-2Kgs TSO, 0-1Kgs ASC</v>
          </cell>
          <cell r="AB16" t="str">
            <v>CIT/ASC/TSO</v>
          </cell>
          <cell r="AC16" t="str">
            <v>NOV</v>
          </cell>
          <cell r="AD16" t="str">
            <v>Weight &gt; 7 Kg</v>
          </cell>
          <cell r="AE16" t="str">
            <v>4</v>
          </cell>
          <cell r="AF16" t="str">
            <v/>
          </cell>
          <cell r="AG16">
            <v>17.5</v>
          </cell>
          <cell r="AH16" t="str">
            <v>50192871</v>
          </cell>
          <cell r="AI16" t="str">
            <v>1</v>
          </cell>
          <cell r="AJ16" t="str">
            <v>P110</v>
          </cell>
          <cell r="AK16" t="str">
            <v>LA</v>
          </cell>
          <cell r="AL16" t="str">
            <v/>
          </cell>
        </row>
        <row r="17">
          <cell r="G17">
            <v>0.99299999999999999</v>
          </cell>
          <cell r="K17">
            <v>2082697</v>
          </cell>
          <cell r="L17" t="str">
            <v>TE/LE-198.00 P1K 2UN CTN 2 BAG</v>
          </cell>
          <cell r="M17">
            <v>162</v>
          </cell>
          <cell r="N17">
            <v>324</v>
          </cell>
          <cell r="O17" t="str">
            <v>F_D4A</v>
          </cell>
          <cell r="P17" t="str">
            <v/>
          </cell>
          <cell r="Q17">
            <v>5040</v>
          </cell>
          <cell r="R17">
            <v>1630</v>
          </cell>
          <cell r="S17" t="str">
            <v>1630214</v>
          </cell>
          <cell r="T17" t="str">
            <v>CIT/ASC/TSO</v>
          </cell>
          <cell r="U17" t="str">
            <v>529</v>
          </cell>
          <cell r="V17" t="str">
            <v>B8</v>
          </cell>
          <cell r="W17" t="str">
            <v/>
          </cell>
          <cell r="X17" t="str">
            <v>ACT</v>
          </cell>
          <cell r="Z17">
            <v>8.0890000000000004</v>
          </cell>
          <cell r="AA17" t="str">
            <v>5-6Kgs CIT, 1-2Kgs TSO, 0-1Kgs ASC</v>
          </cell>
          <cell r="AB17" t="str">
            <v>CIT/ASC/TSO</v>
          </cell>
          <cell r="AC17" t="str">
            <v>NOV</v>
          </cell>
          <cell r="AD17" t="str">
            <v>Weight &gt; 7 Kg</v>
          </cell>
          <cell r="AE17" t="str">
            <v>4</v>
          </cell>
          <cell r="AF17" t="str">
            <v/>
          </cell>
          <cell r="AG17">
            <v>6.8</v>
          </cell>
          <cell r="AH17" t="str">
            <v>50183045</v>
          </cell>
          <cell r="AI17" t="str">
            <v>1</v>
          </cell>
          <cell r="AJ17" t="str">
            <v>P110</v>
          </cell>
          <cell r="AK17" t="str">
            <v>LA</v>
          </cell>
          <cell r="AL17" t="str">
            <v/>
          </cell>
        </row>
        <row r="18">
          <cell r="G18">
            <v>0.33100000000000002</v>
          </cell>
          <cell r="K18">
            <v>2083026</v>
          </cell>
          <cell r="L18" t="str">
            <v>TE/BL/B-10.00 P1K 2.5UN CTN 2 BAGS</v>
          </cell>
          <cell r="M18">
            <v>54</v>
          </cell>
          <cell r="N18">
            <v>108</v>
          </cell>
          <cell r="O18" t="str">
            <v>F_D4A</v>
          </cell>
          <cell r="P18" t="str">
            <v/>
          </cell>
          <cell r="Q18">
            <v>5040</v>
          </cell>
          <cell r="R18">
            <v>1630</v>
          </cell>
          <cell r="S18" t="str">
            <v>1630214</v>
          </cell>
          <cell r="T18" t="str">
            <v>CIT/ASC/TSO</v>
          </cell>
          <cell r="U18" t="str">
            <v>529</v>
          </cell>
          <cell r="V18" t="str">
            <v>B8</v>
          </cell>
          <cell r="W18" t="str">
            <v/>
          </cell>
          <cell r="X18" t="str">
            <v>ACT</v>
          </cell>
          <cell r="Z18">
            <v>8.359</v>
          </cell>
          <cell r="AA18" t="str">
            <v>4-5Kgs CIT, 3-4Kgs TSO, 1-2Kgs ASC</v>
          </cell>
          <cell r="AB18" t="str">
            <v>CIT/ASC/TSO</v>
          </cell>
          <cell r="AC18" t="str">
            <v>NOV</v>
          </cell>
          <cell r="AD18" t="str">
            <v>Weight &gt; 7 Kg</v>
          </cell>
          <cell r="AE18" t="str">
            <v>4</v>
          </cell>
          <cell r="AF18" t="str">
            <v/>
          </cell>
          <cell r="AG18">
            <v>12.7</v>
          </cell>
          <cell r="AH18" t="str">
            <v>50183579</v>
          </cell>
          <cell r="AI18" t="str">
            <v>1</v>
          </cell>
          <cell r="AJ18" t="str">
            <v>P110</v>
          </cell>
          <cell r="AK18" t="str">
            <v>LA</v>
          </cell>
          <cell r="AL18" t="str">
            <v/>
          </cell>
        </row>
        <row r="19">
          <cell r="G19">
            <v>1.6539999999999999</v>
          </cell>
          <cell r="K19">
            <v>2017645</v>
          </cell>
          <cell r="L19" t="str">
            <v>MA/B/6-156.10 P1K 2.5UN CTN 2 BAG</v>
          </cell>
          <cell r="M19">
            <v>270</v>
          </cell>
          <cell r="N19">
            <v>540</v>
          </cell>
          <cell r="O19" t="str">
            <v>F_D4A</v>
          </cell>
          <cell r="P19" t="str">
            <v/>
          </cell>
          <cell r="Q19">
            <v>5040</v>
          </cell>
          <cell r="R19">
            <v>1630</v>
          </cell>
          <cell r="S19" t="str">
            <v>1630214</v>
          </cell>
          <cell r="T19" t="str">
            <v>CIT/ASC/TSO</v>
          </cell>
          <cell r="U19" t="str">
            <v>529</v>
          </cell>
          <cell r="V19" t="str">
            <v>B8</v>
          </cell>
          <cell r="W19" t="str">
            <v/>
          </cell>
          <cell r="X19" t="str">
            <v>ACT</v>
          </cell>
          <cell r="Z19">
            <v>8.7089999999999996</v>
          </cell>
          <cell r="AA19" t="str">
            <v>7-8Kgs CIT, 0-1Kgs ASC, 0-1Kgs TSO</v>
          </cell>
          <cell r="AB19" t="str">
            <v>CIT/ASC/TSO</v>
          </cell>
          <cell r="AC19" t="str">
            <v>NOV</v>
          </cell>
          <cell r="AD19" t="str">
            <v>Weight &gt; 7 Kg</v>
          </cell>
          <cell r="AE19" t="str">
            <v>4</v>
          </cell>
          <cell r="AF19" t="str">
            <v/>
          </cell>
          <cell r="AG19">
            <v>12</v>
          </cell>
          <cell r="AH19" t="str">
            <v>50170163</v>
          </cell>
          <cell r="AI19" t="str">
            <v>1</v>
          </cell>
          <cell r="AJ19" t="str">
            <v>P110</v>
          </cell>
          <cell r="AK19" t="str">
            <v>LA</v>
          </cell>
          <cell r="AL19" t="str">
            <v/>
          </cell>
        </row>
        <row r="20">
          <cell r="G20">
            <v>1.4890000000000001</v>
          </cell>
          <cell r="K20">
            <v>1674334</v>
          </cell>
          <cell r="L20" t="str">
            <v>OR-1413.10 P1K 4UN CTN 2 BAG</v>
          </cell>
          <cell r="M20">
            <v>243</v>
          </cell>
          <cell r="N20">
            <v>486</v>
          </cell>
          <cell r="O20" t="str">
            <v>F_D4A</v>
          </cell>
          <cell r="P20" t="str">
            <v/>
          </cell>
          <cell r="Q20">
            <v>5040</v>
          </cell>
          <cell r="R20">
            <v>1630</v>
          </cell>
          <cell r="S20" t="str">
            <v>1630214</v>
          </cell>
          <cell r="T20" t="str">
            <v>CIT/ASC/TSO</v>
          </cell>
          <cell r="U20" t="str">
            <v>529</v>
          </cell>
          <cell r="V20" t="str">
            <v>B8</v>
          </cell>
          <cell r="W20" t="str">
            <v/>
          </cell>
          <cell r="X20" t="str">
            <v>ACT</v>
          </cell>
          <cell r="Z20">
            <v>8.7210000000000001</v>
          </cell>
          <cell r="AA20" t="str">
            <v>6-7Kgs CIT, 1-2Kgs TSO, 0-1Kgs ASC</v>
          </cell>
          <cell r="AB20" t="str">
            <v>CIT/ASC/TSO</v>
          </cell>
          <cell r="AC20" t="str">
            <v>NOV</v>
          </cell>
          <cell r="AD20" t="str">
            <v>Weight &gt; 7 Kg</v>
          </cell>
          <cell r="AE20" t="str">
            <v>4</v>
          </cell>
          <cell r="AF20" t="str">
            <v/>
          </cell>
          <cell r="AG20">
            <v>12.6</v>
          </cell>
          <cell r="AH20" t="str">
            <v>50143324</v>
          </cell>
          <cell r="AI20" t="str">
            <v>1</v>
          </cell>
          <cell r="AJ20" t="str">
            <v>P110</v>
          </cell>
          <cell r="AK20" t="str">
            <v>LA</v>
          </cell>
          <cell r="AL20" t="str">
            <v>OK FOR 4B</v>
          </cell>
        </row>
        <row r="21">
          <cell r="G21">
            <v>0.441</v>
          </cell>
          <cell r="K21">
            <v>1867627</v>
          </cell>
          <cell r="L21" t="str">
            <v>TE/LE/A-180.00 P1A 3UN CTN 2BAGS CQ</v>
          </cell>
          <cell r="M21">
            <v>72</v>
          </cell>
          <cell r="N21">
            <v>144</v>
          </cell>
          <cell r="O21" t="str">
            <v>F_D4A</v>
          </cell>
          <cell r="P21" t="str">
            <v/>
          </cell>
          <cell r="Q21">
            <v>5040</v>
          </cell>
          <cell r="R21">
            <v>1630</v>
          </cell>
          <cell r="S21" t="str">
            <v>1630214</v>
          </cell>
          <cell r="T21" t="str">
            <v>CIT/ASC/TSO</v>
          </cell>
          <cell r="U21" t="str">
            <v>529</v>
          </cell>
          <cell r="V21" t="str">
            <v>B8</v>
          </cell>
          <cell r="W21" t="str">
            <v/>
          </cell>
          <cell r="X21" t="str">
            <v>ACT</v>
          </cell>
          <cell r="Z21">
            <v>10.484999999999999</v>
          </cell>
          <cell r="AA21" t="str">
            <v>6-7Kgs CIT, 1-2Kgs TSO, 1-2Kgs ASC</v>
          </cell>
          <cell r="AB21" t="str">
            <v>CIT/ASC/TSO</v>
          </cell>
          <cell r="AC21" t="str">
            <v>NOV</v>
          </cell>
          <cell r="AD21" t="str">
            <v>Weight &gt; 7 Kg</v>
          </cell>
          <cell r="AE21" t="str">
            <v>4</v>
          </cell>
          <cell r="AF21" t="str">
            <v/>
          </cell>
          <cell r="AG21">
            <v>12.5</v>
          </cell>
          <cell r="AH21" t="str">
            <v>50145572</v>
          </cell>
          <cell r="AI21" t="str">
            <v>1</v>
          </cell>
          <cell r="AJ21" t="str">
            <v>P110</v>
          </cell>
          <cell r="AK21" t="str">
            <v>LA</v>
          </cell>
          <cell r="AL21" t="str">
            <v/>
          </cell>
        </row>
        <row r="22">
          <cell r="G22">
            <v>1.075</v>
          </cell>
          <cell r="K22">
            <v>1924300</v>
          </cell>
          <cell r="L22" t="str">
            <v>BT/LE/4-82.90 P1 1UN CTN 1 BAG CQ</v>
          </cell>
          <cell r="M22">
            <v>351</v>
          </cell>
          <cell r="N22">
            <v>351</v>
          </cell>
          <cell r="O22" t="str">
            <v>F_D4A</v>
          </cell>
          <cell r="P22" t="str">
            <v/>
          </cell>
          <cell r="Q22">
            <v>5040</v>
          </cell>
          <cell r="R22">
            <v>1630</v>
          </cell>
          <cell r="S22" t="str">
            <v>1630214</v>
          </cell>
          <cell r="T22" t="str">
            <v>CIT/ASC/TSO</v>
          </cell>
          <cell r="U22" t="str">
            <v>529</v>
          </cell>
          <cell r="V22" t="str">
            <v>B8</v>
          </cell>
          <cell r="W22" t="str">
            <v/>
          </cell>
          <cell r="X22" t="str">
            <v>ACT</v>
          </cell>
          <cell r="Z22">
            <v>11.228</v>
          </cell>
          <cell r="AA22" t="str">
            <v>9-10Kgs CIT, 0-1Kgs TSO, 0-1Kgs ASC</v>
          </cell>
          <cell r="AB22" t="str">
            <v>CIT/ASC/TSO</v>
          </cell>
          <cell r="AC22" t="str">
            <v>NOV</v>
          </cell>
          <cell r="AD22" t="str">
            <v>Weight &gt; 7 Kg</v>
          </cell>
          <cell r="AE22" t="str">
            <v>4</v>
          </cell>
          <cell r="AF22" t="str">
            <v/>
          </cell>
          <cell r="AG22">
            <v>12.1</v>
          </cell>
          <cell r="AH22" t="str">
            <v>50153452</v>
          </cell>
          <cell r="AI22" t="str">
            <v>1</v>
          </cell>
          <cell r="AJ22" t="str">
            <v>P110</v>
          </cell>
          <cell r="AK22" t="str">
            <v>LA</v>
          </cell>
          <cell r="AL22" t="str">
            <v/>
          </cell>
        </row>
        <row r="23">
          <cell r="G23">
            <v>0.16500000000000001</v>
          </cell>
          <cell r="K23">
            <v>1745828</v>
          </cell>
          <cell r="L23" t="str">
            <v>TE/LE-166.10 P1K 1.5UN CTN 1 BAG CQ</v>
          </cell>
          <cell r="M23">
            <v>54</v>
          </cell>
          <cell r="N23">
            <v>54</v>
          </cell>
          <cell r="O23" t="str">
            <v>F_D4A</v>
          </cell>
          <cell r="P23" t="str">
            <v/>
          </cell>
          <cell r="Q23">
            <v>5040</v>
          </cell>
          <cell r="R23">
            <v>1630</v>
          </cell>
          <cell r="S23" t="str">
            <v>1630214</v>
          </cell>
          <cell r="T23" t="str">
            <v>CIT/ASC/TSO</v>
          </cell>
          <cell r="U23" t="str">
            <v>529</v>
          </cell>
          <cell r="V23" t="str">
            <v>B8</v>
          </cell>
          <cell r="W23" t="str">
            <v/>
          </cell>
          <cell r="X23" t="str">
            <v>ACT</v>
          </cell>
          <cell r="Z23">
            <v>12.885</v>
          </cell>
          <cell r="AA23" t="str">
            <v>9-10Kgs CIT, 2-3Kgs TSO, 1-2Kgs ASC</v>
          </cell>
          <cell r="AB23" t="str">
            <v>CIT/ASC/TSO</v>
          </cell>
          <cell r="AC23" t="str">
            <v>NOV</v>
          </cell>
          <cell r="AD23" t="str">
            <v>Weight &gt; 7 Kg</v>
          </cell>
          <cell r="AE23" t="str">
            <v>4</v>
          </cell>
          <cell r="AF23" t="str">
            <v/>
          </cell>
          <cell r="AG23">
            <v>12.8</v>
          </cell>
          <cell r="AH23" t="str">
            <v>50146833</v>
          </cell>
          <cell r="AI23" t="str">
            <v>1</v>
          </cell>
          <cell r="AJ23" t="str">
            <v>P110</v>
          </cell>
          <cell r="AK23" t="str">
            <v>LA</v>
          </cell>
          <cell r="AL23" t="str">
            <v/>
          </cell>
        </row>
        <row r="24">
          <cell r="G24">
            <v>0.14699999999999999</v>
          </cell>
          <cell r="K24">
            <v>1962929</v>
          </cell>
          <cell r="L24" t="str">
            <v>TE/PE-107.00 P1 3UN CTN 1 BAG</v>
          </cell>
          <cell r="M24">
            <v>48</v>
          </cell>
          <cell r="N24">
            <v>48</v>
          </cell>
          <cell r="O24" t="str">
            <v>F_D4A</v>
          </cell>
          <cell r="P24" t="str">
            <v/>
          </cell>
          <cell r="Q24">
            <v>5040</v>
          </cell>
          <cell r="R24">
            <v>1630</v>
          </cell>
          <cell r="S24" t="str">
            <v>1630214</v>
          </cell>
          <cell r="T24" t="str">
            <v>CIT/ASC/TSO</v>
          </cell>
          <cell r="U24" t="str">
            <v>529</v>
          </cell>
          <cell r="V24" t="str">
            <v>B8</v>
          </cell>
          <cell r="W24" t="str">
            <v/>
          </cell>
          <cell r="X24" t="str">
            <v>ACT</v>
          </cell>
          <cell r="Z24">
            <v>13.8</v>
          </cell>
          <cell r="AA24" t="str">
            <v>7-8Kgs CIT, 4-5Kgs TSO, 1-2Kgs ASC</v>
          </cell>
          <cell r="AB24" t="str">
            <v>CIT/ASC/TSO</v>
          </cell>
          <cell r="AC24" t="str">
            <v>NOV</v>
          </cell>
          <cell r="AD24" t="str">
            <v>Weight &gt; 7 Kg</v>
          </cell>
          <cell r="AE24" t="str">
            <v>4</v>
          </cell>
          <cell r="AF24" t="str">
            <v/>
          </cell>
          <cell r="AG24">
            <v>12</v>
          </cell>
          <cell r="AH24" t="str">
            <v>50159456</v>
          </cell>
          <cell r="AI24" t="str">
            <v>1</v>
          </cell>
          <cell r="AJ24" t="str">
            <v>P110</v>
          </cell>
          <cell r="AK24" t="str">
            <v>LA</v>
          </cell>
          <cell r="AL24" t="str">
            <v/>
          </cell>
        </row>
        <row r="25">
          <cell r="G25">
            <v>0.41399999999999998</v>
          </cell>
          <cell r="K25">
            <v>1554927</v>
          </cell>
          <cell r="L25" t="str">
            <v>OR-1317.002 P1K,1B 3UN CTN 1 BAG</v>
          </cell>
          <cell r="M25">
            <v>135</v>
          </cell>
          <cell r="N25">
            <v>135</v>
          </cell>
          <cell r="O25" t="str">
            <v>F_D4A</v>
          </cell>
          <cell r="P25" t="str">
            <v/>
          </cell>
          <cell r="Q25">
            <v>5040</v>
          </cell>
          <cell r="R25">
            <v>1630</v>
          </cell>
          <cell r="S25" t="str">
            <v>1630214</v>
          </cell>
          <cell r="T25" t="str">
            <v>CIT/ASC/TSO</v>
          </cell>
          <cell r="U25" t="str">
            <v>529</v>
          </cell>
          <cell r="V25" t="str">
            <v>B8</v>
          </cell>
          <cell r="W25" t="str">
            <v>1 of 1554926 (SBZ/811)</v>
          </cell>
          <cell r="X25" t="str">
            <v>ACT</v>
          </cell>
          <cell r="Z25">
            <v>13.815</v>
          </cell>
          <cell r="AA25" t="str">
            <v>12-13Kgs CIT, 0-1Kgs ASC, 0-1Kgs TSO</v>
          </cell>
          <cell r="AB25" t="str">
            <v>CIT/ASC/TSO</v>
          </cell>
          <cell r="AC25" t="str">
            <v>NOV</v>
          </cell>
          <cell r="AD25" t="str">
            <v>Weight &gt; 7 Kg</v>
          </cell>
          <cell r="AE25" t="str">
            <v>4</v>
          </cell>
          <cell r="AF25" t="str">
            <v/>
          </cell>
          <cell r="AG25">
            <v>17.899999999999999</v>
          </cell>
          <cell r="AH25" t="str">
            <v>50147598</v>
          </cell>
          <cell r="AI25" t="str">
            <v>1</v>
          </cell>
          <cell r="AJ25" t="str">
            <v>P110</v>
          </cell>
          <cell r="AK25" t="str">
            <v>LA</v>
          </cell>
          <cell r="AL25" t="str">
            <v/>
          </cell>
        </row>
        <row r="26">
          <cell r="G26">
            <v>0.66461538461538461</v>
          </cell>
          <cell r="K26">
            <v>3018677</v>
          </cell>
          <cell r="L26" t="str">
            <v>TE/LE/A-189.10 P1A 3UN CTN 1 BAG</v>
          </cell>
          <cell r="M26">
            <v>216</v>
          </cell>
          <cell r="N26">
            <v>216</v>
          </cell>
          <cell r="O26" t="str">
            <v>F_D4A</v>
          </cell>
          <cell r="P26" t="str">
            <v/>
          </cell>
          <cell r="Q26">
            <v>5040</v>
          </cell>
          <cell r="R26">
            <v>1630</v>
          </cell>
          <cell r="S26" t="str">
            <v>1630214</v>
          </cell>
          <cell r="T26" t="str">
            <v>CIT/ASC/TSO</v>
          </cell>
          <cell r="U26" t="str">
            <v>529</v>
          </cell>
          <cell r="V26" t="str">
            <v>B8</v>
          </cell>
          <cell r="W26" t="str">
            <v/>
          </cell>
          <cell r="X26" t="str">
            <v>ACT</v>
          </cell>
          <cell r="Z26">
            <v>16.05</v>
          </cell>
          <cell r="AA26" t="str">
            <v>10-11Kgs CIT, 2-3Kgs ASC, 3-4Kgs TSO</v>
          </cell>
          <cell r="AB26" t="str">
            <v>CIT/ASC/TSO</v>
          </cell>
          <cell r="AC26" t="str">
            <v>NOV</v>
          </cell>
          <cell r="AD26" t="str">
            <v>Weight &gt; 7 Kg</v>
          </cell>
          <cell r="AE26" t="str">
            <v>1</v>
          </cell>
          <cell r="AF26" t="str">
            <v/>
          </cell>
          <cell r="AG26">
            <v>11</v>
          </cell>
          <cell r="AH26" t="str">
            <v>50196380</v>
          </cell>
          <cell r="AI26" t="str">
            <v>1</v>
          </cell>
          <cell r="AJ26" t="str">
            <v>P110</v>
          </cell>
          <cell r="AK26" t="str">
            <v>LA</v>
          </cell>
          <cell r="AL26" t="str">
            <v/>
          </cell>
        </row>
        <row r="27">
          <cell r="G27">
            <v>0.496</v>
          </cell>
          <cell r="K27">
            <v>1288134</v>
          </cell>
          <cell r="L27" t="str">
            <v>TE/LE-100.00/D-100.50 P1K 3UN CTN 1 BAG</v>
          </cell>
          <cell r="M27">
            <v>162</v>
          </cell>
          <cell r="N27">
            <v>162</v>
          </cell>
          <cell r="O27" t="str">
            <v>F_D4A</v>
          </cell>
          <cell r="P27" t="str">
            <v/>
          </cell>
          <cell r="Q27">
            <v>5040</v>
          </cell>
          <cell r="R27">
            <v>1630</v>
          </cell>
          <cell r="S27" t="str">
            <v>1630214</v>
          </cell>
          <cell r="T27" t="str">
            <v>CIT/ASC/TSO</v>
          </cell>
          <cell r="U27" t="str">
            <v>529</v>
          </cell>
          <cell r="V27" t="str">
            <v>B8</v>
          </cell>
          <cell r="W27" t="str">
            <v/>
          </cell>
          <cell r="X27" t="str">
            <v>ACT</v>
          </cell>
          <cell r="Z27">
            <v>16.47</v>
          </cell>
          <cell r="AA27" t="str">
            <v>11-12Kgs CIT, 3-4Kgs TSO, 1-2Kgs ASC</v>
          </cell>
          <cell r="AB27" t="str">
            <v>CIT/ASC/TSO</v>
          </cell>
          <cell r="AC27" t="str">
            <v>NOV</v>
          </cell>
          <cell r="AD27" t="str">
            <v>Weight &gt; 7 Kg</v>
          </cell>
          <cell r="AE27" t="str">
            <v>4</v>
          </cell>
          <cell r="AF27" t="str">
            <v/>
          </cell>
          <cell r="AG27">
            <v>12.1</v>
          </cell>
          <cell r="AH27" t="str">
            <v>50141404</v>
          </cell>
          <cell r="AI27" t="str">
            <v>1</v>
          </cell>
          <cell r="AJ27" t="str">
            <v>P110</v>
          </cell>
          <cell r="AK27" t="str">
            <v>LA</v>
          </cell>
          <cell r="AL27" t="str">
            <v/>
          </cell>
        </row>
        <row r="28">
          <cell r="G28">
            <v>0.46700000000000003</v>
          </cell>
          <cell r="K28">
            <v>1669077</v>
          </cell>
          <cell r="L28" t="str">
            <v>SP/D-74.68 P1K,3 8UN CTN 1 BAG</v>
          </cell>
          <cell r="M28">
            <v>162</v>
          </cell>
          <cell r="N28">
            <v>162</v>
          </cell>
          <cell r="O28" t="str">
            <v>F_D4A</v>
          </cell>
          <cell r="P28" t="str">
            <v/>
          </cell>
          <cell r="Q28">
            <v>5040</v>
          </cell>
          <cell r="R28">
            <v>1620</v>
          </cell>
          <cell r="S28" t="str">
            <v>1620207</v>
          </cell>
          <cell r="T28" t="str">
            <v>CIT/TSO</v>
          </cell>
          <cell r="U28" t="str">
            <v>529</v>
          </cell>
          <cell r="V28" t="str">
            <v>B8</v>
          </cell>
          <cell r="W28" t="str">
            <v>1 of 1242280 (ASP/616)</v>
          </cell>
          <cell r="X28" t="str">
            <v>ACT</v>
          </cell>
          <cell r="Z28">
            <v>5.3120000000000003</v>
          </cell>
          <cell r="AA28" t="str">
            <v>3-4Kgs CIT, 1-2Kgs TSO</v>
          </cell>
          <cell r="AB28" t="str">
            <v>CIT/TSO</v>
          </cell>
          <cell r="AC28" t="str">
            <v>NOV</v>
          </cell>
          <cell r="AD28" t="str">
            <v>Weight &lt;= 7 Kg</v>
          </cell>
          <cell r="AE28" t="str">
            <v>4</v>
          </cell>
          <cell r="AF28" t="str">
            <v/>
          </cell>
          <cell r="AG28">
            <v>12.9</v>
          </cell>
          <cell r="AH28" t="str">
            <v>50148985</v>
          </cell>
          <cell r="AI28" t="str">
            <v>1</v>
          </cell>
          <cell r="AJ28" t="str">
            <v>P110</v>
          </cell>
          <cell r="AK28" t="str">
            <v>LA</v>
          </cell>
          <cell r="AL28" t="str">
            <v/>
          </cell>
        </row>
        <row r="29">
          <cell r="G29">
            <v>0.311</v>
          </cell>
          <cell r="K29">
            <v>1242278</v>
          </cell>
          <cell r="L29" t="str">
            <v>SP/D-74.681 P1K,1B,3 8UN CTN 1 BAG</v>
          </cell>
          <cell r="M29">
            <v>108</v>
          </cell>
          <cell r="N29">
            <v>108</v>
          </cell>
          <cell r="O29" t="str">
            <v>F_D4A</v>
          </cell>
          <cell r="P29" t="str">
            <v/>
          </cell>
          <cell r="Q29">
            <v>5040</v>
          </cell>
          <cell r="R29">
            <v>1620</v>
          </cell>
          <cell r="S29" t="str">
            <v>1620207</v>
          </cell>
          <cell r="T29" t="str">
            <v>CIT/TSO</v>
          </cell>
          <cell r="U29" t="str">
            <v>529</v>
          </cell>
          <cell r="V29" t="str">
            <v>B8</v>
          </cell>
          <cell r="W29" t="str">
            <v>1 of 1812532 (SBZ), 1 of 1242280 (ASP/616)</v>
          </cell>
          <cell r="X29" t="str">
            <v>ACT</v>
          </cell>
          <cell r="Z29">
            <v>5.3120000000000003</v>
          </cell>
          <cell r="AA29" t="str">
            <v>3-4Kgs CIT, 1-2Kgs TSO</v>
          </cell>
          <cell r="AB29" t="str">
            <v>CIT/TSO</v>
          </cell>
          <cell r="AC29" t="str">
            <v>NOV</v>
          </cell>
          <cell r="AD29" t="str">
            <v>Weight &lt;= 7 Kg</v>
          </cell>
          <cell r="AE29" t="str">
            <v>4</v>
          </cell>
          <cell r="AF29" t="str">
            <v/>
          </cell>
          <cell r="AG29">
            <v>27.1</v>
          </cell>
          <cell r="AH29" t="str">
            <v>50148843</v>
          </cell>
          <cell r="AI29" t="str">
            <v>1</v>
          </cell>
          <cell r="AJ29" t="str">
            <v>P110</v>
          </cell>
          <cell r="AK29" t="str">
            <v>LA</v>
          </cell>
          <cell r="AL29" t="str">
            <v/>
          </cell>
        </row>
        <row r="30">
          <cell r="G30">
            <v>0.46700000000000003</v>
          </cell>
          <cell r="K30">
            <v>1118312</v>
          </cell>
          <cell r="L30" t="str">
            <v>TE/PE-23.00/10/26.00/60 P1K 4UN CTN 2 BG</v>
          </cell>
          <cell r="M30">
            <v>81</v>
          </cell>
          <cell r="N30">
            <v>162</v>
          </cell>
          <cell r="O30" t="str">
            <v>F_D4A</v>
          </cell>
          <cell r="P30" t="str">
            <v/>
          </cell>
          <cell r="Q30">
            <v>5040</v>
          </cell>
          <cell r="R30">
            <v>1620</v>
          </cell>
          <cell r="S30" t="str">
            <v>1620207</v>
          </cell>
          <cell r="T30" t="str">
            <v>CIT/TSO</v>
          </cell>
          <cell r="U30" t="str">
            <v>529</v>
          </cell>
          <cell r="V30" t="str">
            <v>B8</v>
          </cell>
          <cell r="W30" t="str">
            <v/>
          </cell>
          <cell r="X30" t="str">
            <v>ACT</v>
          </cell>
          <cell r="Z30">
            <v>11.3</v>
          </cell>
          <cell r="AA30" t="str">
            <v>8-9Kgs CIT, 2-3Kgs TSO</v>
          </cell>
          <cell r="AB30" t="str">
            <v>CIT/TSO</v>
          </cell>
          <cell r="AC30" t="str">
            <v>NOV</v>
          </cell>
          <cell r="AD30" t="str">
            <v>Weight &lt;= 7 Kg</v>
          </cell>
          <cell r="AE30" t="str">
            <v>4</v>
          </cell>
          <cell r="AF30" t="str">
            <v/>
          </cell>
          <cell r="AG30">
            <v>12.3</v>
          </cell>
          <cell r="AH30" t="str">
            <v>50148814</v>
          </cell>
          <cell r="AI30" t="str">
            <v>1</v>
          </cell>
          <cell r="AJ30" t="str">
            <v>P110</v>
          </cell>
          <cell r="AK30" t="str">
            <v>LA</v>
          </cell>
          <cell r="AL30" t="str">
            <v/>
          </cell>
        </row>
        <row r="31">
          <cell r="G31">
            <v>0.311</v>
          </cell>
          <cell r="K31">
            <v>1630312</v>
          </cell>
          <cell r="L31" t="str">
            <v>DC/LL-5039.69 P1K 5UN CTN 1BAG</v>
          </cell>
          <cell r="M31">
            <v>108</v>
          </cell>
          <cell r="N31">
            <v>108</v>
          </cell>
          <cell r="O31" t="str">
            <v>F_D4A</v>
          </cell>
          <cell r="P31" t="str">
            <v/>
          </cell>
          <cell r="Q31">
            <v>5040</v>
          </cell>
          <cell r="R31">
            <v>1620</v>
          </cell>
          <cell r="S31" t="str">
            <v>1620214</v>
          </cell>
          <cell r="T31" t="str">
            <v>CIT/TSO</v>
          </cell>
          <cell r="U31" t="str">
            <v>529</v>
          </cell>
          <cell r="V31" t="str">
            <v>B8</v>
          </cell>
          <cell r="W31" t="str">
            <v/>
          </cell>
          <cell r="X31" t="str">
            <v>ACT</v>
          </cell>
          <cell r="Z31">
            <v>7.29</v>
          </cell>
          <cell r="AA31" t="str">
            <v>5-6Kgs CIT, 1-2Kgs TSO</v>
          </cell>
          <cell r="AB31" t="str">
            <v>CIT/TSO</v>
          </cell>
          <cell r="AC31" t="str">
            <v>NOV</v>
          </cell>
          <cell r="AD31" t="str">
            <v>Weight &gt; 7 Kg</v>
          </cell>
          <cell r="AE31" t="str">
            <v>4</v>
          </cell>
          <cell r="AF31" t="str">
            <v/>
          </cell>
          <cell r="AG31">
            <v>12.7</v>
          </cell>
          <cell r="AH31" t="str">
            <v>50142898</v>
          </cell>
          <cell r="AI31" t="str">
            <v>1</v>
          </cell>
          <cell r="AJ31" t="str">
            <v>P110</v>
          </cell>
          <cell r="AK31" t="str">
            <v>LA</v>
          </cell>
          <cell r="AL31" t="str">
            <v/>
          </cell>
        </row>
        <row r="32">
          <cell r="G32">
            <v>1.401</v>
          </cell>
          <cell r="K32">
            <v>2074237</v>
          </cell>
          <cell r="L32" t="str">
            <v>TE/PE-124.00 P1K 2UN CTN 2 BAGS</v>
          </cell>
          <cell r="M32">
            <v>243</v>
          </cell>
          <cell r="N32">
            <v>486</v>
          </cell>
          <cell r="O32" t="str">
            <v>F_D4A</v>
          </cell>
          <cell r="P32" t="str">
            <v/>
          </cell>
          <cell r="Q32">
            <v>5040</v>
          </cell>
          <cell r="R32">
            <v>1620</v>
          </cell>
          <cell r="S32" t="str">
            <v>1620214</v>
          </cell>
          <cell r="T32" t="str">
            <v>CIT/TSO</v>
          </cell>
          <cell r="U32" t="str">
            <v>529</v>
          </cell>
          <cell r="V32" t="str">
            <v>B8</v>
          </cell>
          <cell r="W32" t="str">
            <v/>
          </cell>
          <cell r="X32" t="str">
            <v>ACT</v>
          </cell>
          <cell r="Z32">
            <v>9.6189999999999998</v>
          </cell>
          <cell r="AA32" t="str">
            <v>7-8Kgs CIT, 2-3Kgs TSO</v>
          </cell>
          <cell r="AB32" t="str">
            <v>CIT/TSO</v>
          </cell>
          <cell r="AC32" t="str">
            <v>NOV</v>
          </cell>
          <cell r="AD32" t="str">
            <v>Weight &gt; 7 Kg</v>
          </cell>
          <cell r="AE32" t="str">
            <v>4</v>
          </cell>
          <cell r="AF32" t="str">
            <v/>
          </cell>
          <cell r="AG32">
            <v>7.5</v>
          </cell>
          <cell r="AH32" t="str">
            <v>50183044</v>
          </cell>
          <cell r="AI32" t="str">
            <v>1</v>
          </cell>
          <cell r="AJ32" t="str">
            <v>P110</v>
          </cell>
          <cell r="AK32" t="str">
            <v>LA</v>
          </cell>
          <cell r="AL32" t="str">
            <v/>
          </cell>
        </row>
        <row r="33">
          <cell r="G33">
            <v>7.4999999999999997E-2</v>
          </cell>
          <cell r="K33">
            <v>2045774</v>
          </cell>
          <cell r="L33" t="str">
            <v>SP/D-74.92 P1K,3 2UN CTN 1 BAG</v>
          </cell>
          <cell r="M33">
            <v>26</v>
          </cell>
          <cell r="N33">
            <v>26</v>
          </cell>
          <cell r="O33" t="str">
            <v>F_D4A</v>
          </cell>
          <cell r="P33" t="str">
            <v/>
          </cell>
          <cell r="Q33">
            <v>5040</v>
          </cell>
          <cell r="R33">
            <v>1620</v>
          </cell>
          <cell r="S33" t="str">
            <v>1620214</v>
          </cell>
          <cell r="T33" t="str">
            <v>CIT/TSO</v>
          </cell>
          <cell r="U33" t="str">
            <v>530</v>
          </cell>
          <cell r="V33" t="str">
            <v>B8</v>
          </cell>
          <cell r="W33" t="str">
            <v>1 of 1910737(ASP/616)</v>
          </cell>
          <cell r="X33" t="str">
            <v>ACT</v>
          </cell>
          <cell r="Z33">
            <v>9.66</v>
          </cell>
          <cell r="AA33" t="str">
            <v>9-10Kgs CIT, 0-1Kgs TSO</v>
          </cell>
          <cell r="AB33" t="str">
            <v>CIT/TSO</v>
          </cell>
          <cell r="AC33" t="str">
            <v>NOV</v>
          </cell>
          <cell r="AD33" t="str">
            <v>Weight &gt; 7 Kg</v>
          </cell>
          <cell r="AE33" t="str">
            <v>4</v>
          </cell>
          <cell r="AF33" t="str">
            <v/>
          </cell>
          <cell r="AG33">
            <v>6.2</v>
          </cell>
          <cell r="AH33" t="str">
            <v>50179502</v>
          </cell>
          <cell r="AI33" t="str">
            <v>1</v>
          </cell>
          <cell r="AJ33" t="str">
            <v>P110</v>
          </cell>
          <cell r="AK33" t="str">
            <v>LA</v>
          </cell>
          <cell r="AL33" t="str">
            <v/>
          </cell>
        </row>
        <row r="34">
          <cell r="G34">
            <v>7.8260869565217397E-2</v>
          </cell>
          <cell r="K34">
            <v>2040516</v>
          </cell>
          <cell r="L34" t="str">
            <v>PF/B-94.00/-104.00 P1 2UN CTN 1 BAG</v>
          </cell>
          <cell r="M34">
            <v>27</v>
          </cell>
          <cell r="N34">
            <v>27</v>
          </cell>
          <cell r="O34" t="str">
            <v>F_D4A</v>
          </cell>
          <cell r="P34" t="str">
            <v/>
          </cell>
          <cell r="Q34">
            <v>5040</v>
          </cell>
          <cell r="R34">
            <v>1620</v>
          </cell>
          <cell r="S34" t="str">
            <v>1620214</v>
          </cell>
          <cell r="T34" t="str">
            <v>CIT/TSO</v>
          </cell>
          <cell r="U34" t="str">
            <v>529</v>
          </cell>
          <cell r="V34" t="str">
            <v>B8</v>
          </cell>
          <cell r="W34" t="str">
            <v/>
          </cell>
          <cell r="X34" t="str">
            <v>ACT</v>
          </cell>
          <cell r="Z34">
            <v>11.316000000000001</v>
          </cell>
          <cell r="AA34" t="str">
            <v>10-11Kgs CIT, 0-1Kgs TSO</v>
          </cell>
          <cell r="AB34" t="str">
            <v>CIT/TSO</v>
          </cell>
          <cell r="AC34" t="str">
            <v>NOV</v>
          </cell>
          <cell r="AD34" t="str">
            <v>Weight &gt; 7 Kg</v>
          </cell>
          <cell r="AE34" t="str">
            <v>4</v>
          </cell>
          <cell r="AF34" t="str">
            <v/>
          </cell>
          <cell r="AG34">
            <v>7.9</v>
          </cell>
          <cell r="AH34" t="str">
            <v>50173818</v>
          </cell>
          <cell r="AI34" t="str">
            <v>1</v>
          </cell>
          <cell r="AJ34" t="str">
            <v>P110</v>
          </cell>
          <cell r="AK34" t="str">
            <v>LA</v>
          </cell>
          <cell r="AL34" t="str">
            <v/>
          </cell>
        </row>
        <row r="35">
          <cell r="G35">
            <v>1.5569999999999999</v>
          </cell>
          <cell r="K35">
            <v>1844497</v>
          </cell>
          <cell r="L35" t="str">
            <v>SP/D-74.66/.67 P1K 4UN CTN 2 BAGS</v>
          </cell>
          <cell r="M35">
            <v>270</v>
          </cell>
          <cell r="N35">
            <v>540</v>
          </cell>
          <cell r="O35" t="str">
            <v>F_D4A</v>
          </cell>
          <cell r="P35" t="str">
            <v/>
          </cell>
          <cell r="Q35">
            <v>5040</v>
          </cell>
          <cell r="R35">
            <v>1620</v>
          </cell>
          <cell r="S35" t="str">
            <v>1620214</v>
          </cell>
          <cell r="T35" t="str">
            <v>CIT/TSO</v>
          </cell>
          <cell r="U35" t="str">
            <v>529</v>
          </cell>
          <cell r="V35" t="str">
            <v>B8</v>
          </cell>
          <cell r="W35" t="str">
            <v/>
          </cell>
          <cell r="X35" t="str">
            <v>ACT</v>
          </cell>
          <cell r="Z35">
            <v>11.878</v>
          </cell>
          <cell r="AA35" t="str">
            <v>9-10Kgs CIT, 2-3Kgs TSO</v>
          </cell>
          <cell r="AB35" t="str">
            <v>CIT/TSO</v>
          </cell>
          <cell r="AC35" t="str">
            <v>NOV</v>
          </cell>
          <cell r="AD35" t="str">
            <v>Weight &gt; 7 Kg</v>
          </cell>
          <cell r="AE35" t="str">
            <v>4</v>
          </cell>
          <cell r="AF35" t="str">
            <v/>
          </cell>
          <cell r="AG35">
            <v>12.6</v>
          </cell>
          <cell r="AH35" t="str">
            <v>50147048</v>
          </cell>
          <cell r="AI35" t="str">
            <v>1</v>
          </cell>
          <cell r="AJ35" t="str">
            <v>P110</v>
          </cell>
          <cell r="AK35" t="str">
            <v>LA</v>
          </cell>
          <cell r="AL35" t="str">
            <v>NOT OK 4B - ASPIRATION</v>
          </cell>
        </row>
        <row r="36">
          <cell r="G36">
            <v>2.1509999999999998</v>
          </cell>
          <cell r="K36">
            <v>1969310</v>
          </cell>
          <cell r="L36" t="str">
            <v>SP/B-92.35 P1K 4UN CTN 1BAG</v>
          </cell>
          <cell r="M36">
            <v>702</v>
          </cell>
          <cell r="N36">
            <v>702</v>
          </cell>
          <cell r="O36" t="str">
            <v>F_D4A</v>
          </cell>
          <cell r="P36" t="str">
            <v/>
          </cell>
          <cell r="Q36">
            <v>5040</v>
          </cell>
          <cell r="R36">
            <v>1620</v>
          </cell>
          <cell r="S36" t="str">
            <v>1620214</v>
          </cell>
          <cell r="T36" t="str">
            <v>CIT/TSO</v>
          </cell>
          <cell r="U36" t="str">
            <v>529</v>
          </cell>
          <cell r="V36" t="str">
            <v>B8</v>
          </cell>
          <cell r="W36" t="str">
            <v/>
          </cell>
          <cell r="X36" t="str">
            <v>ACT</v>
          </cell>
          <cell r="Z36">
            <v>14.92</v>
          </cell>
          <cell r="AA36" t="str">
            <v>13-14Kgs CIT, 0-1Kgs TSO</v>
          </cell>
          <cell r="AB36" t="str">
            <v>CIT/TSO</v>
          </cell>
          <cell r="AC36" t="str">
            <v>NOV</v>
          </cell>
          <cell r="AD36" t="str">
            <v>Weight &gt; 7 Kg</v>
          </cell>
          <cell r="AE36" t="str">
            <v>4</v>
          </cell>
          <cell r="AF36" t="str">
            <v/>
          </cell>
          <cell r="AG36">
            <v>12</v>
          </cell>
          <cell r="AH36" t="str">
            <v>50162755</v>
          </cell>
          <cell r="AI36" t="str">
            <v>1</v>
          </cell>
          <cell r="AJ36" t="str">
            <v>P110</v>
          </cell>
          <cell r="AK36" t="str">
            <v>LA</v>
          </cell>
          <cell r="AL36" t="str">
            <v/>
          </cell>
        </row>
        <row r="37">
          <cell r="G37">
            <v>0.16500000000000001</v>
          </cell>
          <cell r="K37">
            <v>1335016</v>
          </cell>
          <cell r="L37" t="str">
            <v>TE/LE-100.101/.104 P1K, P1B 3UN CTN 1BAG</v>
          </cell>
          <cell r="M37">
            <v>54</v>
          </cell>
          <cell r="N37">
            <v>54</v>
          </cell>
          <cell r="O37" t="str">
            <v>F_D4A</v>
          </cell>
          <cell r="P37" t="str">
            <v/>
          </cell>
          <cell r="Q37">
            <v>5040</v>
          </cell>
          <cell r="R37">
            <v>1620</v>
          </cell>
          <cell r="S37" t="str">
            <v>1620214</v>
          </cell>
          <cell r="T37" t="str">
            <v>CIT/TSO</v>
          </cell>
          <cell r="U37" t="str">
            <v>529</v>
          </cell>
          <cell r="V37" t="str">
            <v>B8</v>
          </cell>
          <cell r="W37" t="str">
            <v>1 of 1336301 (SBZ/811)</v>
          </cell>
          <cell r="X37" t="str">
            <v>ACT</v>
          </cell>
          <cell r="Z37">
            <v>14.97</v>
          </cell>
          <cell r="AA37" t="str">
            <v>11-12Kgs CIT, 3-4Kgs TSO</v>
          </cell>
          <cell r="AB37" t="str">
            <v>CIT/TSO</v>
          </cell>
          <cell r="AC37" t="str">
            <v>NOV</v>
          </cell>
          <cell r="AD37" t="str">
            <v>Weight &gt; 7 Kg</v>
          </cell>
          <cell r="AE37" t="str">
            <v>4</v>
          </cell>
          <cell r="AF37" t="str">
            <v/>
          </cell>
          <cell r="AG37">
            <v>12.3</v>
          </cell>
          <cell r="AH37" t="str">
            <v>50147431</v>
          </cell>
          <cell r="AI37" t="str">
            <v>1</v>
          </cell>
          <cell r="AJ37" t="str">
            <v>P110</v>
          </cell>
          <cell r="AK37" t="str">
            <v>LA</v>
          </cell>
          <cell r="AL37" t="str">
            <v/>
          </cell>
        </row>
        <row r="38">
          <cell r="G38">
            <v>0.20399999999999999</v>
          </cell>
          <cell r="K38">
            <v>1194498</v>
          </cell>
          <cell r="L38" t="str">
            <v>SP/B-74.700/74.701 P1K,3 4UN CTN 1 BAG</v>
          </cell>
          <cell r="M38">
            <v>54</v>
          </cell>
          <cell r="N38">
            <v>54</v>
          </cell>
          <cell r="O38" t="str">
            <v>F_D4A</v>
          </cell>
          <cell r="P38" t="str">
            <v/>
          </cell>
          <cell r="Q38">
            <v>5040</v>
          </cell>
          <cell r="R38">
            <v>1620</v>
          </cell>
          <cell r="S38" t="str">
            <v>1620214</v>
          </cell>
          <cell r="T38" t="str">
            <v>CIT/TSO</v>
          </cell>
          <cell r="U38" t="str">
            <v>529</v>
          </cell>
          <cell r="V38" t="str">
            <v>B8</v>
          </cell>
          <cell r="W38" t="str">
            <v>1 of 1194500 (ASP/616)</v>
          </cell>
          <cell r="X38" t="str">
            <v>ACT</v>
          </cell>
          <cell r="Z38">
            <v>19.3</v>
          </cell>
          <cell r="AA38" t="str">
            <v>18-19Kgs CIT, 0-1Kgs TSO</v>
          </cell>
          <cell r="AB38" t="str">
            <v>CIT/TSO</v>
          </cell>
          <cell r="AC38" t="str">
            <v>NOV</v>
          </cell>
          <cell r="AD38" t="str">
            <v>Weight &gt; 7 Kg</v>
          </cell>
          <cell r="AE38" t="str">
            <v>4</v>
          </cell>
          <cell r="AF38" t="str">
            <v/>
          </cell>
          <cell r="AG38">
            <v>22</v>
          </cell>
          <cell r="AH38" t="str">
            <v>50146143</v>
          </cell>
          <cell r="AI38" t="str">
            <v>1</v>
          </cell>
          <cell r="AJ38" t="str">
            <v>P110</v>
          </cell>
          <cell r="AK38" t="str">
            <v>LA</v>
          </cell>
          <cell r="AL38" t="str">
            <v/>
          </cell>
        </row>
        <row r="39">
          <cell r="G39">
            <v>0.50900000000000001</v>
          </cell>
          <cell r="K39">
            <v>1093095</v>
          </cell>
          <cell r="L39" t="str">
            <v>SP/D-74.641 P1K,1B 4UN CTN 1 BAG</v>
          </cell>
          <cell r="M39">
            <v>135</v>
          </cell>
          <cell r="N39">
            <v>135</v>
          </cell>
          <cell r="O39" t="str">
            <v>F_D4A</v>
          </cell>
          <cell r="P39" t="str">
            <v/>
          </cell>
          <cell r="Q39">
            <v>5040</v>
          </cell>
          <cell r="R39">
            <v>1620</v>
          </cell>
          <cell r="S39" t="str">
            <v>1620214</v>
          </cell>
          <cell r="T39" t="str">
            <v>CIT/TSO</v>
          </cell>
          <cell r="U39" t="str">
            <v>529</v>
          </cell>
          <cell r="V39" t="str">
            <v>B8</v>
          </cell>
          <cell r="W39" t="str">
            <v>1 of 1001474 (SBZ)</v>
          </cell>
          <cell r="X39" t="str">
            <v>ACT</v>
          </cell>
          <cell r="Z39">
            <v>19.32</v>
          </cell>
          <cell r="AA39" t="str">
            <v>18-19Kgs CIT, 0-1Kgs TSO</v>
          </cell>
          <cell r="AB39" t="str">
            <v>CIT/TSO</v>
          </cell>
          <cell r="AC39" t="str">
            <v>NOV</v>
          </cell>
          <cell r="AD39" t="str">
            <v>Weight &gt; 7 Kg</v>
          </cell>
          <cell r="AE39" t="str">
            <v>4</v>
          </cell>
          <cell r="AF39" t="str">
            <v/>
          </cell>
          <cell r="AG39">
            <v>17.3</v>
          </cell>
          <cell r="AH39" t="str">
            <v>50147242</v>
          </cell>
          <cell r="AI39" t="str">
            <v>1</v>
          </cell>
          <cell r="AJ39" t="str">
            <v>P110</v>
          </cell>
          <cell r="AK39" t="str">
            <v>LA</v>
          </cell>
          <cell r="AL39" t="str">
            <v/>
          </cell>
        </row>
        <row r="40">
          <cell r="G40">
            <v>0.16500000000000001</v>
          </cell>
          <cell r="K40">
            <v>2045299</v>
          </cell>
          <cell r="L40" t="str">
            <v>DC-2492.39 P1C 55UN CTN 1 BAG</v>
          </cell>
          <cell r="M40">
            <v>27</v>
          </cell>
          <cell r="N40">
            <v>27</v>
          </cell>
          <cell r="O40" t="str">
            <v>F_D4A</v>
          </cell>
          <cell r="P40" t="str">
            <v/>
          </cell>
          <cell r="Q40">
            <v>5040</v>
          </cell>
          <cell r="R40">
            <v>1500</v>
          </cell>
          <cell r="S40" t="str">
            <v>1500214</v>
          </cell>
          <cell r="T40" t="str">
            <v>TSO</v>
          </cell>
          <cell r="U40" t="str">
            <v>529</v>
          </cell>
          <cell r="V40" t="str">
            <v>B8</v>
          </cell>
          <cell r="W40" t="str">
            <v/>
          </cell>
          <cell r="X40" t="str">
            <v>ACT</v>
          </cell>
          <cell r="Z40">
            <v>14.465</v>
          </cell>
          <cell r="AA40" t="str">
            <v>14-15Kgs TSO</v>
          </cell>
          <cell r="AB40" t="str">
            <v>TSO</v>
          </cell>
          <cell r="AC40" t="str">
            <v>NOV</v>
          </cell>
          <cell r="AD40" t="str">
            <v>Weight &gt; 7 Kg</v>
          </cell>
          <cell r="AE40" t="str">
            <v>4</v>
          </cell>
          <cell r="AF40" t="str">
            <v/>
          </cell>
          <cell r="AG40">
            <v>17.3</v>
          </cell>
          <cell r="AH40" t="str">
            <v>50178068</v>
          </cell>
          <cell r="AI40" t="str">
            <v>1</v>
          </cell>
          <cell r="AJ40" t="str">
            <v>P110</v>
          </cell>
          <cell r="AK40" t="str">
            <v>LA</v>
          </cell>
          <cell r="AL40" t="str">
            <v/>
          </cell>
        </row>
        <row r="41">
          <cell r="G41">
            <v>1.82</v>
          </cell>
          <cell r="K41">
            <v>1380758</v>
          </cell>
          <cell r="L41" t="str">
            <v>FP/V-344.10/FP/N/V-409.00 P1F 4UN CTN 1B</v>
          </cell>
          <cell r="M41">
            <v>297</v>
          </cell>
          <cell r="N41">
            <v>297</v>
          </cell>
          <cell r="O41" t="str">
            <v>F_D4A</v>
          </cell>
          <cell r="P41" t="str">
            <v/>
          </cell>
          <cell r="Q41">
            <v>5040</v>
          </cell>
          <cell r="R41">
            <v>1500</v>
          </cell>
          <cell r="S41" t="str">
            <v>1500214</v>
          </cell>
          <cell r="T41" t="str">
            <v>TSO</v>
          </cell>
          <cell r="U41" t="str">
            <v>529</v>
          </cell>
          <cell r="V41" t="str">
            <v>B8</v>
          </cell>
          <cell r="W41" t="str">
            <v/>
          </cell>
          <cell r="X41" t="str">
            <v>ACT</v>
          </cell>
          <cell r="Z41">
            <v>16</v>
          </cell>
          <cell r="AA41" t="str">
            <v>15-16Kgs TSO</v>
          </cell>
          <cell r="AB41" t="str">
            <v>TSO</v>
          </cell>
          <cell r="AC41" t="str">
            <v>NOV</v>
          </cell>
          <cell r="AD41" t="str">
            <v>Weight &gt; 7 Kg</v>
          </cell>
          <cell r="AE41" t="str">
            <v>4</v>
          </cell>
          <cell r="AF41" t="str">
            <v/>
          </cell>
          <cell r="AG41">
            <v>12.8</v>
          </cell>
          <cell r="AH41" t="str">
            <v>50147428</v>
          </cell>
          <cell r="AI41" t="str">
            <v>1</v>
          </cell>
          <cell r="AJ41" t="str">
            <v>P110</v>
          </cell>
          <cell r="AK41" t="str">
            <v>LA</v>
          </cell>
          <cell r="AL41" t="str">
            <v/>
          </cell>
        </row>
        <row r="42">
          <cell r="G42">
            <v>9.5000000000000001E-2</v>
          </cell>
          <cell r="K42">
            <v>2100052</v>
          </cell>
          <cell r="L42" t="str">
            <v>RA/D-16.60 P1M 10UN CTN 1BAG</v>
          </cell>
          <cell r="M42">
            <v>27</v>
          </cell>
          <cell r="N42">
            <v>27</v>
          </cell>
          <cell r="O42" t="str">
            <v>F_D4A</v>
          </cell>
          <cell r="P42" t="str">
            <v/>
          </cell>
          <cell r="Q42">
            <v>5040</v>
          </cell>
          <cell r="R42">
            <v>1810</v>
          </cell>
          <cell r="S42" t="str">
            <v>1810214</v>
          </cell>
          <cell r="T42" t="str">
            <v>TSO/656</v>
          </cell>
          <cell r="U42" t="str">
            <v>529</v>
          </cell>
          <cell r="V42" t="str">
            <v>B8</v>
          </cell>
          <cell r="W42" t="str">
            <v/>
          </cell>
          <cell r="X42" t="str">
            <v>Mal</v>
          </cell>
          <cell r="Z42">
            <v>9.92</v>
          </cell>
          <cell r="AA42" t="str">
            <v>4-5Kgs TSO, 4-5Kgs 656</v>
          </cell>
          <cell r="AB42" t="str">
            <v>CIT/656</v>
          </cell>
          <cell r="AC42" t="str">
            <v>NOV</v>
          </cell>
          <cell r="AD42" t="str">
            <v>Weight &gt; 7 Kg</v>
          </cell>
          <cell r="AE42" t="str">
            <v>4</v>
          </cell>
          <cell r="AF42" t="str">
            <v/>
          </cell>
          <cell r="AG42">
            <v>12.6</v>
          </cell>
          <cell r="AH42" t="str">
            <v>50185380</v>
          </cell>
          <cell r="AI42" t="str">
            <v>1</v>
          </cell>
          <cell r="AJ42" t="str">
            <v>P110</v>
          </cell>
          <cell r="AK42" t="str">
            <v>LA</v>
          </cell>
          <cell r="AL42" t="str">
            <v/>
          </cell>
        </row>
        <row r="43">
          <cell r="G43">
            <v>0.23400000000000001</v>
          </cell>
          <cell r="K43">
            <v>1964690</v>
          </cell>
          <cell r="L43" t="str">
            <v>PE/B-495.00 P1A 6UN CTN 1 BAG</v>
          </cell>
          <cell r="M43">
            <v>81</v>
          </cell>
          <cell r="N43">
            <v>81</v>
          </cell>
          <cell r="O43" t="str">
            <v>F_D4A</v>
          </cell>
          <cell r="P43" t="str">
            <v/>
          </cell>
          <cell r="Q43">
            <v>5040</v>
          </cell>
          <cell r="R43">
            <v>1800</v>
          </cell>
          <cell r="S43" t="str">
            <v>1800207</v>
          </cell>
          <cell r="T43">
            <v>656</v>
          </cell>
          <cell r="U43" t="str">
            <v>529</v>
          </cell>
          <cell r="V43" t="str">
            <v>B8</v>
          </cell>
          <cell r="W43" t="str">
            <v/>
          </cell>
          <cell r="X43" t="str">
            <v>Mal</v>
          </cell>
          <cell r="Z43">
            <v>5.3310000000000004</v>
          </cell>
          <cell r="AA43" t="str">
            <v>5-6Kgs 656</v>
          </cell>
          <cell r="AB43" t="str">
            <v>656</v>
          </cell>
          <cell r="AC43" t="str">
            <v>NOV</v>
          </cell>
          <cell r="AD43" t="str">
            <v>Weight &lt;= 7 Kg</v>
          </cell>
          <cell r="AE43" t="str">
            <v>4</v>
          </cell>
          <cell r="AF43" t="str">
            <v/>
          </cell>
          <cell r="AG43">
            <v>12</v>
          </cell>
          <cell r="AH43" t="str">
            <v>50160880</v>
          </cell>
          <cell r="AI43" t="str">
            <v>1</v>
          </cell>
          <cell r="AJ43" t="str">
            <v>P110</v>
          </cell>
          <cell r="AK43" t="str">
            <v>LA</v>
          </cell>
          <cell r="AL43" t="str">
            <v/>
          </cell>
        </row>
        <row r="44">
          <cell r="G44">
            <v>0.56699999999999995</v>
          </cell>
          <cell r="K44">
            <v>1432647</v>
          </cell>
          <cell r="L44" t="str">
            <v>TE/LE/D-124.50 P1 4UN CTN 1 BAG</v>
          </cell>
          <cell r="M44">
            <v>81</v>
          </cell>
          <cell r="N44">
            <v>81</v>
          </cell>
          <cell r="O44" t="str">
            <v>F_D4A</v>
          </cell>
          <cell r="P44" t="str">
            <v/>
          </cell>
          <cell r="Q44">
            <v>5040</v>
          </cell>
          <cell r="R44">
            <v>1800</v>
          </cell>
          <cell r="S44" t="str">
            <v>1800214</v>
          </cell>
          <cell r="T44" t="str">
            <v>ASC/656</v>
          </cell>
          <cell r="U44" t="str">
            <v>529</v>
          </cell>
          <cell r="V44" t="str">
            <v>B8</v>
          </cell>
          <cell r="W44" t="str">
            <v/>
          </cell>
          <cell r="X44" t="str">
            <v>Mal</v>
          </cell>
          <cell r="Z44">
            <v>16.88</v>
          </cell>
          <cell r="AA44" t="str">
            <v>14-15Kgs 656, 1-2Kgs ASC</v>
          </cell>
          <cell r="AB44" t="str">
            <v>656</v>
          </cell>
          <cell r="AC44" t="str">
            <v>NOV</v>
          </cell>
          <cell r="AD44" t="str">
            <v>Weight &gt; 7 Kg</v>
          </cell>
          <cell r="AE44" t="str">
            <v>4</v>
          </cell>
          <cell r="AF44" t="str">
            <v/>
          </cell>
          <cell r="AG44">
            <v>7.4</v>
          </cell>
          <cell r="AH44" t="str">
            <v>50158775</v>
          </cell>
          <cell r="AI44" t="str">
            <v>1</v>
          </cell>
          <cell r="AJ44" t="str">
            <v>P110</v>
          </cell>
          <cell r="AK44" t="str">
            <v>LA</v>
          </cell>
          <cell r="AL44" t="str">
            <v/>
          </cell>
        </row>
        <row r="45">
          <cell r="G45">
            <v>1.752</v>
          </cell>
          <cell r="K45">
            <v>1875638</v>
          </cell>
          <cell r="L45" t="str">
            <v>OR/B-1643.001 P1D,1B,3 5UN CTN 1BAG</v>
          </cell>
          <cell r="M45">
            <v>536</v>
          </cell>
          <cell r="N45">
            <v>536</v>
          </cell>
          <cell r="O45" t="str">
            <v>F_D4A</v>
          </cell>
          <cell r="P45" t="str">
            <v/>
          </cell>
          <cell r="Q45">
            <v>5040</v>
          </cell>
          <cell r="R45">
            <v>1810</v>
          </cell>
          <cell r="S45" t="str">
            <v>1810214</v>
          </cell>
          <cell r="T45" t="str">
            <v>ASC/TSO/656</v>
          </cell>
          <cell r="U45" t="str">
            <v>529</v>
          </cell>
          <cell r="V45" t="str">
            <v>B8</v>
          </cell>
          <cell r="W45" t="str">
            <v>1 of 1875636 (811), 1 of 1875635 (616/6171)</v>
          </cell>
          <cell r="X45" t="str">
            <v>Mal</v>
          </cell>
          <cell r="Z45">
            <v>4.7030000000000003</v>
          </cell>
          <cell r="AA45" t="str">
            <v>2-3Kgs 656, 1-2Kgs TSO, 0-1Kgs ASC</v>
          </cell>
          <cell r="AB45" t="str">
            <v>CIT/656</v>
          </cell>
          <cell r="AC45" t="str">
            <v>NOV</v>
          </cell>
          <cell r="AD45" t="str">
            <v>Weight &gt; 7 Kg</v>
          </cell>
          <cell r="AE45" t="str">
            <v>4</v>
          </cell>
          <cell r="AF45" t="str">
            <v/>
          </cell>
          <cell r="AG45">
            <v>7.9</v>
          </cell>
          <cell r="AH45" t="str">
            <v>50145691</v>
          </cell>
          <cell r="AI45" t="str">
            <v>1</v>
          </cell>
          <cell r="AJ45" t="str">
            <v>P110</v>
          </cell>
          <cell r="AK45" t="str">
            <v>LA</v>
          </cell>
          <cell r="AL45" t="str">
            <v/>
          </cell>
        </row>
        <row r="46">
          <cell r="G46">
            <v>0.97099999999999997</v>
          </cell>
          <cell r="K46">
            <v>1793956</v>
          </cell>
          <cell r="L46" t="str">
            <v>TE/LE/D-124.60 P1K 2UN CTN 1 BAG</v>
          </cell>
          <cell r="M46">
            <v>297</v>
          </cell>
          <cell r="N46">
            <v>297</v>
          </cell>
          <cell r="O46" t="str">
            <v>F_D4A</v>
          </cell>
          <cell r="P46" t="str">
            <v/>
          </cell>
          <cell r="Q46">
            <v>5040</v>
          </cell>
          <cell r="R46">
            <v>1810</v>
          </cell>
          <cell r="S46" t="str">
            <v>1810214</v>
          </cell>
          <cell r="T46" t="str">
            <v>ASC/TSO/656</v>
          </cell>
          <cell r="U46" t="str">
            <v>529</v>
          </cell>
          <cell r="V46" t="str">
            <v>B8</v>
          </cell>
          <cell r="W46" t="str">
            <v/>
          </cell>
          <cell r="X46" t="str">
            <v>Mal</v>
          </cell>
          <cell r="Z46">
            <v>10.69</v>
          </cell>
          <cell r="AA46" t="str">
            <v>7-8Kgs 656, 2-3Kgs TSO, 0-1Kgs ASC</v>
          </cell>
          <cell r="AB46" t="str">
            <v>CIT/656</v>
          </cell>
          <cell r="AC46" t="str">
            <v>NOV</v>
          </cell>
          <cell r="AD46" t="str">
            <v>Weight &gt; 7 Kg</v>
          </cell>
          <cell r="AE46" t="str">
            <v>4</v>
          </cell>
          <cell r="AF46" t="str">
            <v/>
          </cell>
          <cell r="AG46">
            <v>7.8</v>
          </cell>
          <cell r="AH46" t="str">
            <v>50144783</v>
          </cell>
          <cell r="AI46" t="str">
            <v>1</v>
          </cell>
          <cell r="AJ46" t="str">
            <v>P110</v>
          </cell>
          <cell r="AK46" t="str">
            <v>LA</v>
          </cell>
          <cell r="AL46" t="str">
            <v/>
          </cell>
        </row>
        <row r="47">
          <cell r="G47">
            <v>0.26500000000000001</v>
          </cell>
          <cell r="K47">
            <v>1958628</v>
          </cell>
          <cell r="L47" t="str">
            <v>TW/4-57.10 P1 0.5UN CTN 1 BAG</v>
          </cell>
          <cell r="M47">
            <v>81</v>
          </cell>
          <cell r="N47">
            <v>81</v>
          </cell>
          <cell r="O47" t="str">
            <v>F_D4A</v>
          </cell>
          <cell r="P47" t="str">
            <v/>
          </cell>
          <cell r="Q47">
            <v>5040</v>
          </cell>
          <cell r="R47">
            <v>1600</v>
          </cell>
          <cell r="S47" t="str">
            <v>1600214</v>
          </cell>
          <cell r="T47" t="str">
            <v>CIT</v>
          </cell>
          <cell r="U47" t="str">
            <v>529</v>
          </cell>
          <cell r="V47" t="str">
            <v>B8</v>
          </cell>
          <cell r="W47" t="str">
            <v/>
          </cell>
          <cell r="X47" t="str">
            <v>ACT</v>
          </cell>
          <cell r="Z47">
            <v>12.8</v>
          </cell>
          <cell r="AA47" t="str">
            <v>12-13Kgs CIT</v>
          </cell>
          <cell r="AB47" t="str">
            <v>CIT</v>
          </cell>
          <cell r="AC47" t="str">
            <v>NOV</v>
          </cell>
          <cell r="AD47" t="str">
            <v>Weight &gt; 7 Kg</v>
          </cell>
          <cell r="AE47" t="str">
            <v>4</v>
          </cell>
          <cell r="AF47" t="str">
            <v>CRTD MSPT PRC  BASC BCRQ EXTS MANC SETC</v>
          </cell>
          <cell r="AG47">
            <v>22.7</v>
          </cell>
          <cell r="AH47" t="str">
            <v>50159777</v>
          </cell>
          <cell r="AI47" t="str">
            <v>1</v>
          </cell>
          <cell r="AJ47" t="str">
            <v>P110</v>
          </cell>
          <cell r="AK47" t="str">
            <v>YPI5</v>
          </cell>
          <cell r="AL47" t="str">
            <v/>
          </cell>
        </row>
        <row r="48">
          <cell r="G48">
            <v>0.311</v>
          </cell>
          <cell r="K48">
            <v>2037341</v>
          </cell>
          <cell r="L48" t="str">
            <v>FP/B-779.00 P1 10UN CTN 2 BAG</v>
          </cell>
          <cell r="M48">
            <v>54</v>
          </cell>
          <cell r="N48">
            <v>108</v>
          </cell>
          <cell r="O48" t="str">
            <v>F_D4A</v>
          </cell>
          <cell r="P48" t="str">
            <v/>
          </cell>
          <cell r="Q48">
            <v>5040</v>
          </cell>
          <cell r="R48" t="str">
            <v>1810</v>
          </cell>
          <cell r="S48" t="str">
            <v>1810207</v>
          </cell>
          <cell r="T48" t="str">
            <v>CIT/656</v>
          </cell>
          <cell r="U48" t="str">
            <v>529</v>
          </cell>
          <cell r="V48" t="str">
            <v>B8</v>
          </cell>
          <cell r="W48" t="str">
            <v/>
          </cell>
          <cell r="X48" t="str">
            <v>Mal</v>
          </cell>
          <cell r="Z48">
            <v>9.9760000000000009</v>
          </cell>
          <cell r="AA48" t="str">
            <v>6-7Kgs 656, 3-4Kgs CIT</v>
          </cell>
          <cell r="AB48" t="str">
            <v>CIT/656</v>
          </cell>
          <cell r="AC48" t="str">
            <v>NOV</v>
          </cell>
          <cell r="AD48" t="str">
            <v>Weight &gt; 7 Kg</v>
          </cell>
          <cell r="AE48" t="str">
            <v>4</v>
          </cell>
          <cell r="AF48" t="str">
            <v/>
          </cell>
          <cell r="AG48">
            <v>12.4</v>
          </cell>
          <cell r="AH48" t="str">
            <v>50174336</v>
          </cell>
          <cell r="AI48" t="str">
            <v>1</v>
          </cell>
          <cell r="AJ48" t="str">
            <v>P110</v>
          </cell>
          <cell r="AK48" t="str">
            <v>LA</v>
          </cell>
          <cell r="AL48" t="str">
            <v/>
          </cell>
        </row>
        <row r="49">
          <cell r="G49">
            <v>0.66200000000000003</v>
          </cell>
          <cell r="K49">
            <v>1649523</v>
          </cell>
          <cell r="L49" t="str">
            <v>FP/B/Q-144.73 P1G 2UN CTN 1 BAG</v>
          </cell>
          <cell r="M49">
            <v>216</v>
          </cell>
          <cell r="N49">
            <v>216</v>
          </cell>
          <cell r="O49" t="str">
            <v>F_D4A</v>
          </cell>
          <cell r="P49" t="str">
            <v/>
          </cell>
          <cell r="Q49">
            <v>5040</v>
          </cell>
          <cell r="R49">
            <v>1810</v>
          </cell>
          <cell r="S49" t="str">
            <v>1810214</v>
          </cell>
          <cell r="T49" t="str">
            <v>CIT/656</v>
          </cell>
          <cell r="U49" t="str">
            <v>529</v>
          </cell>
          <cell r="V49" t="str">
            <v>B8</v>
          </cell>
          <cell r="W49" t="str">
            <v/>
          </cell>
          <cell r="X49" t="str">
            <v>Mal</v>
          </cell>
          <cell r="Z49">
            <v>12.85</v>
          </cell>
          <cell r="AA49" t="str">
            <v>9-10Kgs CIT, 3-4Kgs 656</v>
          </cell>
          <cell r="AB49" t="str">
            <v>CIT/656</v>
          </cell>
          <cell r="AC49" t="str">
            <v>NOV</v>
          </cell>
          <cell r="AD49" t="str">
            <v>Weight &gt; 7 Kg</v>
          </cell>
          <cell r="AE49" t="str">
            <v>4</v>
          </cell>
          <cell r="AF49" t="str">
            <v/>
          </cell>
          <cell r="AG49">
            <v>11.7</v>
          </cell>
          <cell r="AH49" t="str">
            <v>50143104</v>
          </cell>
          <cell r="AI49" t="str">
            <v>1</v>
          </cell>
          <cell r="AJ49" t="str">
            <v>P110</v>
          </cell>
          <cell r="AK49" t="str">
            <v>LA</v>
          </cell>
          <cell r="AL49" t="str">
            <v/>
          </cell>
        </row>
        <row r="50">
          <cell r="G50">
            <v>0.77900000000000003</v>
          </cell>
          <cell r="K50">
            <v>1953069</v>
          </cell>
          <cell r="L50" t="str">
            <v>OR/B-1699.101 P1,3,1B 2UN CTN 2BAG</v>
          </cell>
          <cell r="M50">
            <v>135</v>
          </cell>
          <cell r="N50">
            <v>270</v>
          </cell>
          <cell r="O50" t="str">
            <v>F_D4A</v>
          </cell>
          <cell r="P50" t="str">
            <v/>
          </cell>
          <cell r="Q50">
            <v>5040</v>
          </cell>
          <cell r="R50">
            <v>1810</v>
          </cell>
          <cell r="S50" t="str">
            <v>1810214</v>
          </cell>
          <cell r="T50" t="str">
            <v>CIT/ASC/656</v>
          </cell>
          <cell r="U50" t="str">
            <v>529</v>
          </cell>
          <cell r="V50" t="str">
            <v>B8</v>
          </cell>
          <cell r="W50" t="str">
            <v>2 of 1953066 (ASP/616), 2 of 1953065 (SBZ/811)</v>
          </cell>
          <cell r="X50" t="str">
            <v>Mal</v>
          </cell>
          <cell r="Z50">
            <v>7.8079999999999998</v>
          </cell>
          <cell r="AA50" t="str">
            <v>3-4Kgs CIT, 3-4Kgs 656, 0-1Kgs ASC</v>
          </cell>
          <cell r="AB50" t="str">
            <v>CIT/656</v>
          </cell>
          <cell r="AC50" t="str">
            <v>NOV</v>
          </cell>
          <cell r="AD50" t="str">
            <v>Weight &gt; 7 Kg</v>
          </cell>
          <cell r="AE50" t="str">
            <v>4</v>
          </cell>
          <cell r="AF50" t="str">
            <v/>
          </cell>
          <cell r="AG50">
            <v>12.3</v>
          </cell>
          <cell r="AH50" t="str">
            <v>50162133</v>
          </cell>
          <cell r="AI50" t="str">
            <v>1</v>
          </cell>
          <cell r="AJ50" t="str">
            <v>P110</v>
          </cell>
          <cell r="AK50" t="str">
            <v>LA</v>
          </cell>
          <cell r="AL50" t="str">
            <v/>
          </cell>
        </row>
        <row r="51">
          <cell r="G51">
            <v>0.46700000000000003</v>
          </cell>
          <cell r="K51">
            <v>1966805</v>
          </cell>
          <cell r="L51" t="str">
            <v>OR/D-1709.50 P1 2.5UN CTN 1 BAG</v>
          </cell>
          <cell r="M51">
            <v>162</v>
          </cell>
          <cell r="N51">
            <v>162</v>
          </cell>
          <cell r="O51" t="str">
            <v>F_D4A</v>
          </cell>
          <cell r="P51" t="str">
            <v/>
          </cell>
          <cell r="Q51">
            <v>5040</v>
          </cell>
          <cell r="R51">
            <v>1810</v>
          </cell>
          <cell r="S51" t="str">
            <v>1810214</v>
          </cell>
          <cell r="T51" t="str">
            <v>CIT/ASC/656</v>
          </cell>
          <cell r="U51" t="str">
            <v>529</v>
          </cell>
          <cell r="V51" t="str">
            <v>B8</v>
          </cell>
          <cell r="W51" t="str">
            <v/>
          </cell>
          <cell r="X51" t="str">
            <v>Mal</v>
          </cell>
          <cell r="Z51">
            <v>10.125</v>
          </cell>
          <cell r="AA51" t="str">
            <v>5-6Kgs CIT, 3-4Kgs 656, 0-1Kgs ASC</v>
          </cell>
          <cell r="AB51" t="str">
            <v>CIT/656</v>
          </cell>
          <cell r="AC51" t="str">
            <v>NOV</v>
          </cell>
          <cell r="AD51" t="str">
            <v>Weight &gt; 7 Kg</v>
          </cell>
          <cell r="AE51" t="str">
            <v>4</v>
          </cell>
          <cell r="AF51" t="str">
            <v/>
          </cell>
          <cell r="AG51">
            <v>12.6</v>
          </cell>
          <cell r="AH51" t="str">
            <v>50160878</v>
          </cell>
          <cell r="AI51" t="str">
            <v>1</v>
          </cell>
          <cell r="AJ51" t="str">
            <v>P110</v>
          </cell>
          <cell r="AK51" t="str">
            <v>LA</v>
          </cell>
          <cell r="AL51" t="str">
            <v/>
          </cell>
        </row>
        <row r="52">
          <cell r="G52">
            <v>0.11076923076923077</v>
          </cell>
          <cell r="K52">
            <v>1964984</v>
          </cell>
          <cell r="L52" t="str">
            <v>GF/OR/B-24.00 P1 2.5UN CTN 1 BAG CQ</v>
          </cell>
          <cell r="M52">
            <v>36</v>
          </cell>
          <cell r="N52">
            <v>36</v>
          </cell>
          <cell r="O52" t="str">
            <v>F_D4A</v>
          </cell>
          <cell r="P52" t="str">
            <v/>
          </cell>
          <cell r="Q52">
            <v>5040</v>
          </cell>
          <cell r="R52">
            <v>1810</v>
          </cell>
          <cell r="S52" t="str">
            <v>1810214</v>
          </cell>
          <cell r="T52" t="str">
            <v>CIT/ASC/656</v>
          </cell>
          <cell r="U52" t="str">
            <v>525</v>
          </cell>
          <cell r="V52" t="str">
            <v>B8</v>
          </cell>
          <cell r="W52" t="str">
            <v/>
          </cell>
          <cell r="X52" t="str">
            <v>Mal</v>
          </cell>
          <cell r="Z52">
            <v>17.728000000000002</v>
          </cell>
          <cell r="AA52" t="str">
            <v>12-13Kgs CIT, 3-4Kgs 656, 1-2Kgs ASC</v>
          </cell>
          <cell r="AB52" t="str">
            <v>CIT/656</v>
          </cell>
          <cell r="AC52" t="str">
            <v>NOV</v>
          </cell>
          <cell r="AD52" t="str">
            <v>Weight &gt; 7 Kg</v>
          </cell>
          <cell r="AE52" t="str">
            <v>4</v>
          </cell>
          <cell r="AF52" t="str">
            <v/>
          </cell>
          <cell r="AG52">
            <v>12.5</v>
          </cell>
          <cell r="AH52" t="str">
            <v>50188348</v>
          </cell>
          <cell r="AI52" t="str">
            <v>1</v>
          </cell>
          <cell r="AJ52" t="str">
            <v>P110</v>
          </cell>
          <cell r="AK52" t="str">
            <v>LA</v>
          </cell>
          <cell r="AL52" t="str">
            <v/>
          </cell>
        </row>
        <row r="53">
          <cell r="G53">
            <v>4.0720000000000001</v>
          </cell>
          <cell r="K53">
            <v>1975796</v>
          </cell>
          <cell r="L53" t="str">
            <v>OR/A/B-1704.01 P1 4UN CTN 1 BAG</v>
          </cell>
          <cell r="M53">
            <v>1080</v>
          </cell>
          <cell r="N53">
            <v>1080</v>
          </cell>
          <cell r="O53" t="str">
            <v>F_D4A</v>
          </cell>
          <cell r="P53" t="str">
            <v/>
          </cell>
          <cell r="Q53">
            <v>5040</v>
          </cell>
          <cell r="R53">
            <v>1810</v>
          </cell>
          <cell r="S53" t="str">
            <v>1810214</v>
          </cell>
          <cell r="T53" t="str">
            <v>CIT/ASC/656</v>
          </cell>
          <cell r="U53" t="str">
            <v>529</v>
          </cell>
          <cell r="V53" t="str">
            <v>B8</v>
          </cell>
          <cell r="W53" t="str">
            <v/>
          </cell>
          <cell r="X53" t="str">
            <v>Mal</v>
          </cell>
          <cell r="Z53">
            <v>19.64</v>
          </cell>
          <cell r="AA53" t="str">
            <v>10-11Kgs CIT, 5-6Kgs 656, 3-4Kgs ASC</v>
          </cell>
          <cell r="AB53" t="str">
            <v>CIT/656</v>
          </cell>
          <cell r="AC53" t="str">
            <v>NOV</v>
          </cell>
          <cell r="AD53" t="str">
            <v>Weight &gt; 7 Kg</v>
          </cell>
          <cell r="AE53" t="str">
            <v>4</v>
          </cell>
          <cell r="AF53" t="str">
            <v/>
          </cell>
          <cell r="AG53">
            <v>11.1</v>
          </cell>
          <cell r="AH53" t="str">
            <v>50162840</v>
          </cell>
          <cell r="AI53" t="str">
            <v>1</v>
          </cell>
          <cell r="AJ53" t="str">
            <v>P110</v>
          </cell>
          <cell r="AK53" t="str">
            <v>LA</v>
          </cell>
          <cell r="AL53" t="str">
            <v/>
          </cell>
        </row>
        <row r="54">
          <cell r="G54">
            <v>5.2173913043478258E-2</v>
          </cell>
          <cell r="K54">
            <v>2040337</v>
          </cell>
          <cell r="L54" t="str">
            <v>PA/D-313.50 P1,1C 5UN CTN 1 BAG</v>
          </cell>
          <cell r="M54">
            <v>18</v>
          </cell>
          <cell r="N54">
            <v>18</v>
          </cell>
          <cell r="O54" t="str">
            <v>F_D4A</v>
          </cell>
          <cell r="P54" t="str">
            <v/>
          </cell>
          <cell r="Q54">
            <v>5040</v>
          </cell>
          <cell r="R54" t="str">
            <v>1810</v>
          </cell>
          <cell r="S54" t="str">
            <v>1810207</v>
          </cell>
          <cell r="T54" t="str">
            <v>CIT/ASC/656</v>
          </cell>
          <cell r="U54" t="str">
            <v>529</v>
          </cell>
          <cell r="V54" t="str">
            <v>B8</v>
          </cell>
          <cell r="W54" t="str">
            <v>1 of 2040334 (8197.1)</v>
          </cell>
          <cell r="X54" t="str">
            <v>Mal</v>
          </cell>
          <cell r="Z54">
            <v>13</v>
          </cell>
          <cell r="AA54" t="str">
            <v>7-8Kgs CIT, 3-4Kgs 656, 0-1Kgs ASC</v>
          </cell>
          <cell r="AB54" t="str">
            <v>CIT/656</v>
          </cell>
          <cell r="AC54" t="str">
            <v>NOV</v>
          </cell>
          <cell r="AD54" t="str">
            <v>Weight &gt; 7 Kg</v>
          </cell>
          <cell r="AE54" t="str">
            <v>4</v>
          </cell>
          <cell r="AF54" t="str">
            <v/>
          </cell>
          <cell r="AG54">
            <v>12.2</v>
          </cell>
          <cell r="AH54" t="str">
            <v>50173737</v>
          </cell>
          <cell r="AI54" t="str">
            <v>1</v>
          </cell>
          <cell r="AJ54" t="str">
            <v>P110</v>
          </cell>
          <cell r="AK54" t="str">
            <v>LA</v>
          </cell>
          <cell r="AL54" t="str">
            <v/>
          </cell>
        </row>
        <row r="55">
          <cell r="G55">
            <v>0.32300000000000001</v>
          </cell>
          <cell r="K55">
            <v>2073510</v>
          </cell>
          <cell r="L55" t="str">
            <v>TE/HB/B-120.01 P1K 1.25UN CTN 1 BAG</v>
          </cell>
          <cell r="M55">
            <v>112</v>
          </cell>
          <cell r="N55">
            <v>112</v>
          </cell>
          <cell r="O55" t="str">
            <v>F_D4A</v>
          </cell>
          <cell r="P55" t="str">
            <v/>
          </cell>
          <cell r="Q55">
            <v>5040</v>
          </cell>
          <cell r="R55">
            <v>1810</v>
          </cell>
          <cell r="S55" t="str">
            <v>1810207</v>
          </cell>
          <cell r="T55" t="str">
            <v>CIT/ASC/TSO/656</v>
          </cell>
          <cell r="U55" t="str">
            <v>529</v>
          </cell>
          <cell r="V55" t="str">
            <v>B8</v>
          </cell>
          <cell r="W55" t="str">
            <v/>
          </cell>
          <cell r="X55" t="str">
            <v>Mal</v>
          </cell>
          <cell r="Z55">
            <v>10.851000000000001</v>
          </cell>
          <cell r="AA55" t="str">
            <v>6-7Kgs CIT, 1-2Kgs 656, 1-2Kgs TSO, 1-2Kgs ASC</v>
          </cell>
          <cell r="AB55" t="str">
            <v>CIT/656</v>
          </cell>
          <cell r="AC55" t="str">
            <v>NOV</v>
          </cell>
          <cell r="AD55" t="str">
            <v>Weight &lt;= 7 Kg</v>
          </cell>
          <cell r="AE55" t="str">
            <v>4</v>
          </cell>
          <cell r="AF55" t="str">
            <v/>
          </cell>
          <cell r="AG55">
            <v>6.8</v>
          </cell>
          <cell r="AH55" t="str">
            <v>50182817</v>
          </cell>
          <cell r="AI55" t="str">
            <v>1</v>
          </cell>
          <cell r="AJ55" t="str">
            <v>P110</v>
          </cell>
          <cell r="AK55" t="str">
            <v>LA</v>
          </cell>
          <cell r="AL55" t="str">
            <v/>
          </cell>
        </row>
        <row r="56">
          <cell r="G56">
            <v>0.623</v>
          </cell>
          <cell r="K56">
            <v>1985109</v>
          </cell>
          <cell r="L56" t="str">
            <v>LE/D-718.50 P1K 3UN CTN 2 BAGS</v>
          </cell>
          <cell r="M56">
            <v>108</v>
          </cell>
          <cell r="N56">
            <v>216</v>
          </cell>
          <cell r="O56" t="str">
            <v>F_D4A</v>
          </cell>
          <cell r="P56" t="str">
            <v/>
          </cell>
          <cell r="Q56">
            <v>5040</v>
          </cell>
          <cell r="R56">
            <v>1810</v>
          </cell>
          <cell r="S56" t="str">
            <v>1810214</v>
          </cell>
          <cell r="T56" t="str">
            <v>CIT/ASC/TSO/656</v>
          </cell>
          <cell r="U56" t="str">
            <v>529</v>
          </cell>
          <cell r="V56" t="str">
            <v>B8</v>
          </cell>
          <cell r="W56" t="str">
            <v/>
          </cell>
          <cell r="X56" t="str">
            <v>Mal</v>
          </cell>
          <cell r="Z56">
            <v>9.2249999999999996</v>
          </cell>
          <cell r="AA56" t="str">
            <v>4-5Kgs CIT, 3-4Kgs 656, 1-2Kgs TSO, 0-1Kgs ASC</v>
          </cell>
          <cell r="AB56" t="str">
            <v>CIT/656</v>
          </cell>
          <cell r="AC56" t="str">
            <v>NOV</v>
          </cell>
          <cell r="AD56" t="str">
            <v>Weight &gt; 7 Kg</v>
          </cell>
          <cell r="AE56" t="str">
            <v>4</v>
          </cell>
          <cell r="AF56" t="str">
            <v/>
          </cell>
          <cell r="AG56">
            <v>17.2</v>
          </cell>
          <cell r="AH56" t="str">
            <v>50164304</v>
          </cell>
          <cell r="AI56" t="str">
            <v>1</v>
          </cell>
          <cell r="AJ56" t="str">
            <v>P110</v>
          </cell>
          <cell r="AK56" t="str">
            <v>LA</v>
          </cell>
          <cell r="AL56" t="str">
            <v/>
          </cell>
        </row>
        <row r="57">
          <cell r="G57">
            <v>2.024</v>
          </cell>
          <cell r="K57">
            <v>1958006</v>
          </cell>
          <cell r="L57" t="str">
            <v>CI/B/Q-54.01 P1M 4UN CTN 2 BAG</v>
          </cell>
          <cell r="M57">
            <v>351</v>
          </cell>
          <cell r="N57">
            <v>702</v>
          </cell>
          <cell r="O57" t="str">
            <v>F_D4A</v>
          </cell>
          <cell r="P57" t="str">
            <v/>
          </cell>
          <cell r="Q57">
            <v>5040</v>
          </cell>
          <cell r="R57">
            <v>1810</v>
          </cell>
          <cell r="S57" t="str">
            <v>1810214</v>
          </cell>
          <cell r="T57" t="str">
            <v>CIT/ASC/TSO/656</v>
          </cell>
          <cell r="U57" t="str">
            <v>529</v>
          </cell>
          <cell r="V57" t="str">
            <v>B8</v>
          </cell>
          <cell r="W57" t="str">
            <v/>
          </cell>
          <cell r="X57" t="str">
            <v>Mal</v>
          </cell>
          <cell r="Z57">
            <v>10.035</v>
          </cell>
          <cell r="AA57" t="str">
            <v>7-8Kgs CIT, 0-1Kgs TSO, 0-1Kgs 656, 0-1Kgs ASC</v>
          </cell>
          <cell r="AB57" t="str">
            <v>CIT/656</v>
          </cell>
          <cell r="AC57" t="str">
            <v>NOV</v>
          </cell>
          <cell r="AD57" t="str">
            <v>Weight &gt; 7 Kg</v>
          </cell>
          <cell r="AE57" t="str">
            <v>4</v>
          </cell>
          <cell r="AF57" t="str">
            <v/>
          </cell>
          <cell r="AG57">
            <v>12.8</v>
          </cell>
          <cell r="AH57" t="str">
            <v>50159353</v>
          </cell>
          <cell r="AI57" t="str">
            <v>1</v>
          </cell>
          <cell r="AJ57" t="str">
            <v>P110</v>
          </cell>
          <cell r="AK57" t="str">
            <v>LA</v>
          </cell>
          <cell r="AL57" t="str">
            <v>OK FOR 4B</v>
          </cell>
        </row>
        <row r="58">
          <cell r="G58">
            <v>0.77900000000000003</v>
          </cell>
          <cell r="K58">
            <v>1965042</v>
          </cell>
          <cell r="L58" t="str">
            <v>LE/A/B-724.00 P1K 8UN CTN 1 BAG</v>
          </cell>
          <cell r="M58">
            <v>270</v>
          </cell>
          <cell r="N58">
            <v>270</v>
          </cell>
          <cell r="O58" t="str">
            <v>F_D4A</v>
          </cell>
          <cell r="P58" t="str">
            <v/>
          </cell>
          <cell r="Q58">
            <v>5040</v>
          </cell>
          <cell r="R58">
            <v>1810</v>
          </cell>
          <cell r="S58" t="str">
            <v>1810214</v>
          </cell>
          <cell r="T58" t="str">
            <v>CIT/ASC/TSO/656</v>
          </cell>
          <cell r="U58" t="str">
            <v>529</v>
          </cell>
          <cell r="V58" t="str">
            <v>B8</v>
          </cell>
          <cell r="W58" t="str">
            <v/>
          </cell>
          <cell r="X58" t="str">
            <v>Mal</v>
          </cell>
          <cell r="Z58">
            <v>13.233000000000001</v>
          </cell>
          <cell r="AA58" t="str">
            <v>3-4Kgs ASC, 3-4Kgs 656, 3-4Kgs CIT, 2-3Kgs TSO</v>
          </cell>
          <cell r="AB58" t="str">
            <v>CIT/656</v>
          </cell>
          <cell r="AC58" t="str">
            <v>NOV</v>
          </cell>
          <cell r="AD58" t="str">
            <v>Weight &gt; 7 Kg</v>
          </cell>
          <cell r="AE58" t="str">
            <v>4</v>
          </cell>
          <cell r="AF58" t="str">
            <v/>
          </cell>
          <cell r="AG58">
            <v>12.6</v>
          </cell>
          <cell r="AH58" t="str">
            <v>50160437</v>
          </cell>
          <cell r="AI58" t="str">
            <v>1</v>
          </cell>
          <cell r="AJ58" t="str">
            <v>P110</v>
          </cell>
          <cell r="AK58" t="str">
            <v>LA</v>
          </cell>
          <cell r="AL58" t="str">
            <v/>
          </cell>
        </row>
        <row r="59">
          <cell r="G59">
            <v>0.38900000000000001</v>
          </cell>
          <cell r="K59">
            <v>1983812</v>
          </cell>
          <cell r="L59" t="str">
            <v>TE/PE/D-110.50 P1 3UN CTN 1 BAG</v>
          </cell>
          <cell r="M59">
            <v>135</v>
          </cell>
          <cell r="N59">
            <v>135</v>
          </cell>
          <cell r="O59" t="str">
            <v>F_D4A</v>
          </cell>
          <cell r="P59" t="str">
            <v/>
          </cell>
          <cell r="Q59">
            <v>5040</v>
          </cell>
          <cell r="R59">
            <v>1810</v>
          </cell>
          <cell r="S59" t="str">
            <v>1810214</v>
          </cell>
          <cell r="T59" t="str">
            <v>CIT/ASC/TSO/656</v>
          </cell>
          <cell r="U59" t="str">
            <v>529</v>
          </cell>
          <cell r="V59" t="str">
            <v>B8</v>
          </cell>
          <cell r="W59" t="str">
            <v/>
          </cell>
          <cell r="X59" t="str">
            <v>Mal</v>
          </cell>
          <cell r="Z59">
            <v>15.45</v>
          </cell>
          <cell r="AA59" t="str">
            <v>5-6Kgs CIT, 4-5Kgs TSO, 3-4Kgs 656, 1-2Kgs ASC</v>
          </cell>
          <cell r="AB59" t="str">
            <v>CIT/656</v>
          </cell>
          <cell r="AC59" t="str">
            <v>NOV</v>
          </cell>
          <cell r="AD59" t="str">
            <v>Weight &gt; 7 Kg</v>
          </cell>
          <cell r="AE59" t="str">
            <v>4</v>
          </cell>
          <cell r="AF59" t="str">
            <v/>
          </cell>
          <cell r="AG59">
            <v>17.7</v>
          </cell>
          <cell r="AH59" t="str">
            <v>50164318</v>
          </cell>
          <cell r="AI59" t="str">
            <v>1</v>
          </cell>
          <cell r="AJ59" t="str">
            <v>P110</v>
          </cell>
          <cell r="AK59" t="str">
            <v>LA</v>
          </cell>
          <cell r="AL59" t="str">
            <v/>
          </cell>
        </row>
        <row r="60">
          <cell r="G60">
            <v>0.623</v>
          </cell>
          <cell r="K60">
            <v>1549148</v>
          </cell>
          <cell r="L60" t="str">
            <v>TE/BE-3.00 P1K 3UN CTN 2 BAG</v>
          </cell>
          <cell r="M60">
            <v>108</v>
          </cell>
          <cell r="N60">
            <v>216</v>
          </cell>
          <cell r="O60" t="str">
            <v>F_D4A</v>
          </cell>
          <cell r="P60" t="str">
            <v/>
          </cell>
          <cell r="Q60">
            <v>5040</v>
          </cell>
          <cell r="R60">
            <v>1810</v>
          </cell>
          <cell r="S60" t="str">
            <v>1810214</v>
          </cell>
          <cell r="T60" t="str">
            <v>CIT/TSO/656</v>
          </cell>
          <cell r="U60" t="str">
            <v>529</v>
          </cell>
          <cell r="V60" t="str">
            <v>B8</v>
          </cell>
          <cell r="W60" t="str">
            <v/>
          </cell>
          <cell r="X60" t="str">
            <v>Mal</v>
          </cell>
          <cell r="Z60">
            <v>11.13</v>
          </cell>
          <cell r="AA60" t="str">
            <v>6-7Kgs CIT, 2-3Kgs TSO, 1-2Kgs 656</v>
          </cell>
          <cell r="AB60" t="str">
            <v>CIT/656</v>
          </cell>
          <cell r="AC60" t="str">
            <v>NOV</v>
          </cell>
          <cell r="AD60" t="str">
            <v>Weight &gt; 7 Kg</v>
          </cell>
          <cell r="AE60" t="str">
            <v>4</v>
          </cell>
          <cell r="AF60" t="str">
            <v/>
          </cell>
          <cell r="AG60">
            <v>12.2</v>
          </cell>
          <cell r="AH60" t="str">
            <v>50142389</v>
          </cell>
          <cell r="AI60" t="str">
            <v>1</v>
          </cell>
          <cell r="AJ60" t="str">
            <v>P110</v>
          </cell>
          <cell r="AK60" t="str">
            <v>LA</v>
          </cell>
          <cell r="AL60" t="str">
            <v>4B - LIGHT WEIGHT BAG</v>
          </cell>
        </row>
        <row r="61">
          <cell r="G61">
            <v>0.623</v>
          </cell>
          <cell r="K61">
            <v>1771400</v>
          </cell>
          <cell r="L61" t="str">
            <v>TE/BE-3.00/11.10 P1K 3UN CTN 2 BAG CQ</v>
          </cell>
          <cell r="M61">
            <v>108</v>
          </cell>
          <cell r="N61">
            <v>216</v>
          </cell>
          <cell r="O61" t="str">
            <v>F_D4A</v>
          </cell>
          <cell r="P61" t="str">
            <v/>
          </cell>
          <cell r="Q61">
            <v>5040</v>
          </cell>
          <cell r="R61">
            <v>1810</v>
          </cell>
          <cell r="S61" t="str">
            <v>1810214</v>
          </cell>
          <cell r="T61" t="str">
            <v>CIT/TSO/656</v>
          </cell>
          <cell r="U61" t="str">
            <v>529</v>
          </cell>
          <cell r="V61" t="str">
            <v>B8</v>
          </cell>
          <cell r="W61" t="str">
            <v/>
          </cell>
          <cell r="X61" t="str">
            <v>Mal</v>
          </cell>
          <cell r="Z61">
            <v>11.13</v>
          </cell>
          <cell r="AA61" t="str">
            <v>6-7Kgs CIT, 2-3Kgs TSO, 1-2Kgs 656</v>
          </cell>
          <cell r="AB61" t="str">
            <v>CIT/656</v>
          </cell>
          <cell r="AC61" t="str">
            <v>NOV</v>
          </cell>
          <cell r="AD61" t="str">
            <v>Weight &gt; 7 Kg</v>
          </cell>
          <cell r="AE61" t="str">
            <v>4</v>
          </cell>
          <cell r="AF61" t="str">
            <v/>
          </cell>
          <cell r="AG61">
            <v>12.9</v>
          </cell>
          <cell r="AH61" t="str">
            <v>50149024</v>
          </cell>
          <cell r="AI61" t="str">
            <v>1</v>
          </cell>
          <cell r="AJ61" t="str">
            <v>P110</v>
          </cell>
          <cell r="AK61" t="str">
            <v>LA</v>
          </cell>
          <cell r="AL61" t="str">
            <v>4B - LIGHT WEIGHT BAG</v>
          </cell>
        </row>
        <row r="62">
          <cell r="G62">
            <v>1.4890000000000001</v>
          </cell>
          <cell r="K62">
            <v>1964667</v>
          </cell>
          <cell r="L62" t="str">
            <v>HB/BT/B-1.00 P1 2UN CTN 2 BAG CQ</v>
          </cell>
          <cell r="M62">
            <v>243</v>
          </cell>
          <cell r="N62">
            <v>486</v>
          </cell>
          <cell r="O62" t="str">
            <v>F_D4A</v>
          </cell>
          <cell r="P62" t="str">
            <v/>
          </cell>
          <cell r="Q62">
            <v>5040</v>
          </cell>
          <cell r="R62">
            <v>1810</v>
          </cell>
          <cell r="S62" t="str">
            <v>1810214</v>
          </cell>
          <cell r="T62" t="str">
            <v>CIT/TSO/656/652</v>
          </cell>
          <cell r="U62" t="str">
            <v>529</v>
          </cell>
          <cell r="V62" t="str">
            <v>B8</v>
          </cell>
          <cell r="W62" t="str">
            <v/>
          </cell>
          <cell r="X62" t="str">
            <v>Mal</v>
          </cell>
          <cell r="Z62">
            <v>8.8000000000000007</v>
          </cell>
          <cell r="AA62" t="str">
            <v>3-4Kgs CIT, 1-2Kgs 656, 1-2Kgs TSO, 1-2Kgs 652</v>
          </cell>
          <cell r="AB62" t="str">
            <v>CIT/656</v>
          </cell>
          <cell r="AC62" t="str">
            <v>NOV</v>
          </cell>
          <cell r="AD62" t="str">
            <v>Weight &gt; 7 Kg</v>
          </cell>
          <cell r="AE62" t="str">
            <v>4</v>
          </cell>
          <cell r="AF62" t="str">
            <v/>
          </cell>
          <cell r="AG62">
            <v>12.3</v>
          </cell>
          <cell r="AH62" t="str">
            <v>50160441</v>
          </cell>
          <cell r="AI62" t="str">
            <v>1</v>
          </cell>
          <cell r="AJ62" t="str">
            <v>P110</v>
          </cell>
          <cell r="AK62" t="str">
            <v>LA</v>
          </cell>
          <cell r="AL62" t="str">
            <v/>
          </cell>
        </row>
        <row r="63">
          <cell r="G63">
            <v>1.1579999999999999</v>
          </cell>
          <cell r="K63">
            <v>1974676</v>
          </cell>
          <cell r="L63" t="str">
            <v>OR/B-56.97 P1 5UN CTN 2 BAG</v>
          </cell>
          <cell r="M63">
            <v>189</v>
          </cell>
          <cell r="N63">
            <v>378</v>
          </cell>
          <cell r="O63" t="str">
            <v>F_D4A</v>
          </cell>
          <cell r="P63" t="str">
            <v/>
          </cell>
          <cell r="Q63">
            <v>5040</v>
          </cell>
          <cell r="R63">
            <v>1710</v>
          </cell>
          <cell r="S63" t="str">
            <v>1710214</v>
          </cell>
          <cell r="T63" t="str">
            <v>CIT/ASC/656/652</v>
          </cell>
          <cell r="U63" t="str">
            <v>529</v>
          </cell>
          <cell r="V63" t="str">
            <v>B8</v>
          </cell>
          <cell r="W63" t="str">
            <v/>
          </cell>
          <cell r="X63" t="str">
            <v>Tar</v>
          </cell>
          <cell r="Z63">
            <v>7.15</v>
          </cell>
          <cell r="AA63" t="str">
            <v>3-4Kgs CIT, 1-2Kgs 656, 1-2Kgs 652, 0-1Kgs ASC</v>
          </cell>
          <cell r="AB63" t="str">
            <v>652/TSO</v>
          </cell>
          <cell r="AC63" t="str">
            <v>NOV</v>
          </cell>
          <cell r="AD63" t="str">
            <v>Weight &gt; 7 Kg</v>
          </cell>
          <cell r="AE63" t="str">
            <v>4</v>
          </cell>
          <cell r="AF63" t="str">
            <v/>
          </cell>
          <cell r="AG63">
            <v>12.4</v>
          </cell>
          <cell r="AH63" t="str">
            <v>50162756</v>
          </cell>
          <cell r="AI63" t="str">
            <v>1</v>
          </cell>
          <cell r="AJ63" t="str">
            <v>P110</v>
          </cell>
          <cell r="AK63" t="str">
            <v>LA</v>
          </cell>
          <cell r="AL63" t="str">
            <v/>
          </cell>
        </row>
        <row r="64">
          <cell r="G64">
            <v>10.8</v>
          </cell>
          <cell r="K64">
            <v>1875506</v>
          </cell>
          <cell r="L64" t="str">
            <v>D-1-5259357 P1C 20KG CTN 1 BAG UR</v>
          </cell>
          <cell r="M64">
            <v>1350</v>
          </cell>
          <cell r="N64">
            <v>1350</v>
          </cell>
          <cell r="O64" t="str">
            <v>F_D4A</v>
          </cell>
          <cell r="P64" t="str">
            <v/>
          </cell>
          <cell r="Q64">
            <v>5040</v>
          </cell>
          <cell r="R64">
            <v>1510</v>
          </cell>
          <cell r="S64" t="str">
            <v>1510214</v>
          </cell>
          <cell r="T64" t="str">
            <v>ASC</v>
          </cell>
          <cell r="U64" t="str">
            <v>530</v>
          </cell>
          <cell r="V64" t="str">
            <v>B8</v>
          </cell>
          <cell r="W64" t="str">
            <v/>
          </cell>
          <cell r="X64" t="str">
            <v>ACT</v>
          </cell>
          <cell r="Z64">
            <v>20</v>
          </cell>
          <cell r="AA64" t="str">
            <v>19-20Kgs ASC</v>
          </cell>
          <cell r="AB64" t="str">
            <v>ASC</v>
          </cell>
          <cell r="AC64" t="str">
            <v>NOV</v>
          </cell>
          <cell r="AD64" t="str">
            <v>Weight &gt; 7 Kg</v>
          </cell>
          <cell r="AE64" t="str">
            <v>4</v>
          </cell>
          <cell r="AF64" t="str">
            <v/>
          </cell>
          <cell r="AG64">
            <v>22</v>
          </cell>
          <cell r="AH64" t="str">
            <v>50145677</v>
          </cell>
          <cell r="AI64" t="str">
            <v>1</v>
          </cell>
          <cell r="AJ64" t="str">
            <v>P110</v>
          </cell>
          <cell r="AK64" t="str">
            <v>LA</v>
          </cell>
          <cell r="AL64" t="str">
            <v>1ST BATCH X 2HEADS XTRA TOTES</v>
          </cell>
        </row>
        <row r="65">
          <cell r="G65">
            <v>1.246</v>
          </cell>
          <cell r="K65">
            <v>1129810</v>
          </cell>
          <cell r="L65" t="str">
            <v>TE/MN-4.00 P1,1C 4UN CTN 2 BAG</v>
          </cell>
          <cell r="M65">
            <v>216</v>
          </cell>
          <cell r="N65">
            <v>432</v>
          </cell>
          <cell r="O65" t="str">
            <v>F_D4A</v>
          </cell>
          <cell r="P65" t="str">
            <v/>
          </cell>
          <cell r="Q65">
            <v>5040</v>
          </cell>
          <cell r="R65">
            <v>1610</v>
          </cell>
          <cell r="S65" t="str">
            <v>1610207</v>
          </cell>
          <cell r="T65" t="str">
            <v>CIT/ASC</v>
          </cell>
          <cell r="U65" t="str">
            <v>529</v>
          </cell>
          <cell r="V65" t="str">
            <v>B8</v>
          </cell>
          <cell r="W65" t="str">
            <v>2 of 1135003 (TSO)</v>
          </cell>
          <cell r="X65" t="str">
            <v>ACT</v>
          </cell>
          <cell r="Z65">
            <v>8.3000000000000007</v>
          </cell>
          <cell r="AA65" t="str">
            <v>7-8Kgs CIT, 0-1Kgs ASC</v>
          </cell>
          <cell r="AB65" t="str">
            <v>CIT/ASC</v>
          </cell>
          <cell r="AC65" t="str">
            <v>NOV</v>
          </cell>
          <cell r="AD65" t="str">
            <v>Weight &lt;= 7 Kg</v>
          </cell>
          <cell r="AE65" t="str">
            <v>4</v>
          </cell>
          <cell r="AF65" t="str">
            <v/>
          </cell>
          <cell r="AG65">
            <v>7</v>
          </cell>
          <cell r="AH65" t="str">
            <v>50141143</v>
          </cell>
          <cell r="AI65" t="str">
            <v>1</v>
          </cell>
          <cell r="AJ65" t="str">
            <v>P110</v>
          </cell>
          <cell r="AK65" t="str">
            <v>LA</v>
          </cell>
          <cell r="AL65" t="str">
            <v/>
          </cell>
        </row>
        <row r="66">
          <cell r="G66">
            <v>8.3000000000000004E-2</v>
          </cell>
          <cell r="K66">
            <v>1618408</v>
          </cell>
          <cell r="L66" t="str">
            <v>MN/KW/V-1.031 P1,1A,1B,3 2UN CTN 1 BAG</v>
          </cell>
          <cell r="M66">
            <v>27</v>
          </cell>
          <cell r="N66">
            <v>27</v>
          </cell>
          <cell r="O66" t="str">
            <v>F_D4A</v>
          </cell>
          <cell r="P66" t="str">
            <v/>
          </cell>
          <cell r="Q66">
            <v>5040</v>
          </cell>
          <cell r="R66">
            <v>8425</v>
          </cell>
          <cell r="S66" t="str">
            <v>8425214</v>
          </cell>
          <cell r="T66" t="str">
            <v>CIT/ASC/8381</v>
          </cell>
          <cell r="U66" t="str">
            <v>529</v>
          </cell>
          <cell r="V66" t="str">
            <v>B8</v>
          </cell>
          <cell r="W66" t="str">
            <v>1 of 1618407 (624/6252/6384.1), 1 of 1096397 (811), 1 of 1059666 (ASP/616/609)</v>
          </cell>
          <cell r="X66" t="str">
            <v>Caf</v>
          </cell>
          <cell r="Z66">
            <v>11.726000000000001</v>
          </cell>
          <cell r="AA66" t="str">
            <v>9-10Kgs CIT, 1-2Kgs 8381, 0-1Kgs ASC</v>
          </cell>
          <cell r="AB66" t="str">
            <v>CIT/ASC/8381</v>
          </cell>
          <cell r="AC66" t="str">
            <v>NOV</v>
          </cell>
          <cell r="AD66" t="str">
            <v>Weight &gt; 7 Kg</v>
          </cell>
          <cell r="AE66" t="str">
            <v>4</v>
          </cell>
          <cell r="AF66" t="str">
            <v/>
          </cell>
          <cell r="AG66">
            <v>7.9</v>
          </cell>
          <cell r="AH66" t="str">
            <v>50142810</v>
          </cell>
          <cell r="AI66" t="str">
            <v>1</v>
          </cell>
          <cell r="AJ66" t="str">
            <v>P110</v>
          </cell>
          <cell r="AK66" t="str">
            <v>LA</v>
          </cell>
          <cell r="AL66" t="str">
            <v/>
          </cell>
        </row>
        <row r="67">
          <cell r="G67">
            <v>2.6469999999999998</v>
          </cell>
          <cell r="K67">
            <v>1745898</v>
          </cell>
          <cell r="L67" t="str">
            <v>PA/V-204.97 P1K 1UN CTN 1 BAG CQ</v>
          </cell>
          <cell r="M67">
            <v>864</v>
          </cell>
          <cell r="N67">
            <v>864</v>
          </cell>
          <cell r="O67" t="str">
            <v>F_D4A</v>
          </cell>
          <cell r="P67" t="str">
            <v/>
          </cell>
          <cell r="Q67">
            <v>5040</v>
          </cell>
          <cell r="R67">
            <v>8425</v>
          </cell>
          <cell r="S67" t="str">
            <v>8425207</v>
          </cell>
          <cell r="T67" t="str">
            <v>CIT/TSO/8381</v>
          </cell>
          <cell r="U67" t="str">
            <v>529</v>
          </cell>
          <cell r="V67" t="str">
            <v>B8</v>
          </cell>
          <cell r="W67" t="str">
            <v/>
          </cell>
          <cell r="X67" t="str">
            <v>Caf</v>
          </cell>
          <cell r="Z67">
            <v>12.185</v>
          </cell>
          <cell r="AA67" t="str">
            <v>10-11Kgs CIT, 1-2Kgs TSO, 0-1Kgs 8381</v>
          </cell>
          <cell r="AB67" t="str">
            <v>CIT/ASC/8381</v>
          </cell>
          <cell r="AC67" t="str">
            <v>NOV</v>
          </cell>
          <cell r="AD67" t="str">
            <v>Weight &lt;= 7 Kg</v>
          </cell>
          <cell r="AE67" t="str">
            <v>4</v>
          </cell>
          <cell r="AF67" t="str">
            <v/>
          </cell>
          <cell r="AG67">
            <v>12</v>
          </cell>
          <cell r="AH67" t="str">
            <v>50144292</v>
          </cell>
          <cell r="AI67" t="str">
            <v>1</v>
          </cell>
          <cell r="AJ67" t="str">
            <v>P110</v>
          </cell>
          <cell r="AK67" t="str">
            <v>LA</v>
          </cell>
          <cell r="AL67" t="str">
            <v/>
          </cell>
        </row>
        <row r="68">
          <cell r="G68">
            <v>6.1764705882352944E-2</v>
          </cell>
          <cell r="K68">
            <v>1762559</v>
          </cell>
          <cell r="L68" t="str">
            <v>FP-698.00 P1D,1E 5UN CTN 1BAG</v>
          </cell>
          <cell r="M68">
            <v>21</v>
          </cell>
          <cell r="N68">
            <v>21</v>
          </cell>
          <cell r="O68" t="str">
            <v>F_D4A</v>
          </cell>
          <cell r="P68" t="str">
            <v/>
          </cell>
          <cell r="Q68">
            <v>5040</v>
          </cell>
          <cell r="R68">
            <v>8722</v>
          </cell>
          <cell r="S68" t="str">
            <v>8722214</v>
          </cell>
          <cell r="T68" t="str">
            <v>CIT/838</v>
          </cell>
          <cell r="U68" t="str">
            <v>525</v>
          </cell>
          <cell r="V68" t="str">
            <v>B8</v>
          </cell>
          <cell r="W68" t="str">
            <v>1 of 1762556 (635/637/6581)</v>
          </cell>
          <cell r="X68" t="str">
            <v>Caf</v>
          </cell>
          <cell r="Z68">
            <v>7.9</v>
          </cell>
          <cell r="AA68" t="str">
            <v>6-7Kgs CIT, 1-2Kgs 838</v>
          </cell>
          <cell r="AB68" t="str">
            <v>CIT/MDS3</v>
          </cell>
          <cell r="AC68" t="str">
            <v>NOV</v>
          </cell>
          <cell r="AD68" t="str">
            <v>Weight &gt; 7 Kg</v>
          </cell>
          <cell r="AE68" t="str">
            <v>4</v>
          </cell>
          <cell r="AF68" t="str">
            <v/>
          </cell>
          <cell r="AG68">
            <v>4</v>
          </cell>
          <cell r="AH68" t="str">
            <v>50189667</v>
          </cell>
          <cell r="AI68" t="str">
            <v>1</v>
          </cell>
          <cell r="AJ68" t="str">
            <v>P110</v>
          </cell>
          <cell r="AK68" t="str">
            <v>LA</v>
          </cell>
          <cell r="AL68" t="str">
            <v/>
          </cell>
        </row>
        <row r="69">
          <cell r="G69">
            <v>0.10199999999999999</v>
          </cell>
          <cell r="K69">
            <v>1774744</v>
          </cell>
          <cell r="L69" t="str">
            <v>MN/PF/V-19.001 P1,1A,1B,3 2UN CTN 1 BAG</v>
          </cell>
          <cell r="M69">
            <v>27</v>
          </cell>
          <cell r="N69">
            <v>27</v>
          </cell>
          <cell r="O69" t="str">
            <v>F_D4A</v>
          </cell>
          <cell r="P69" t="str">
            <v/>
          </cell>
          <cell r="Q69">
            <v>5040</v>
          </cell>
          <cell r="R69">
            <v>8730</v>
          </cell>
          <cell r="S69" t="str">
            <v>8730214</v>
          </cell>
          <cell r="T69" t="str">
            <v>CIT/ASC/838</v>
          </cell>
          <cell r="U69" t="str">
            <v>525</v>
          </cell>
          <cell r="V69" t="str">
            <v>B8</v>
          </cell>
          <cell r="W69" t="str">
            <v>1 of 1618407 (624/6252/6384.1), 1 of 1096397 (811), 1 of 1774741 (616/6171)</v>
          </cell>
          <cell r="X69" t="str">
            <v>Caf</v>
          </cell>
          <cell r="Z69">
            <v>11.726000000000001</v>
          </cell>
          <cell r="AA69" t="str">
            <v>9-10Kgs CIT, 1-2Kgs 838, 0-1Kgs ASC</v>
          </cell>
          <cell r="AB69" t="str">
            <v>CIT/ASC/TSO/MD3E</v>
          </cell>
          <cell r="AC69" t="str">
            <v>NOV</v>
          </cell>
          <cell r="AD69" t="str">
            <v>Weight &gt; 7 Kg</v>
          </cell>
          <cell r="AE69" t="str">
            <v>4</v>
          </cell>
          <cell r="AF69" t="str">
            <v>CRTD PRC  BASC BCRQ MANC SETC</v>
          </cell>
          <cell r="AG69">
            <v>7</v>
          </cell>
          <cell r="AH69" t="str">
            <v>50144623</v>
          </cell>
          <cell r="AI69" t="str">
            <v>1</v>
          </cell>
          <cell r="AJ69" t="str">
            <v>P110</v>
          </cell>
          <cell r="AK69" t="str">
            <v>YPI5</v>
          </cell>
          <cell r="AL69" t="str">
            <v/>
          </cell>
        </row>
        <row r="70">
          <cell r="G70">
            <v>0.49180327868852458</v>
          </cell>
          <cell r="K70">
            <v>1617831</v>
          </cell>
          <cell r="L70" t="str">
            <v>PA/V-204.161/.221 P1U,1B,1C 4UN CTN 1 BG</v>
          </cell>
          <cell r="M70">
            <v>150</v>
          </cell>
          <cell r="N70">
            <v>150</v>
          </cell>
          <cell r="O70" t="str">
            <v>F_D4A</v>
          </cell>
          <cell r="P70" t="str">
            <v/>
          </cell>
          <cell r="Q70">
            <v>5040</v>
          </cell>
          <cell r="R70">
            <v>8730</v>
          </cell>
          <cell r="S70" t="str">
            <v>8730214</v>
          </cell>
          <cell r="T70" t="str">
            <v>CIT/ASC/TSO/838</v>
          </cell>
          <cell r="U70" t="str">
            <v>529</v>
          </cell>
          <cell r="V70" t="str">
            <v>B8</v>
          </cell>
          <cell r="W70" t="str">
            <v>1 of 1616896 (SBZ/811), 1 of 1616895 (623/624/628/6252)</v>
          </cell>
          <cell r="X70" t="str">
            <v>Caf</v>
          </cell>
          <cell r="Z70">
            <v>11.286</v>
          </cell>
          <cell r="AA70" t="str">
            <v>4-5Kgs TSO, 3-4Kgs CIT, 2-3Kgs 838, 0-1Kgs ASC</v>
          </cell>
          <cell r="AB70" t="str">
            <v>CIT/ASC/TSO/MD3E</v>
          </cell>
          <cell r="AC70" t="str">
            <v>NOV</v>
          </cell>
          <cell r="AD70" t="str">
            <v>Weight &gt; 7 Kg</v>
          </cell>
          <cell r="AE70" t="str">
            <v>4</v>
          </cell>
          <cell r="AF70" t="str">
            <v/>
          </cell>
          <cell r="AG70">
            <v>12.1</v>
          </cell>
          <cell r="AH70" t="str">
            <v>50142788</v>
          </cell>
          <cell r="AI70" t="str">
            <v>1</v>
          </cell>
          <cell r="AJ70" t="str">
            <v>P110</v>
          </cell>
          <cell r="AK70" t="str">
            <v>LA</v>
          </cell>
          <cell r="AL70" t="str">
            <v/>
          </cell>
        </row>
        <row r="71">
          <cell r="G71">
            <v>0.66200000000000003</v>
          </cell>
          <cell r="K71">
            <v>1819196</v>
          </cell>
          <cell r="L71" t="str">
            <v>CI-20.601 P1K,1B,1D 1UN CTN 1BAG</v>
          </cell>
          <cell r="M71">
            <v>162</v>
          </cell>
          <cell r="N71">
            <v>162</v>
          </cell>
          <cell r="O71" t="str">
            <v>F_D4A</v>
          </cell>
          <cell r="P71" t="str">
            <v/>
          </cell>
          <cell r="Q71">
            <v>5040</v>
          </cell>
          <cell r="R71">
            <v>8730</v>
          </cell>
          <cell r="S71" t="str">
            <v>8730214</v>
          </cell>
          <cell r="T71" t="str">
            <v>CIT/ASC/TSO/838</v>
          </cell>
          <cell r="U71" t="str">
            <v>529</v>
          </cell>
          <cell r="V71" t="str">
            <v>B8</v>
          </cell>
          <cell r="W71" t="str">
            <v>1 of 1359826 (811), 1 of 1001124 (MFI 7635)</v>
          </cell>
          <cell r="X71" t="str">
            <v>Caf</v>
          </cell>
          <cell r="Z71">
            <v>19.809999999999999</v>
          </cell>
          <cell r="AA71" t="str">
            <v>16-17Kgs CIT, 1-2Kgs TSO, 1-2Kgs 838, 0-1Kgs ASC</v>
          </cell>
          <cell r="AB71" t="str">
            <v>CIT/ASC/TSO/MD3E</v>
          </cell>
          <cell r="AC71" t="str">
            <v>NOV</v>
          </cell>
          <cell r="AD71" t="str">
            <v>Weight &gt; 7 Kg</v>
          </cell>
          <cell r="AE71" t="str">
            <v>4</v>
          </cell>
          <cell r="AF71" t="str">
            <v/>
          </cell>
          <cell r="AG71">
            <v>12.4</v>
          </cell>
          <cell r="AH71" t="str">
            <v>50145018</v>
          </cell>
          <cell r="AI71" t="str">
            <v>1</v>
          </cell>
          <cell r="AJ71" t="str">
            <v>P110</v>
          </cell>
          <cell r="AK71" t="str">
            <v>LA</v>
          </cell>
          <cell r="AL71" t="str">
            <v>4A IF POSSIBLE HEAVY WT</v>
          </cell>
        </row>
        <row r="72">
          <cell r="G72">
            <v>0.52900000000000003</v>
          </cell>
          <cell r="K72">
            <v>1365934</v>
          </cell>
          <cell r="L72" t="str">
            <v>PA/V-176.60 P1K 6UN CTN 3 BAGS</v>
          </cell>
          <cell r="M72">
            <v>54</v>
          </cell>
          <cell r="N72">
            <v>162</v>
          </cell>
          <cell r="O72" t="str">
            <v>F_D4A</v>
          </cell>
          <cell r="P72" t="str">
            <v/>
          </cell>
          <cell r="Q72">
            <v>5040</v>
          </cell>
          <cell r="R72">
            <v>8730</v>
          </cell>
          <cell r="S72" t="str">
            <v>8730207</v>
          </cell>
          <cell r="T72" t="str">
            <v>CIT/ASC/TSO/838</v>
          </cell>
          <cell r="U72" t="str">
            <v>529</v>
          </cell>
          <cell r="V72" t="str">
            <v>B8</v>
          </cell>
          <cell r="W72" t="str">
            <v/>
          </cell>
          <cell r="X72" t="str">
            <v>Caf</v>
          </cell>
          <cell r="Z72">
            <v>4.9800000000000004</v>
          </cell>
          <cell r="AA72" t="str">
            <v>2-3Kgs TSO, 1-2Kgs CIT, 0-1Kgs 838, 0-1Kgs ASC</v>
          </cell>
          <cell r="AB72" t="str">
            <v>CIT/ASC/TSO/MD3E</v>
          </cell>
          <cell r="AC72" t="str">
            <v>NOV</v>
          </cell>
          <cell r="AD72" t="str">
            <v>Weight &lt;= 7 Kg</v>
          </cell>
          <cell r="AE72" t="str">
            <v>4</v>
          </cell>
          <cell r="AF72" t="str">
            <v/>
          </cell>
          <cell r="AG72">
            <v>12.3</v>
          </cell>
          <cell r="AH72" t="str">
            <v>50148896</v>
          </cell>
          <cell r="AI72" t="str">
            <v>1</v>
          </cell>
          <cell r="AJ72" t="str">
            <v>P110</v>
          </cell>
          <cell r="AK72" t="str">
            <v>LA</v>
          </cell>
          <cell r="AL72" t="str">
            <v/>
          </cell>
        </row>
        <row r="73">
          <cell r="G73">
            <v>0.73</v>
          </cell>
          <cell r="K73">
            <v>1243142</v>
          </cell>
          <cell r="L73" t="str">
            <v>WIP PART 1B 0.336KG 1UN BAG</v>
          </cell>
          <cell r="M73">
            <v>216</v>
          </cell>
          <cell r="N73">
            <v>216</v>
          </cell>
          <cell r="O73" t="str">
            <v>F_D4B</v>
          </cell>
          <cell r="P73" t="str">
            <v/>
          </cell>
          <cell r="Q73">
            <v>5040</v>
          </cell>
          <cell r="R73">
            <v>2100</v>
          </cell>
          <cell r="S73" t="str">
            <v>2100100</v>
          </cell>
          <cell r="T73" t="str">
            <v>SBZ</v>
          </cell>
          <cell r="U73" t="str">
            <v>313</v>
          </cell>
          <cell r="V73" t="str">
            <v>B8</v>
          </cell>
          <cell r="W73" t="str">
            <v/>
          </cell>
          <cell r="X73" t="str">
            <v>SBZ/811</v>
          </cell>
          <cell r="Z73">
            <v>0.3</v>
          </cell>
          <cell r="AA73" t="str">
            <v>0-1Kgs SBZ</v>
          </cell>
          <cell r="AB73" t="str">
            <v>SBZ</v>
          </cell>
          <cell r="AC73" t="str">
            <v>NOV</v>
          </cell>
          <cell r="AD73" t="str">
            <v>WIP</v>
          </cell>
          <cell r="AE73" t="str">
            <v>4</v>
          </cell>
          <cell r="AF73" t="str">
            <v/>
          </cell>
          <cell r="AG73">
            <v>6.3</v>
          </cell>
          <cell r="AH73" t="str">
            <v>50195786</v>
          </cell>
          <cell r="AI73" t="str">
            <v>1</v>
          </cell>
          <cell r="AJ73" t="str">
            <v>S120</v>
          </cell>
          <cell r="AK73" t="str">
            <v>LA</v>
          </cell>
          <cell r="AL73" t="str">
            <v/>
          </cell>
        </row>
        <row r="74">
          <cell r="G74">
            <v>0.45600000000000002</v>
          </cell>
          <cell r="K74">
            <v>1001474</v>
          </cell>
          <cell r="L74" t="str">
            <v>WIP PART 1B 1.360KG 4UN BAG (813)</v>
          </cell>
          <cell r="M74">
            <v>135</v>
          </cell>
          <cell r="N74">
            <v>135</v>
          </cell>
          <cell r="O74" t="str">
            <v>F_D4B</v>
          </cell>
          <cell r="P74" t="str">
            <v/>
          </cell>
          <cell r="Q74">
            <v>5040</v>
          </cell>
          <cell r="R74">
            <v>2100</v>
          </cell>
          <cell r="S74" t="str">
            <v>2100100</v>
          </cell>
          <cell r="T74" t="str">
            <v>SBZ</v>
          </cell>
          <cell r="U74" t="str">
            <v>313</v>
          </cell>
          <cell r="V74" t="str">
            <v>B8</v>
          </cell>
          <cell r="W74" t="str">
            <v/>
          </cell>
          <cell r="X74" t="str">
            <v>SBZ/811</v>
          </cell>
          <cell r="Z74">
            <v>1.4</v>
          </cell>
          <cell r="AA74" t="str">
            <v>1-2Kgs SBZ</v>
          </cell>
          <cell r="AB74" t="str">
            <v>SBZ</v>
          </cell>
          <cell r="AC74" t="str">
            <v>NOV</v>
          </cell>
          <cell r="AD74" t="str">
            <v>WIP</v>
          </cell>
          <cell r="AE74" t="str">
            <v>4</v>
          </cell>
          <cell r="AF74" t="str">
            <v/>
          </cell>
          <cell r="AG74">
            <v>5.3</v>
          </cell>
          <cell r="AH74" t="str">
            <v>50148389</v>
          </cell>
          <cell r="AI74" t="str">
            <v>1</v>
          </cell>
          <cell r="AJ74" t="str">
            <v>S130</v>
          </cell>
          <cell r="AK74" t="str">
            <v>LA</v>
          </cell>
          <cell r="AL74" t="str">
            <v/>
          </cell>
        </row>
        <row r="75">
          <cell r="G75">
            <v>3.2509999999999999</v>
          </cell>
          <cell r="K75">
            <v>1812532</v>
          </cell>
          <cell r="L75" t="str">
            <v>WIP PART 1B 2.720 KG 8UN BAG (813) L2</v>
          </cell>
          <cell r="M75">
            <v>905</v>
          </cell>
          <cell r="N75">
            <v>905</v>
          </cell>
          <cell r="O75" t="str">
            <v>F_D4B</v>
          </cell>
          <cell r="P75" t="str">
            <v/>
          </cell>
          <cell r="Q75">
            <v>5040</v>
          </cell>
          <cell r="R75">
            <v>2100</v>
          </cell>
          <cell r="S75" t="str">
            <v>2100100</v>
          </cell>
          <cell r="T75" t="str">
            <v>SBZ</v>
          </cell>
          <cell r="U75" t="str">
            <v>313</v>
          </cell>
          <cell r="V75" t="str">
            <v>B8</v>
          </cell>
          <cell r="W75" t="str">
            <v/>
          </cell>
          <cell r="X75" t="str">
            <v>SBZ/811</v>
          </cell>
          <cell r="Z75">
            <v>2.72</v>
          </cell>
          <cell r="AA75" t="str">
            <v>2-3Kgs SBZ</v>
          </cell>
          <cell r="AB75" t="str">
            <v>SBZ</v>
          </cell>
          <cell r="AC75" t="str">
            <v>NOV</v>
          </cell>
          <cell r="AD75" t="str">
            <v>WIP</v>
          </cell>
          <cell r="AE75" t="str">
            <v>4</v>
          </cell>
          <cell r="AF75" t="str">
            <v/>
          </cell>
          <cell r="AG75">
            <v>5</v>
          </cell>
          <cell r="AH75" t="str">
            <v>50148255</v>
          </cell>
          <cell r="AI75" t="str">
            <v>1</v>
          </cell>
          <cell r="AJ75" t="str">
            <v>S120</v>
          </cell>
          <cell r="AK75" t="str">
            <v>LA</v>
          </cell>
          <cell r="AL75" t="str">
            <v/>
          </cell>
        </row>
        <row r="76">
          <cell r="G76">
            <v>0.91300000000000003</v>
          </cell>
          <cell r="K76">
            <v>1953065</v>
          </cell>
          <cell r="L76" t="str">
            <v>WIP OR/B-1699.101 P1B 1UN BAG</v>
          </cell>
          <cell r="M76">
            <v>270</v>
          </cell>
          <cell r="N76">
            <v>270</v>
          </cell>
          <cell r="O76" t="str">
            <v>F_D4B</v>
          </cell>
          <cell r="P76" t="str">
            <v/>
          </cell>
          <cell r="Q76">
            <v>5040</v>
          </cell>
          <cell r="R76">
            <v>2300</v>
          </cell>
          <cell r="S76" t="str">
            <v>2300100</v>
          </cell>
          <cell r="T76" t="str">
            <v>SBZ/811</v>
          </cell>
          <cell r="U76" t="str">
            <v>313</v>
          </cell>
          <cell r="V76" t="str">
            <v>B8</v>
          </cell>
          <cell r="W76" t="str">
            <v/>
          </cell>
          <cell r="X76" t="str">
            <v>SBZ/811</v>
          </cell>
          <cell r="Z76">
            <v>0.37</v>
          </cell>
          <cell r="AA76" t="str">
            <v>0-1Kgs 811, 0-1Kgs SBZ</v>
          </cell>
          <cell r="AB76" t="str">
            <v>SBZ/811</v>
          </cell>
          <cell r="AC76" t="str">
            <v>NOV</v>
          </cell>
          <cell r="AD76" t="str">
            <v>WIP</v>
          </cell>
          <cell r="AE76" t="str">
            <v>4</v>
          </cell>
          <cell r="AF76" t="str">
            <v/>
          </cell>
          <cell r="AG76">
            <v>6.3</v>
          </cell>
          <cell r="AH76" t="str">
            <v>50163766</v>
          </cell>
          <cell r="AI76" t="str">
            <v>1</v>
          </cell>
          <cell r="AJ76" t="str">
            <v>S120</v>
          </cell>
          <cell r="AK76" t="str">
            <v>LA</v>
          </cell>
          <cell r="AL76" t="str">
            <v/>
          </cell>
        </row>
        <row r="77">
          <cell r="G77">
            <v>0.45600000000000002</v>
          </cell>
          <cell r="K77">
            <v>1554926</v>
          </cell>
          <cell r="L77" t="str">
            <v>WIP PART 1B 1.11KG 3UN BAG</v>
          </cell>
          <cell r="M77">
            <v>135</v>
          </cell>
          <cell r="N77">
            <v>135</v>
          </cell>
          <cell r="O77" t="str">
            <v>F_D4B</v>
          </cell>
          <cell r="P77" t="str">
            <v/>
          </cell>
          <cell r="Q77">
            <v>5040</v>
          </cell>
          <cell r="R77">
            <v>2300</v>
          </cell>
          <cell r="S77" t="str">
            <v>2300100</v>
          </cell>
          <cell r="T77" t="str">
            <v>SBZ/811</v>
          </cell>
          <cell r="U77" t="str">
            <v>313</v>
          </cell>
          <cell r="V77" t="str">
            <v>B8</v>
          </cell>
          <cell r="W77" t="str">
            <v/>
          </cell>
          <cell r="X77" t="str">
            <v>SBZ/811</v>
          </cell>
          <cell r="Z77">
            <v>1.1100000000000001</v>
          </cell>
          <cell r="AA77" t="str">
            <v>0-1Kgs 811, 0-1Kgs SBZ</v>
          </cell>
          <cell r="AB77" t="str">
            <v>SBZ/811</v>
          </cell>
          <cell r="AC77" t="str">
            <v>NOV</v>
          </cell>
          <cell r="AD77" t="str">
            <v>WIP</v>
          </cell>
          <cell r="AE77" t="str">
            <v>4</v>
          </cell>
          <cell r="AF77" t="str">
            <v/>
          </cell>
          <cell r="AG77">
            <v>6.3</v>
          </cell>
          <cell r="AH77" t="str">
            <v>50148038</v>
          </cell>
          <cell r="AI77" t="str">
            <v>1</v>
          </cell>
          <cell r="AJ77" t="str">
            <v>S120</v>
          </cell>
          <cell r="AK77" t="str">
            <v>LA</v>
          </cell>
          <cell r="AL77" t="str">
            <v/>
          </cell>
        </row>
        <row r="78">
          <cell r="G78">
            <v>0.183</v>
          </cell>
          <cell r="K78">
            <v>1336301</v>
          </cell>
          <cell r="L78" t="str">
            <v>WIP PART 1B 1.11 KG 3UN BLEND (813/811)</v>
          </cell>
          <cell r="M78">
            <v>54</v>
          </cell>
          <cell r="N78">
            <v>54</v>
          </cell>
          <cell r="O78" t="str">
            <v>F_D4B</v>
          </cell>
          <cell r="P78" t="str">
            <v/>
          </cell>
          <cell r="Q78">
            <v>5040</v>
          </cell>
          <cell r="R78">
            <v>2300</v>
          </cell>
          <cell r="S78" t="str">
            <v>2300100</v>
          </cell>
          <cell r="T78" t="str">
            <v>SBZ/811</v>
          </cell>
          <cell r="U78" t="str">
            <v>313</v>
          </cell>
          <cell r="V78" t="str">
            <v>B8</v>
          </cell>
          <cell r="W78" t="str">
            <v/>
          </cell>
          <cell r="X78" t="str">
            <v>SBZ/811</v>
          </cell>
          <cell r="Z78">
            <v>1.1100000000000001</v>
          </cell>
          <cell r="AA78" t="str">
            <v>0-1Kgs 811, 0-1Kgs SBZ</v>
          </cell>
          <cell r="AB78" t="str">
            <v>SBZ/811</v>
          </cell>
          <cell r="AC78" t="str">
            <v>NOV</v>
          </cell>
          <cell r="AD78" t="str">
            <v>WIP</v>
          </cell>
          <cell r="AE78" t="str">
            <v>4</v>
          </cell>
          <cell r="AF78" t="str">
            <v/>
          </cell>
          <cell r="AG78">
            <v>6.3</v>
          </cell>
          <cell r="AH78" t="str">
            <v>50141496</v>
          </cell>
          <cell r="AI78" t="str">
            <v>1</v>
          </cell>
          <cell r="AJ78" t="str">
            <v>S120</v>
          </cell>
          <cell r="AK78" t="str">
            <v>LA</v>
          </cell>
          <cell r="AL78" t="str">
            <v/>
          </cell>
        </row>
        <row r="79">
          <cell r="G79">
            <v>0.183</v>
          </cell>
          <cell r="K79">
            <v>1408496</v>
          </cell>
          <cell r="L79" t="str">
            <v>WIP PART P1B 1.85KG 5UN BAG (813&amp;811)</v>
          </cell>
          <cell r="M79">
            <v>54</v>
          </cell>
          <cell r="N79">
            <v>54</v>
          </cell>
          <cell r="O79" t="str">
            <v>F_D4B</v>
          </cell>
          <cell r="P79" t="str">
            <v/>
          </cell>
          <cell r="Q79">
            <v>5040</v>
          </cell>
          <cell r="R79">
            <v>2300</v>
          </cell>
          <cell r="S79" t="str">
            <v>2300100</v>
          </cell>
          <cell r="T79" t="str">
            <v>SBZ/811</v>
          </cell>
          <cell r="U79" t="str">
            <v>313</v>
          </cell>
          <cell r="V79" t="str">
            <v>B8</v>
          </cell>
          <cell r="W79" t="str">
            <v/>
          </cell>
          <cell r="X79" t="str">
            <v>SBZ/811</v>
          </cell>
          <cell r="Z79">
            <v>1.85</v>
          </cell>
          <cell r="AA79" t="str">
            <v>0-1Kgs 811, 0-1Kgs SBZ</v>
          </cell>
          <cell r="AB79" t="str">
            <v>SBZ/811</v>
          </cell>
          <cell r="AC79" t="str">
            <v>NOV</v>
          </cell>
          <cell r="AD79" t="str">
            <v>WIP</v>
          </cell>
          <cell r="AE79" t="str">
            <v>4</v>
          </cell>
          <cell r="AF79" t="str">
            <v/>
          </cell>
          <cell r="AG79">
            <v>6.3</v>
          </cell>
          <cell r="AH79" t="str">
            <v>50147970</v>
          </cell>
          <cell r="AI79" t="str">
            <v>1</v>
          </cell>
          <cell r="AJ79" t="str">
            <v>S130</v>
          </cell>
          <cell r="AK79" t="str">
            <v>LA</v>
          </cell>
          <cell r="AL79" t="str">
            <v/>
          </cell>
        </row>
        <row r="80">
          <cell r="G80">
            <v>0.36199999999999999</v>
          </cell>
          <cell r="K80">
            <v>1498545</v>
          </cell>
          <cell r="L80" t="str">
            <v>WIP PART 1B (S-811/S-813) 2.675KG 5UN</v>
          </cell>
          <cell r="M80">
            <v>107</v>
          </cell>
          <cell r="N80">
            <v>107</v>
          </cell>
          <cell r="O80" t="str">
            <v>F_D4B</v>
          </cell>
          <cell r="P80" t="str">
            <v/>
          </cell>
          <cell r="Q80">
            <v>5040</v>
          </cell>
          <cell r="R80">
            <v>2300</v>
          </cell>
          <cell r="S80" t="str">
            <v>2300100</v>
          </cell>
          <cell r="T80" t="str">
            <v>SBZ/811</v>
          </cell>
          <cell r="U80" t="str">
            <v>313</v>
          </cell>
          <cell r="V80" t="str">
            <v>B8</v>
          </cell>
          <cell r="W80" t="str">
            <v/>
          </cell>
          <cell r="X80" t="str">
            <v>SBZ/811</v>
          </cell>
          <cell r="Z80">
            <v>2.6749999999999998</v>
          </cell>
          <cell r="AA80" t="str">
            <v>2-3Kgs 811, 0-1Kgs SBZ</v>
          </cell>
          <cell r="AB80" t="str">
            <v>SBZ/811</v>
          </cell>
          <cell r="AC80" t="str">
            <v>NOV</v>
          </cell>
          <cell r="AD80" t="str">
            <v>WIP</v>
          </cell>
          <cell r="AE80" t="str">
            <v>4</v>
          </cell>
          <cell r="AF80" t="str">
            <v/>
          </cell>
          <cell r="AG80">
            <v>5.3</v>
          </cell>
          <cell r="AH80" t="str">
            <v>50148372</v>
          </cell>
          <cell r="AI80" t="str">
            <v>1</v>
          </cell>
          <cell r="AJ80" t="str">
            <v>S120</v>
          </cell>
          <cell r="AK80" t="str">
            <v>LA</v>
          </cell>
          <cell r="AL80" t="str">
            <v/>
          </cell>
        </row>
        <row r="81">
          <cell r="G81">
            <v>0.91300000000000003</v>
          </cell>
          <cell r="K81">
            <v>1306533</v>
          </cell>
          <cell r="L81" t="str">
            <v>WIP PART 1B 2.96KG 8UN BAG (811/813)</v>
          </cell>
          <cell r="M81">
            <v>270</v>
          </cell>
          <cell r="N81">
            <v>270</v>
          </cell>
          <cell r="O81" t="str">
            <v>F_D4B</v>
          </cell>
          <cell r="P81" t="str">
            <v/>
          </cell>
          <cell r="Q81">
            <v>5040</v>
          </cell>
          <cell r="R81">
            <v>2300</v>
          </cell>
          <cell r="S81" t="str">
            <v>2300100</v>
          </cell>
          <cell r="T81" t="str">
            <v>SBZ/811</v>
          </cell>
          <cell r="U81" t="str">
            <v>313</v>
          </cell>
          <cell r="V81" t="str">
            <v>B8</v>
          </cell>
          <cell r="W81" t="str">
            <v/>
          </cell>
          <cell r="X81" t="str">
            <v>SBZ/811</v>
          </cell>
          <cell r="Z81">
            <v>2.96</v>
          </cell>
          <cell r="AA81" t="str">
            <v>1-2Kgs 811, 1-2Kgs SBZ</v>
          </cell>
          <cell r="AB81" t="str">
            <v>SBZ/811</v>
          </cell>
          <cell r="AC81" t="str">
            <v>NOV</v>
          </cell>
          <cell r="AD81" t="str">
            <v>WIP</v>
          </cell>
          <cell r="AE81" t="str">
            <v>4</v>
          </cell>
          <cell r="AF81" t="str">
            <v/>
          </cell>
          <cell r="AG81">
            <v>5.3</v>
          </cell>
          <cell r="AH81" t="str">
            <v>50146205</v>
          </cell>
          <cell r="AI81" t="str">
            <v>1</v>
          </cell>
          <cell r="AJ81" t="str">
            <v>S120</v>
          </cell>
          <cell r="AK81" t="str">
            <v>LA</v>
          </cell>
          <cell r="AL81" t="str">
            <v/>
          </cell>
        </row>
        <row r="82">
          <cell r="G82">
            <v>0.54800000000000004</v>
          </cell>
          <cell r="K82">
            <v>1616896</v>
          </cell>
          <cell r="L82" t="str">
            <v>WIP PART 1B 3.888KG 4UN BAG</v>
          </cell>
          <cell r="M82">
            <v>162</v>
          </cell>
          <cell r="N82">
            <v>162</v>
          </cell>
          <cell r="O82" t="str">
            <v>F_D4B</v>
          </cell>
          <cell r="P82" t="str">
            <v/>
          </cell>
          <cell r="Q82">
            <v>5040</v>
          </cell>
          <cell r="R82">
            <v>2300</v>
          </cell>
          <cell r="S82" t="str">
            <v>2300100</v>
          </cell>
          <cell r="T82" t="str">
            <v>SBZ/811</v>
          </cell>
          <cell r="U82" t="str">
            <v>313</v>
          </cell>
          <cell r="V82" t="str">
            <v>B8</v>
          </cell>
          <cell r="W82" t="str">
            <v/>
          </cell>
          <cell r="X82" t="str">
            <v>SBZ/811</v>
          </cell>
          <cell r="Z82">
            <v>3.8879999999999999</v>
          </cell>
          <cell r="AA82" t="str">
            <v>2-3Kgs 811, 1-2Kgs SBZ</v>
          </cell>
          <cell r="AB82" t="str">
            <v>SBZ/811</v>
          </cell>
          <cell r="AC82" t="str">
            <v>NOV</v>
          </cell>
          <cell r="AD82" t="str">
            <v>WIP</v>
          </cell>
          <cell r="AE82" t="str">
            <v>4</v>
          </cell>
          <cell r="AF82" t="str">
            <v/>
          </cell>
          <cell r="AG82">
            <v>5</v>
          </cell>
          <cell r="AH82" t="str">
            <v>50148075</v>
          </cell>
          <cell r="AI82" t="str">
            <v>1</v>
          </cell>
          <cell r="AJ82" t="str">
            <v>S120</v>
          </cell>
          <cell r="AK82" t="str">
            <v>LA</v>
          </cell>
          <cell r="AL82" t="str">
            <v/>
          </cell>
        </row>
        <row r="83">
          <cell r="G83">
            <v>0.54800000000000004</v>
          </cell>
          <cell r="K83">
            <v>1871825</v>
          </cell>
          <cell r="L83" t="str">
            <v>WIP PO-20.001 P1B 3UN BAG CQ</v>
          </cell>
          <cell r="M83">
            <v>162</v>
          </cell>
          <cell r="N83">
            <v>162</v>
          </cell>
          <cell r="O83" t="str">
            <v>F_D4B</v>
          </cell>
          <cell r="P83" t="str">
            <v/>
          </cell>
          <cell r="Q83">
            <v>5040</v>
          </cell>
          <cell r="R83">
            <v>2300</v>
          </cell>
          <cell r="S83" t="str">
            <v>2300207</v>
          </cell>
          <cell r="T83" t="str">
            <v>SBZ/811</v>
          </cell>
          <cell r="U83" t="str">
            <v>313</v>
          </cell>
          <cell r="V83" t="str">
            <v>B8</v>
          </cell>
          <cell r="W83" t="str">
            <v/>
          </cell>
          <cell r="X83" t="str">
            <v>SBZ/811</v>
          </cell>
          <cell r="Z83">
            <v>2.6739999999999999</v>
          </cell>
          <cell r="AA83" t="str">
            <v>1-2Kgs 811, 0-1Kgs SBZ</v>
          </cell>
          <cell r="AB83" t="str">
            <v>SBZ/811</v>
          </cell>
          <cell r="AC83" t="str">
            <v>NOV</v>
          </cell>
          <cell r="AD83" t="str">
            <v>Weight &lt;= 7 Kg</v>
          </cell>
          <cell r="AE83" t="str">
            <v>4</v>
          </cell>
          <cell r="AF83" t="str">
            <v/>
          </cell>
          <cell r="AG83">
            <v>11.3</v>
          </cell>
          <cell r="AH83" t="str">
            <v>50154762</v>
          </cell>
          <cell r="AI83" t="str">
            <v>1</v>
          </cell>
          <cell r="AJ83" t="str">
            <v>S120</v>
          </cell>
          <cell r="AK83" t="str">
            <v>LA</v>
          </cell>
          <cell r="AL83" t="str">
            <v/>
          </cell>
        </row>
        <row r="84">
          <cell r="G84">
            <v>0.12203389830508475</v>
          </cell>
          <cell r="K84">
            <v>1997435</v>
          </cell>
          <cell r="L84" t="str">
            <v>TE/PE/B-35.301 P1B 24UN CTN 4BAG</v>
          </cell>
          <cell r="M84">
            <v>9</v>
          </cell>
          <cell r="N84">
            <v>36</v>
          </cell>
          <cell r="O84" t="str">
            <v>F_D4B</v>
          </cell>
          <cell r="P84" t="str">
            <v/>
          </cell>
          <cell r="Q84">
            <v>5040</v>
          </cell>
          <cell r="R84">
            <v>2300</v>
          </cell>
          <cell r="S84" t="str">
            <v>2300207</v>
          </cell>
          <cell r="T84" t="str">
            <v>SBZ/811</v>
          </cell>
          <cell r="U84" t="str">
            <v>529</v>
          </cell>
          <cell r="V84" t="str">
            <v>B8</v>
          </cell>
          <cell r="W84" t="str">
            <v/>
          </cell>
          <cell r="X84" t="str">
            <v>SBZ/811</v>
          </cell>
          <cell r="Z84">
            <v>3.06</v>
          </cell>
          <cell r="AA84" t="str">
            <v>1-2Kgs SBZ, 1-2Kgs 811</v>
          </cell>
          <cell r="AB84" t="str">
            <v>SBZ/811</v>
          </cell>
          <cell r="AC84" t="str">
            <v>NOV</v>
          </cell>
          <cell r="AD84" t="str">
            <v>Weight &lt;= 7 Kg</v>
          </cell>
          <cell r="AE84" t="str">
            <v>4</v>
          </cell>
          <cell r="AF84" t="str">
            <v/>
          </cell>
          <cell r="AG84">
            <v>7.7</v>
          </cell>
          <cell r="AH84" t="str">
            <v>50184298</v>
          </cell>
          <cell r="AI84" t="str">
            <v>1</v>
          </cell>
          <cell r="AJ84" t="str">
            <v>S120</v>
          </cell>
          <cell r="AK84" t="str">
            <v>LA</v>
          </cell>
          <cell r="AL84" t="str">
            <v/>
          </cell>
        </row>
        <row r="85">
          <cell r="G85">
            <v>9.0999999999999998E-2</v>
          </cell>
          <cell r="K85">
            <v>1668657</v>
          </cell>
          <cell r="L85" t="str">
            <v>OR-1444.011 P1B 12UN CTN 1 BAG</v>
          </cell>
          <cell r="M85">
            <v>27</v>
          </cell>
          <cell r="N85">
            <v>27</v>
          </cell>
          <cell r="O85" t="str">
            <v>F_D4B</v>
          </cell>
          <cell r="P85" t="str">
            <v/>
          </cell>
          <cell r="Q85">
            <v>5040</v>
          </cell>
          <cell r="R85">
            <v>2300</v>
          </cell>
          <cell r="S85" t="str">
            <v>2300207</v>
          </cell>
          <cell r="T85" t="str">
            <v>SBZ/811</v>
          </cell>
          <cell r="U85" t="str">
            <v>529</v>
          </cell>
          <cell r="V85" t="str">
            <v>B8</v>
          </cell>
          <cell r="W85" t="str">
            <v/>
          </cell>
          <cell r="X85" t="str">
            <v>SBZ/811</v>
          </cell>
          <cell r="Z85">
            <v>4.4400000000000004</v>
          </cell>
          <cell r="AA85" t="str">
            <v>2-3Kgs 811, 2-3Kgs SBZ</v>
          </cell>
          <cell r="AB85" t="str">
            <v>SBZ/811</v>
          </cell>
          <cell r="AC85" t="str">
            <v>NOV</v>
          </cell>
          <cell r="AD85" t="str">
            <v>Weight &lt;= 7 Kg</v>
          </cell>
          <cell r="AE85" t="str">
            <v>4</v>
          </cell>
          <cell r="AF85" t="str">
            <v/>
          </cell>
          <cell r="AG85">
            <v>17</v>
          </cell>
          <cell r="AH85" t="str">
            <v>50143287</v>
          </cell>
          <cell r="AI85" t="str">
            <v>1</v>
          </cell>
          <cell r="AJ85" t="str">
            <v>P110</v>
          </cell>
          <cell r="AK85" t="str">
            <v>LA</v>
          </cell>
          <cell r="AL85" t="str">
            <v/>
          </cell>
        </row>
        <row r="86">
          <cell r="G86">
            <v>0.10100000000000001</v>
          </cell>
          <cell r="K86">
            <v>1950395</v>
          </cell>
          <cell r="L86" t="str">
            <v>TE/LE/D-124.501 P1B 24UN CTN 3 BAG</v>
          </cell>
          <cell r="M86">
            <v>10</v>
          </cell>
          <cell r="N86">
            <v>30</v>
          </cell>
          <cell r="O86" t="str">
            <v>F_D4B</v>
          </cell>
          <cell r="P86" t="str">
            <v/>
          </cell>
          <cell r="Q86">
            <v>5040</v>
          </cell>
          <cell r="R86">
            <v>2300</v>
          </cell>
          <cell r="S86" t="str">
            <v>2300207</v>
          </cell>
          <cell r="T86" t="str">
            <v>SBZ/811</v>
          </cell>
          <cell r="U86" t="str">
            <v>529</v>
          </cell>
          <cell r="V86" t="str">
            <v>B8</v>
          </cell>
          <cell r="W86" t="str">
            <v/>
          </cell>
          <cell r="X86" t="str">
            <v>SBZ/811</v>
          </cell>
          <cell r="Z86">
            <v>4.96</v>
          </cell>
          <cell r="AA86" t="str">
            <v>2-3Kgs SBZ, 2-3Kgs 811</v>
          </cell>
          <cell r="AB86" t="str">
            <v>SBZ/811</v>
          </cell>
          <cell r="AC86" t="str">
            <v>NOV</v>
          </cell>
          <cell r="AD86" t="str">
            <v>Weight &lt;= 7 Kg</v>
          </cell>
          <cell r="AE86" t="str">
            <v>4</v>
          </cell>
          <cell r="AF86" t="str">
            <v/>
          </cell>
          <cell r="AG86">
            <v>12</v>
          </cell>
          <cell r="AH86" t="str">
            <v>50157769</v>
          </cell>
          <cell r="AI86" t="str">
            <v>1</v>
          </cell>
          <cell r="AJ86" t="str">
            <v>P110</v>
          </cell>
          <cell r="AK86" t="str">
            <v>LA</v>
          </cell>
          <cell r="AL86" t="str">
            <v/>
          </cell>
        </row>
        <row r="87">
          <cell r="G87">
            <v>0.189</v>
          </cell>
          <cell r="K87">
            <v>1880107</v>
          </cell>
          <cell r="L87" t="str">
            <v>MA/6-156.001 P1B 25UN CTN 2BAG</v>
          </cell>
          <cell r="M87">
            <v>28</v>
          </cell>
          <cell r="N87">
            <v>56</v>
          </cell>
          <cell r="O87" t="str">
            <v>F_D4B</v>
          </cell>
          <cell r="P87" t="str">
            <v/>
          </cell>
          <cell r="Q87">
            <v>5040</v>
          </cell>
          <cell r="R87">
            <v>2200</v>
          </cell>
          <cell r="S87" t="str">
            <v>2200207</v>
          </cell>
          <cell r="T87">
            <v>811</v>
          </cell>
          <cell r="U87" t="str">
            <v>529</v>
          </cell>
          <cell r="V87" t="str">
            <v>B8</v>
          </cell>
          <cell r="W87" t="str">
            <v/>
          </cell>
          <cell r="X87" t="str">
            <v>SBZ/811</v>
          </cell>
          <cell r="Z87">
            <v>3.9470000000000001</v>
          </cell>
          <cell r="AA87" t="str">
            <v>3-4Kgs 811</v>
          </cell>
          <cell r="AB87" t="str">
            <v>811</v>
          </cell>
          <cell r="AC87" t="str">
            <v>NOV</v>
          </cell>
          <cell r="AD87" t="str">
            <v>Weight &lt;= 7 Kg</v>
          </cell>
          <cell r="AE87" t="str">
            <v>4</v>
          </cell>
          <cell r="AF87" t="str">
            <v/>
          </cell>
          <cell r="AG87">
            <v>12</v>
          </cell>
          <cell r="AH87" t="str">
            <v>50159706</v>
          </cell>
          <cell r="AI87" t="str">
            <v>1</v>
          </cell>
          <cell r="AJ87" t="str">
            <v>S130</v>
          </cell>
          <cell r="AK87" t="str">
            <v>LA</v>
          </cell>
          <cell r="AL87" t="str">
            <v/>
          </cell>
        </row>
        <row r="88">
          <cell r="G88">
            <v>0.33300000000000002</v>
          </cell>
          <cell r="K88">
            <v>1735260</v>
          </cell>
          <cell r="L88" t="str">
            <v>FP/B-426.201 P1B 22.5UN CTN 1 BAG</v>
          </cell>
          <cell r="M88">
            <v>81</v>
          </cell>
          <cell r="N88">
            <v>81</v>
          </cell>
          <cell r="O88" t="str">
            <v>F_D4B</v>
          </cell>
          <cell r="P88" t="str">
            <v/>
          </cell>
          <cell r="Q88">
            <v>5040</v>
          </cell>
          <cell r="R88">
            <v>2200</v>
          </cell>
          <cell r="S88" t="str">
            <v>2200214</v>
          </cell>
          <cell r="T88">
            <v>811</v>
          </cell>
          <cell r="U88" t="str">
            <v>529</v>
          </cell>
          <cell r="V88" t="str">
            <v>B8</v>
          </cell>
          <cell r="W88" t="str">
            <v/>
          </cell>
          <cell r="X88" t="str">
            <v>SBZ/811</v>
          </cell>
          <cell r="Z88">
            <v>10.125</v>
          </cell>
          <cell r="AA88" t="str">
            <v>10-11Kgs 811</v>
          </cell>
          <cell r="AB88" t="str">
            <v>811</v>
          </cell>
          <cell r="AC88" t="str">
            <v>NOV</v>
          </cell>
          <cell r="AD88" t="str">
            <v>Weight &gt; 7 Kg</v>
          </cell>
          <cell r="AE88" t="str">
            <v>4</v>
          </cell>
          <cell r="AF88" t="str">
            <v/>
          </cell>
          <cell r="AG88">
            <v>12.6</v>
          </cell>
          <cell r="AH88" t="str">
            <v>50144176</v>
          </cell>
          <cell r="AI88" t="str">
            <v>1</v>
          </cell>
          <cell r="AJ88" t="str">
            <v>P110</v>
          </cell>
          <cell r="AK88" t="str">
            <v>LA</v>
          </cell>
          <cell r="AL88" t="str">
            <v/>
          </cell>
        </row>
        <row r="89">
          <cell r="G89">
            <v>0.111</v>
          </cell>
          <cell r="K89">
            <v>1648708</v>
          </cell>
          <cell r="L89" t="str">
            <v>AP/N-526.001 P1B 16UN CTN 1 BAG</v>
          </cell>
          <cell r="M89">
            <v>27</v>
          </cell>
          <cell r="N89">
            <v>27</v>
          </cell>
          <cell r="O89" t="str">
            <v>F_D4B</v>
          </cell>
          <cell r="P89" t="str">
            <v/>
          </cell>
          <cell r="Q89">
            <v>5040</v>
          </cell>
          <cell r="R89">
            <v>2200</v>
          </cell>
          <cell r="S89" t="str">
            <v>2200214</v>
          </cell>
          <cell r="T89">
            <v>811</v>
          </cell>
          <cell r="U89" t="str">
            <v>529</v>
          </cell>
          <cell r="V89" t="str">
            <v>B8</v>
          </cell>
          <cell r="W89" t="str">
            <v/>
          </cell>
          <cell r="X89" t="str">
            <v>SBZ/811</v>
          </cell>
          <cell r="Z89">
            <v>10.895</v>
          </cell>
          <cell r="AA89" t="str">
            <v>10-11Kgs 811</v>
          </cell>
          <cell r="AB89" t="str">
            <v>811</v>
          </cell>
          <cell r="AC89" t="str">
            <v>NOV</v>
          </cell>
          <cell r="AD89" t="str">
            <v>Weight &gt; 7 Kg</v>
          </cell>
          <cell r="AE89" t="str">
            <v>4</v>
          </cell>
          <cell r="AF89" t="str">
            <v/>
          </cell>
          <cell r="AG89">
            <v>17.899999999999999</v>
          </cell>
          <cell r="AH89" t="str">
            <v>50143088</v>
          </cell>
          <cell r="AI89" t="str">
            <v>1</v>
          </cell>
          <cell r="AJ89" t="str">
            <v>P110</v>
          </cell>
          <cell r="AK89" t="str">
            <v>LA</v>
          </cell>
          <cell r="AL89" t="str">
            <v/>
          </cell>
        </row>
        <row r="90">
          <cell r="G90">
            <v>1.379</v>
          </cell>
          <cell r="K90">
            <v>1960407</v>
          </cell>
          <cell r="L90" t="str">
            <v>OR/A/B-1704.001 P1B 30UN CTN 1BAG</v>
          </cell>
          <cell r="M90">
            <v>216</v>
          </cell>
          <cell r="N90">
            <v>216</v>
          </cell>
          <cell r="O90" t="str">
            <v>F_D4B</v>
          </cell>
          <cell r="P90" t="str">
            <v/>
          </cell>
          <cell r="Q90">
            <v>5040</v>
          </cell>
          <cell r="R90">
            <v>2200</v>
          </cell>
          <cell r="S90" t="str">
            <v>2200214</v>
          </cell>
          <cell r="T90">
            <v>811</v>
          </cell>
          <cell r="U90" t="str">
            <v>529</v>
          </cell>
          <cell r="V90" t="str">
            <v>B8</v>
          </cell>
          <cell r="W90" t="str">
            <v/>
          </cell>
          <cell r="X90" t="str">
            <v>SBZ/811</v>
          </cell>
          <cell r="Z90">
            <v>13.5</v>
          </cell>
          <cell r="AA90" t="str">
            <v>13-14Kgs 811</v>
          </cell>
          <cell r="AB90" t="str">
            <v>811</v>
          </cell>
          <cell r="AC90" t="str">
            <v>NOV</v>
          </cell>
          <cell r="AD90" t="str">
            <v>Weight &gt; 7 Kg</v>
          </cell>
          <cell r="AE90" t="str">
            <v>4</v>
          </cell>
          <cell r="AF90" t="str">
            <v/>
          </cell>
          <cell r="AG90">
            <v>11</v>
          </cell>
          <cell r="AH90" t="str">
            <v>50167433</v>
          </cell>
          <cell r="AI90" t="str">
            <v>1</v>
          </cell>
          <cell r="AJ90" t="str">
            <v>P110</v>
          </cell>
          <cell r="AK90" t="str">
            <v>LA</v>
          </cell>
          <cell r="AL90" t="str">
            <v/>
          </cell>
        </row>
        <row r="91">
          <cell r="G91">
            <v>1.46</v>
          </cell>
          <cell r="K91">
            <v>1875898</v>
          </cell>
          <cell r="L91" t="str">
            <v>SP/D-74.92 P3 16UN CTN 4 BAGS</v>
          </cell>
          <cell r="M91">
            <v>108</v>
          </cell>
          <cell r="N91">
            <v>432</v>
          </cell>
          <cell r="O91" t="str">
            <v>F_D4B</v>
          </cell>
          <cell r="P91" t="str">
            <v/>
          </cell>
          <cell r="Q91">
            <v>5040</v>
          </cell>
          <cell r="R91">
            <v>3200</v>
          </cell>
          <cell r="S91" t="str">
            <v>3200207</v>
          </cell>
          <cell r="T91" t="str">
            <v>ASP/616</v>
          </cell>
          <cell r="U91" t="str">
            <v>529</v>
          </cell>
          <cell r="V91" t="str">
            <v>B8</v>
          </cell>
          <cell r="W91" t="str">
            <v/>
          </cell>
          <cell r="X91" t="str">
            <v>Sweet</v>
          </cell>
          <cell r="Z91">
            <v>2.1120000000000001</v>
          </cell>
          <cell r="AA91" t="str">
            <v xml:space="preserve"> 0-1Kgs ASP, 1-2Kgs 616</v>
          </cell>
          <cell r="AB91" t="str">
            <v>ASP/616</v>
          </cell>
          <cell r="AC91" t="str">
            <v>NOV</v>
          </cell>
          <cell r="AD91" t="str">
            <v>Weight &lt;= 7 Kg</v>
          </cell>
          <cell r="AE91" t="str">
            <v>4</v>
          </cell>
          <cell r="AF91" t="str">
            <v/>
          </cell>
          <cell r="AG91">
            <v>12.8</v>
          </cell>
          <cell r="AH91" t="str">
            <v>50145704</v>
          </cell>
          <cell r="AI91" t="str">
            <v>1</v>
          </cell>
          <cell r="AJ91" t="str">
            <v>P110</v>
          </cell>
          <cell r="AK91" t="str">
            <v>LA</v>
          </cell>
          <cell r="AL91" t="str">
            <v/>
          </cell>
        </row>
        <row r="92">
          <cell r="G92">
            <v>0.27400000000000002</v>
          </cell>
          <cell r="K92">
            <v>1958029</v>
          </cell>
          <cell r="L92" t="str">
            <v>SP/B-175.00 P3,1C 24UN CTN 3BAG</v>
          </cell>
          <cell r="M92">
            <v>27</v>
          </cell>
          <cell r="N92">
            <v>81</v>
          </cell>
          <cell r="O92" t="str">
            <v>F_D4B</v>
          </cell>
          <cell r="P92" t="str">
            <v/>
          </cell>
          <cell r="Q92">
            <v>5040</v>
          </cell>
          <cell r="R92">
            <v>3200</v>
          </cell>
          <cell r="S92" t="str">
            <v>3200207</v>
          </cell>
          <cell r="T92" t="str">
            <v>ASP/616</v>
          </cell>
          <cell r="U92" t="str">
            <v>525</v>
          </cell>
          <cell r="V92" t="str">
            <v>B8</v>
          </cell>
          <cell r="W92" t="str">
            <v>3 of 1958027 (TSO)</v>
          </cell>
          <cell r="X92" t="str">
            <v>Sweet</v>
          </cell>
          <cell r="Z92">
            <v>4.2240000000000002</v>
          </cell>
          <cell r="AA92" t="str">
            <v>1-2Kgs ASP, 2-3Kgs 616</v>
          </cell>
          <cell r="AB92" t="str">
            <v>ASP/616</v>
          </cell>
          <cell r="AC92" t="str">
            <v>NOV</v>
          </cell>
          <cell r="AD92" t="str">
            <v>Weight &lt;= 7 Kg</v>
          </cell>
          <cell r="AE92" t="str">
            <v>4</v>
          </cell>
          <cell r="AF92" t="str">
            <v>CRTD PRC  BASC BCRQ MANC SETC</v>
          </cell>
          <cell r="AG92">
            <v>12.3</v>
          </cell>
          <cell r="AH92" t="str">
            <v>50159486</v>
          </cell>
          <cell r="AI92" t="str">
            <v>1</v>
          </cell>
          <cell r="AJ92" t="str">
            <v>P110</v>
          </cell>
          <cell r="AK92" t="str">
            <v>YPI5</v>
          </cell>
          <cell r="AL92" t="str">
            <v/>
          </cell>
        </row>
        <row r="93">
          <cell r="G93">
            <v>1.143</v>
          </cell>
          <cell r="K93">
            <v>1969312</v>
          </cell>
          <cell r="L93" t="str">
            <v>SP/B-92.351 P3,1B 16UN CTN 2BAGS</v>
          </cell>
          <cell r="M93">
            <v>169</v>
          </cell>
          <cell r="N93">
            <v>338</v>
          </cell>
          <cell r="O93" t="str">
            <v>F_D4B</v>
          </cell>
          <cell r="P93" t="str">
            <v/>
          </cell>
          <cell r="Q93">
            <v>5040</v>
          </cell>
          <cell r="R93">
            <v>3200</v>
          </cell>
          <cell r="S93" t="str">
            <v>3200207</v>
          </cell>
          <cell r="T93" t="str">
            <v>ASP/616</v>
          </cell>
          <cell r="U93" t="str">
            <v>529</v>
          </cell>
          <cell r="V93" t="str">
            <v>B8</v>
          </cell>
          <cell r="W93" t="str">
            <v>2 of 1812532 (SBZ)</v>
          </cell>
          <cell r="X93" t="str">
            <v>Sweet</v>
          </cell>
          <cell r="Z93">
            <v>4.2240000000000002</v>
          </cell>
          <cell r="AA93" t="str">
            <v>1-2Kgs ASP, 2-3Kgs 616</v>
          </cell>
          <cell r="AB93" t="str">
            <v>ASP/616</v>
          </cell>
          <cell r="AC93" t="str">
            <v>NOV</v>
          </cell>
          <cell r="AD93" t="str">
            <v>Weight &lt;= 7 Kg</v>
          </cell>
          <cell r="AE93" t="str">
            <v>4</v>
          </cell>
          <cell r="AF93" t="str">
            <v/>
          </cell>
          <cell r="AG93">
            <v>12</v>
          </cell>
          <cell r="AH93" t="str">
            <v>50162760</v>
          </cell>
          <cell r="AI93" t="str">
            <v>1</v>
          </cell>
          <cell r="AJ93" t="str">
            <v>P110</v>
          </cell>
          <cell r="AK93" t="str">
            <v>LA</v>
          </cell>
          <cell r="AL93" t="str">
            <v/>
          </cell>
        </row>
        <row r="94">
          <cell r="G94">
            <v>2.4670000000000001</v>
          </cell>
          <cell r="K94">
            <v>1399943</v>
          </cell>
          <cell r="L94" t="str">
            <v>DC-39.69 P3 15UN CTN 3 BAG</v>
          </cell>
          <cell r="M94">
            <v>243</v>
          </cell>
          <cell r="N94">
            <v>729</v>
          </cell>
          <cell r="O94" t="str">
            <v>F_D4B</v>
          </cell>
          <cell r="P94" t="str">
            <v/>
          </cell>
          <cell r="Q94">
            <v>5040</v>
          </cell>
          <cell r="R94">
            <v>3200</v>
          </cell>
          <cell r="S94" t="str">
            <v>3200207</v>
          </cell>
          <cell r="T94" t="str">
            <v>ASP/616</v>
          </cell>
          <cell r="U94" t="str">
            <v>529</v>
          </cell>
          <cell r="V94" t="str">
            <v>B8</v>
          </cell>
          <cell r="W94" t="str">
            <v/>
          </cell>
          <cell r="X94" t="str">
            <v>Sweet</v>
          </cell>
          <cell r="Z94">
            <v>4.2320000000000002</v>
          </cell>
          <cell r="AA94" t="str">
            <v>3-4Kgs ASP, 0-1Kgs 616</v>
          </cell>
          <cell r="AB94" t="str">
            <v>ASP/616</v>
          </cell>
          <cell r="AC94" t="str">
            <v>NOV</v>
          </cell>
          <cell r="AD94" t="str">
            <v>Weight &lt;= 7 Kg</v>
          </cell>
          <cell r="AE94" t="str">
            <v>4</v>
          </cell>
          <cell r="AF94" t="str">
            <v/>
          </cell>
          <cell r="AG94">
            <v>12.6</v>
          </cell>
          <cell r="AH94" t="str">
            <v>50141776</v>
          </cell>
          <cell r="AI94" t="str">
            <v>1</v>
          </cell>
          <cell r="AJ94" t="str">
            <v>P110</v>
          </cell>
          <cell r="AK94" t="str">
            <v>LA</v>
          </cell>
          <cell r="AL94" t="str">
            <v/>
          </cell>
        </row>
        <row r="95">
          <cell r="G95">
            <v>6.0999999999999999E-2</v>
          </cell>
          <cell r="K95">
            <v>1957321</v>
          </cell>
          <cell r="L95" t="str">
            <v>CL/MN/D-4201.72 P3 16UN CTN 2BAG</v>
          </cell>
          <cell r="M95">
            <v>9</v>
          </cell>
          <cell r="N95">
            <v>18</v>
          </cell>
          <cell r="O95" t="str">
            <v>F_D4B</v>
          </cell>
          <cell r="P95" t="str">
            <v/>
          </cell>
          <cell r="Q95">
            <v>5040</v>
          </cell>
          <cell r="R95">
            <v>3200</v>
          </cell>
          <cell r="S95" t="str">
            <v>3200207</v>
          </cell>
          <cell r="T95" t="str">
            <v>ASP/616</v>
          </cell>
          <cell r="U95" t="str">
            <v>529</v>
          </cell>
          <cell r="V95" t="str">
            <v>B8</v>
          </cell>
          <cell r="W95" t="str">
            <v/>
          </cell>
          <cell r="X95" t="str">
            <v>Sweet</v>
          </cell>
          <cell r="Z95">
            <v>5.7720000000000002</v>
          </cell>
          <cell r="AA95" t="str">
            <v>3-4Kgs ASP, 2-3Kgs 616</v>
          </cell>
          <cell r="AB95" t="str">
            <v>ASP/616</v>
          </cell>
          <cell r="AC95" t="str">
            <v>NOV</v>
          </cell>
          <cell r="AD95" t="str">
            <v>Weight &lt;= 7 Kg</v>
          </cell>
          <cell r="AE95" t="str">
            <v>4</v>
          </cell>
          <cell r="AF95" t="str">
            <v/>
          </cell>
          <cell r="AG95">
            <v>22.3</v>
          </cell>
          <cell r="AH95" t="str">
            <v>50159479</v>
          </cell>
          <cell r="AI95" t="str">
            <v>1</v>
          </cell>
          <cell r="AJ95" t="str">
            <v>P110</v>
          </cell>
          <cell r="AK95" t="str">
            <v>LA</v>
          </cell>
          <cell r="AL95" t="str">
            <v/>
          </cell>
        </row>
        <row r="96">
          <cell r="G96">
            <v>0.36499999999999999</v>
          </cell>
          <cell r="K96">
            <v>1929274</v>
          </cell>
          <cell r="L96" t="str">
            <v>FP/B-426.211 P3,1B 10UN CTN 1 BAG</v>
          </cell>
          <cell r="M96">
            <v>108</v>
          </cell>
          <cell r="N96">
            <v>108</v>
          </cell>
          <cell r="O96" t="str">
            <v>F_D4B</v>
          </cell>
          <cell r="P96" t="str">
            <v/>
          </cell>
          <cell r="Q96">
            <v>5040</v>
          </cell>
          <cell r="R96">
            <v>3200</v>
          </cell>
          <cell r="S96" t="str">
            <v>3200207</v>
          </cell>
          <cell r="T96" t="str">
            <v>ASP/616</v>
          </cell>
          <cell r="U96" t="str">
            <v>529</v>
          </cell>
          <cell r="V96" t="str">
            <v>B8</v>
          </cell>
          <cell r="W96" t="str">
            <v>1 of 1009573 (811)</v>
          </cell>
          <cell r="X96" t="str">
            <v>Sweet</v>
          </cell>
          <cell r="Z96">
            <v>6.2</v>
          </cell>
          <cell r="AA96" t="str">
            <v>2-3Kgs ASP, 3-4Kgs 616</v>
          </cell>
          <cell r="AB96" t="str">
            <v>ASP/616</v>
          </cell>
          <cell r="AC96" t="str">
            <v>NOV</v>
          </cell>
          <cell r="AD96" t="str">
            <v>Weight &lt;= 7 Kg</v>
          </cell>
          <cell r="AE96" t="str">
            <v>4</v>
          </cell>
          <cell r="AF96" t="str">
            <v/>
          </cell>
          <cell r="AG96">
            <v>22.4</v>
          </cell>
          <cell r="AH96" t="str">
            <v>50159451</v>
          </cell>
          <cell r="AI96" t="str">
            <v>1</v>
          </cell>
          <cell r="AJ96" t="str">
            <v>P110</v>
          </cell>
          <cell r="AK96" t="str">
            <v>LA</v>
          </cell>
          <cell r="AL96" t="str">
            <v/>
          </cell>
        </row>
        <row r="97">
          <cell r="G97">
            <v>0.193</v>
          </cell>
          <cell r="K97">
            <v>2037336</v>
          </cell>
          <cell r="L97" t="str">
            <v>FP/B-779.00 P3 10UN CTN 1 BAG</v>
          </cell>
          <cell r="M97">
            <v>57</v>
          </cell>
          <cell r="N97">
            <v>57</v>
          </cell>
          <cell r="O97" t="str">
            <v>F_D4B</v>
          </cell>
          <cell r="P97" t="str">
            <v/>
          </cell>
          <cell r="Q97">
            <v>5040</v>
          </cell>
          <cell r="R97" t="str">
            <v>3200</v>
          </cell>
          <cell r="S97" t="str">
            <v>3200207</v>
          </cell>
          <cell r="T97" t="str">
            <v>ASP/616</v>
          </cell>
          <cell r="U97" t="str">
            <v>525</v>
          </cell>
          <cell r="V97" t="str">
            <v>B8</v>
          </cell>
          <cell r="W97" t="str">
            <v/>
          </cell>
          <cell r="X97" t="str">
            <v>Sweet</v>
          </cell>
          <cell r="Z97">
            <v>6.43</v>
          </cell>
          <cell r="AA97" t="str">
            <v>3-4Kgs 616, 2-3Kgs ASP</v>
          </cell>
          <cell r="AB97" t="str">
            <v>ASP/616</v>
          </cell>
          <cell r="AC97" t="str">
            <v>NOV</v>
          </cell>
          <cell r="AD97" t="str">
            <v>Weight &lt;= 7 Kg</v>
          </cell>
          <cell r="AE97" t="str">
            <v>4</v>
          </cell>
          <cell r="AF97" t="str">
            <v/>
          </cell>
          <cell r="AG97">
            <v>12.2</v>
          </cell>
          <cell r="AH97" t="str">
            <v>50174337</v>
          </cell>
          <cell r="AI97" t="str">
            <v>1</v>
          </cell>
          <cell r="AJ97" t="str">
            <v>P110</v>
          </cell>
          <cell r="AK97" t="str">
            <v>LA</v>
          </cell>
          <cell r="AL97" t="str">
            <v/>
          </cell>
        </row>
        <row r="98">
          <cell r="G98">
            <v>1.643</v>
          </cell>
          <cell r="K98">
            <v>2071551</v>
          </cell>
          <cell r="L98" t="str">
            <v>DK-42.01 P3 20UN CTN 2 BAGS</v>
          </cell>
          <cell r="M98">
            <v>243</v>
          </cell>
          <cell r="N98">
            <v>486</v>
          </cell>
          <cell r="O98" t="str">
            <v>F_D4B</v>
          </cell>
          <cell r="P98" t="str">
            <v/>
          </cell>
          <cell r="Q98">
            <v>5040</v>
          </cell>
          <cell r="R98">
            <v>3200</v>
          </cell>
          <cell r="S98" t="str">
            <v>3200207</v>
          </cell>
          <cell r="T98" t="str">
            <v>ASP/616</v>
          </cell>
          <cell r="U98" t="str">
            <v>529</v>
          </cell>
          <cell r="V98" t="str">
            <v>B8</v>
          </cell>
          <cell r="W98" t="str">
            <v/>
          </cell>
          <cell r="X98" t="str">
            <v>Sweet</v>
          </cell>
          <cell r="Z98">
            <v>6.67</v>
          </cell>
          <cell r="AA98" t="str">
            <v>3-4Kgs ASP, 3-4Kgs 616</v>
          </cell>
          <cell r="AB98" t="str">
            <v>ASP/616</v>
          </cell>
          <cell r="AC98" t="str">
            <v>NOV</v>
          </cell>
          <cell r="AD98" t="str">
            <v>Weight &lt;= 7 Kg</v>
          </cell>
          <cell r="AE98" t="str">
            <v>4</v>
          </cell>
          <cell r="AF98" t="str">
            <v/>
          </cell>
          <cell r="AG98">
            <v>17.7</v>
          </cell>
          <cell r="AH98" t="str">
            <v>50183440</v>
          </cell>
          <cell r="AI98" t="str">
            <v>1</v>
          </cell>
          <cell r="AJ98" t="str">
            <v>P110</v>
          </cell>
          <cell r="AK98" t="str">
            <v>LA</v>
          </cell>
          <cell r="AL98" t="str">
            <v/>
          </cell>
        </row>
        <row r="99">
          <cell r="G99">
            <v>0.11799999999999999</v>
          </cell>
          <cell r="K99">
            <v>1816896</v>
          </cell>
          <cell r="L99" t="str">
            <v>FP/D-426.501 P3,1B 10UN CTN 1 BAG</v>
          </cell>
          <cell r="M99">
            <v>35</v>
          </cell>
          <cell r="N99">
            <v>35</v>
          </cell>
          <cell r="O99" t="str">
            <v>F_D4B</v>
          </cell>
          <cell r="P99" t="str">
            <v/>
          </cell>
          <cell r="Q99">
            <v>5040</v>
          </cell>
          <cell r="R99" t="str">
            <v>3200</v>
          </cell>
          <cell r="S99" t="str">
            <v>3200207</v>
          </cell>
          <cell r="T99" t="str">
            <v>ASP/616</v>
          </cell>
          <cell r="U99" t="str">
            <v>525</v>
          </cell>
          <cell r="V99" t="str">
            <v>B8</v>
          </cell>
          <cell r="W99" t="str">
            <v>1 of 1009573 (811)</v>
          </cell>
          <cell r="X99" t="str">
            <v>Sweet</v>
          </cell>
          <cell r="Z99">
            <v>7.6</v>
          </cell>
          <cell r="AA99" t="str">
            <v>4-5Kgs ASP, 2-3Kgs 616</v>
          </cell>
          <cell r="AB99" t="str">
            <v>ASP/616</v>
          </cell>
          <cell r="AC99" t="str">
            <v>NOV</v>
          </cell>
          <cell r="AD99" t="str">
            <v>Weight &gt; 7 Kg</v>
          </cell>
          <cell r="AE99" t="str">
            <v>4</v>
          </cell>
          <cell r="AF99" t="str">
            <v/>
          </cell>
          <cell r="AG99">
            <v>12.5</v>
          </cell>
          <cell r="AH99" t="str">
            <v>50167714</v>
          </cell>
          <cell r="AI99" t="str">
            <v>1</v>
          </cell>
          <cell r="AJ99" t="str">
            <v>P110</v>
          </cell>
          <cell r="AK99" t="str">
            <v>LA</v>
          </cell>
          <cell r="AL99" t="str">
            <v/>
          </cell>
        </row>
        <row r="100">
          <cell r="G100">
            <v>0.27400000000000002</v>
          </cell>
          <cell r="K100">
            <v>1006397</v>
          </cell>
          <cell r="L100" t="str">
            <v>DK-85.391/DK-86.391 P3,1B 10UN CTN 2 BAG</v>
          </cell>
          <cell r="M100">
            <v>40</v>
          </cell>
          <cell r="N100">
            <v>80</v>
          </cell>
          <cell r="O100" t="str">
            <v>F_D4B</v>
          </cell>
          <cell r="P100" t="str">
            <v/>
          </cell>
          <cell r="Q100">
            <v>5040</v>
          </cell>
          <cell r="R100">
            <v>3200</v>
          </cell>
          <cell r="S100" t="str">
            <v>3200207</v>
          </cell>
          <cell r="T100" t="str">
            <v>ASP/616</v>
          </cell>
          <cell r="U100" t="str">
            <v>530</v>
          </cell>
          <cell r="V100" t="str">
            <v>B8</v>
          </cell>
          <cell r="W100" t="str">
            <v>2 of 1822396 (SBZ)</v>
          </cell>
          <cell r="X100" t="str">
            <v>Sweet</v>
          </cell>
          <cell r="Z100">
            <v>3.9</v>
          </cell>
          <cell r="AA100" t="str">
            <v>2-3Kgs ASP, 1-2Kgs 616</v>
          </cell>
          <cell r="AB100" t="str">
            <v>ASP/616</v>
          </cell>
          <cell r="AC100" t="str">
            <v>NOV</v>
          </cell>
          <cell r="AD100" t="str">
            <v>Weight &lt;= 7 Kg</v>
          </cell>
          <cell r="AE100" t="str">
            <v>4</v>
          </cell>
          <cell r="AF100" t="str">
            <v/>
          </cell>
          <cell r="AG100">
            <v>6</v>
          </cell>
          <cell r="AH100" t="str">
            <v>50147234</v>
          </cell>
          <cell r="AI100" t="str">
            <v>1</v>
          </cell>
          <cell r="AJ100" t="str">
            <v>P110</v>
          </cell>
          <cell r="AK100" t="str">
            <v>LA</v>
          </cell>
          <cell r="AL100" t="str">
            <v/>
          </cell>
        </row>
        <row r="101">
          <cell r="G101">
            <v>0.54800000000000004</v>
          </cell>
          <cell r="K101">
            <v>2065427</v>
          </cell>
          <cell r="L101" t="str">
            <v>DC-2492.39 P3 13.75UN CTN 1BAG</v>
          </cell>
          <cell r="M101">
            <v>162</v>
          </cell>
          <cell r="N101">
            <v>162</v>
          </cell>
          <cell r="O101" t="str">
            <v>F_D4B</v>
          </cell>
          <cell r="P101" t="str">
            <v/>
          </cell>
          <cell r="Q101">
            <v>5040</v>
          </cell>
          <cell r="R101" t="str">
            <v>3200</v>
          </cell>
          <cell r="S101" t="str">
            <v>3200207</v>
          </cell>
          <cell r="T101" t="str">
            <v>ASP/616</v>
          </cell>
          <cell r="U101" t="str">
            <v>529</v>
          </cell>
          <cell r="V101" t="str">
            <v>B8</v>
          </cell>
          <cell r="W101" t="str">
            <v/>
          </cell>
          <cell r="X101" t="str">
            <v>Sweet</v>
          </cell>
          <cell r="Z101">
            <v>10.725</v>
          </cell>
          <cell r="AA101" t="str">
            <v>6-7Kgs ASP, 4-5Kgs 616</v>
          </cell>
          <cell r="AB101" t="str">
            <v>ASP/616</v>
          </cell>
          <cell r="AC101" t="str">
            <v>NOV</v>
          </cell>
          <cell r="AD101" t="str">
            <v>Weight &gt; 7 Kg</v>
          </cell>
          <cell r="AE101" t="str">
            <v>4</v>
          </cell>
          <cell r="AF101" t="str">
            <v/>
          </cell>
          <cell r="AG101">
            <v>12.5</v>
          </cell>
          <cell r="AH101" t="str">
            <v>50179315</v>
          </cell>
          <cell r="AI101" t="str">
            <v>1</v>
          </cell>
          <cell r="AJ101" t="str">
            <v>P110</v>
          </cell>
          <cell r="AK101" t="str">
            <v>LA</v>
          </cell>
          <cell r="AL101" t="str">
            <v/>
          </cell>
        </row>
        <row r="102">
          <cell r="G102">
            <v>1.0669999999999999</v>
          </cell>
          <cell r="K102">
            <v>3002909</v>
          </cell>
          <cell r="L102" t="str">
            <v>OR/B-1755.00/.10 P3 12UN CTN 1BAG</v>
          </cell>
          <cell r="M102">
            <v>297</v>
          </cell>
          <cell r="N102">
            <v>297</v>
          </cell>
          <cell r="O102" t="str">
            <v>F_D4B</v>
          </cell>
          <cell r="P102" t="str">
            <v/>
          </cell>
          <cell r="Q102">
            <v>5040</v>
          </cell>
          <cell r="R102">
            <v>3200</v>
          </cell>
          <cell r="S102" t="str">
            <v>3200214</v>
          </cell>
          <cell r="T102" t="str">
            <v>ASP/616</v>
          </cell>
          <cell r="U102" t="str">
            <v>529</v>
          </cell>
          <cell r="V102" t="str">
            <v>B8</v>
          </cell>
          <cell r="W102" t="str">
            <v/>
          </cell>
          <cell r="X102" t="str">
            <v>Sweet</v>
          </cell>
          <cell r="Z102">
            <v>11.141999999999999</v>
          </cell>
          <cell r="AA102" t="str">
            <v>6-7Kgs 616, 4-5Kgs ASP</v>
          </cell>
          <cell r="AB102" t="str">
            <v>ASP/616</v>
          </cell>
          <cell r="AC102" t="str">
            <v>NOV</v>
          </cell>
          <cell r="AD102" t="str">
            <v>Weight &gt; 7 Kg</v>
          </cell>
          <cell r="AE102" t="str">
            <v>4</v>
          </cell>
          <cell r="AF102" t="str">
            <v/>
          </cell>
          <cell r="AG102">
            <v>12.9</v>
          </cell>
          <cell r="AH102" t="str">
            <v>50189898</v>
          </cell>
          <cell r="AI102" t="str">
            <v>1</v>
          </cell>
          <cell r="AJ102" t="str">
            <v>P110</v>
          </cell>
          <cell r="AK102" t="str">
            <v>LA</v>
          </cell>
          <cell r="AL102" t="str">
            <v/>
          </cell>
        </row>
        <row r="103">
          <cell r="G103">
            <v>2.7160000000000002</v>
          </cell>
          <cell r="K103">
            <v>1630314</v>
          </cell>
          <cell r="L103" t="str">
            <v>DC/CH-3039.69 P3 13.75UN CTN 1 BAG</v>
          </cell>
          <cell r="M103">
            <v>756</v>
          </cell>
          <cell r="N103">
            <v>756</v>
          </cell>
          <cell r="O103" t="str">
            <v>F_D4B</v>
          </cell>
          <cell r="P103" t="str">
            <v/>
          </cell>
          <cell r="Q103">
            <v>5040</v>
          </cell>
          <cell r="R103">
            <v>3200</v>
          </cell>
          <cell r="S103" t="str">
            <v>3200214</v>
          </cell>
          <cell r="T103" t="str">
            <v>ASP/616</v>
          </cell>
          <cell r="U103" t="str">
            <v>529</v>
          </cell>
          <cell r="V103" t="str">
            <v>B8</v>
          </cell>
          <cell r="W103" t="str">
            <v/>
          </cell>
          <cell r="X103" t="str">
            <v>Sweet</v>
          </cell>
          <cell r="Z103">
            <v>11.637</v>
          </cell>
          <cell r="AA103" t="str">
            <v>10-11Kgs ASP, 1-2Kgs 616</v>
          </cell>
          <cell r="AB103" t="str">
            <v>ASP/616</v>
          </cell>
          <cell r="AC103" t="str">
            <v>NOV</v>
          </cell>
          <cell r="AD103" t="str">
            <v>Weight &gt; 7 Kg</v>
          </cell>
          <cell r="AE103" t="str">
            <v>4</v>
          </cell>
          <cell r="AF103" t="str">
            <v/>
          </cell>
          <cell r="AG103">
            <v>13</v>
          </cell>
          <cell r="AH103" t="str">
            <v>50142902</v>
          </cell>
          <cell r="AI103" t="str">
            <v>1</v>
          </cell>
          <cell r="AJ103" t="str">
            <v>P110</v>
          </cell>
          <cell r="AK103" t="str">
            <v>LA</v>
          </cell>
          <cell r="AL103" t="str">
            <v/>
          </cell>
        </row>
        <row r="104">
          <cell r="G104">
            <v>0.29099999999999998</v>
          </cell>
          <cell r="K104">
            <v>1929724</v>
          </cell>
          <cell r="L104" t="str">
            <v>FP/B-426.21 P3 22.5UN CTN 1 BAG</v>
          </cell>
          <cell r="M104">
            <v>81</v>
          </cell>
          <cell r="N104">
            <v>81</v>
          </cell>
          <cell r="O104" t="str">
            <v>F_D4B</v>
          </cell>
          <cell r="P104" t="str">
            <v/>
          </cell>
          <cell r="Q104">
            <v>5040</v>
          </cell>
          <cell r="R104">
            <v>3200</v>
          </cell>
          <cell r="S104" t="str">
            <v>3200214</v>
          </cell>
          <cell r="T104" t="str">
            <v>ASP/616</v>
          </cell>
          <cell r="U104" t="str">
            <v>529</v>
          </cell>
          <cell r="V104" t="str">
            <v>B8</v>
          </cell>
          <cell r="W104" t="str">
            <v/>
          </cell>
          <cell r="X104" t="str">
            <v>Sweet</v>
          </cell>
          <cell r="Z104">
            <v>13.95</v>
          </cell>
          <cell r="AA104" t="str">
            <v>6-7Kgs ASP, 7-8Kgs 616</v>
          </cell>
          <cell r="AB104" t="str">
            <v>ASP/616</v>
          </cell>
          <cell r="AC104" t="str">
            <v>NOV</v>
          </cell>
          <cell r="AD104" t="str">
            <v>Weight &gt; 7 Kg</v>
          </cell>
          <cell r="AE104" t="str">
            <v>4</v>
          </cell>
          <cell r="AF104" t="str">
            <v/>
          </cell>
          <cell r="AG104">
            <v>12.4</v>
          </cell>
          <cell r="AH104" t="str">
            <v>50157890</v>
          </cell>
          <cell r="AI104" t="str">
            <v>1</v>
          </cell>
          <cell r="AJ104" t="str">
            <v>P110</v>
          </cell>
          <cell r="AK104" t="str">
            <v>LA</v>
          </cell>
          <cell r="AL104" t="str">
            <v/>
          </cell>
        </row>
        <row r="105">
          <cell r="G105">
            <v>3.6509999999999998</v>
          </cell>
          <cell r="K105">
            <v>2048054</v>
          </cell>
          <cell r="L105" t="str">
            <v>DB-2132.88 P3F 16UN CTN 2 BAG</v>
          </cell>
          <cell r="M105">
            <v>540</v>
          </cell>
          <cell r="N105">
            <v>1080</v>
          </cell>
          <cell r="O105" t="str">
            <v>F_D4B</v>
          </cell>
          <cell r="P105" t="str">
            <v/>
          </cell>
          <cell r="Q105">
            <v>5040</v>
          </cell>
          <cell r="R105">
            <v>3300</v>
          </cell>
          <cell r="S105" t="str">
            <v>3300214</v>
          </cell>
          <cell r="T105" t="str">
            <v>ASP/616/609/TSO</v>
          </cell>
          <cell r="U105" t="str">
            <v>529</v>
          </cell>
          <cell r="V105" t="str">
            <v>B8</v>
          </cell>
          <cell r="W105" t="str">
            <v/>
          </cell>
          <cell r="X105" t="str">
            <v>Sweet</v>
          </cell>
          <cell r="Z105">
            <v>10.532999999999999</v>
          </cell>
          <cell r="AA105" t="str">
            <v>4-5Kgs 609, 2-3Kgs 616, 2-3Kgs TSO, 1-2Kgs ASP</v>
          </cell>
          <cell r="AB105" t="str">
            <v>ASP/616/609</v>
          </cell>
          <cell r="AC105" t="str">
            <v>NOV</v>
          </cell>
          <cell r="AD105" t="str">
            <v>Weight &gt; 7 Kg</v>
          </cell>
          <cell r="AE105" t="str">
            <v>4</v>
          </cell>
          <cell r="AF105" t="str">
            <v/>
          </cell>
          <cell r="AG105">
            <v>17.100000000000001</v>
          </cell>
          <cell r="AH105" t="str">
            <v>50174947</v>
          </cell>
          <cell r="AI105" t="str">
            <v>1</v>
          </cell>
          <cell r="AJ105" t="str">
            <v>P110</v>
          </cell>
          <cell r="AK105" t="str">
            <v>LA</v>
          </cell>
          <cell r="AL105" t="str">
            <v/>
          </cell>
        </row>
        <row r="106">
          <cell r="G106">
            <v>1.369</v>
          </cell>
          <cell r="K106">
            <v>1383270</v>
          </cell>
          <cell r="L106" t="str">
            <v>DK-95.88/DK/LE-7095.88 P3 15UN CTN 3 BAG</v>
          </cell>
          <cell r="M106">
            <v>135</v>
          </cell>
          <cell r="N106">
            <v>405</v>
          </cell>
          <cell r="O106" t="str">
            <v>F_D4B</v>
          </cell>
          <cell r="P106" t="str">
            <v/>
          </cell>
          <cell r="Q106">
            <v>5040</v>
          </cell>
          <cell r="R106">
            <v>3300</v>
          </cell>
          <cell r="S106" t="str">
            <v>3300207</v>
          </cell>
          <cell r="T106" t="str">
            <v>ASP/616/609</v>
          </cell>
          <cell r="U106" t="str">
            <v>529</v>
          </cell>
          <cell r="V106" t="str">
            <v>B8</v>
          </cell>
          <cell r="W106" t="str">
            <v/>
          </cell>
          <cell r="X106" t="str">
            <v>Sweet</v>
          </cell>
          <cell r="Z106">
            <v>5.2679999999999998</v>
          </cell>
          <cell r="AA106" t="str">
            <v>2-3Kgs 609, 1-2Kgs 616, 1-2Kgs ASP</v>
          </cell>
          <cell r="AB106" t="str">
            <v>ASP/616/609</v>
          </cell>
          <cell r="AC106" t="str">
            <v>NOV</v>
          </cell>
          <cell r="AD106" t="str">
            <v>Weight &lt;= 7 Kg</v>
          </cell>
          <cell r="AE106" t="str">
            <v>4</v>
          </cell>
          <cell r="AF106" t="str">
            <v/>
          </cell>
          <cell r="AG106">
            <v>12.4</v>
          </cell>
          <cell r="AH106" t="str">
            <v>50141721</v>
          </cell>
          <cell r="AI106" t="str">
            <v>1</v>
          </cell>
          <cell r="AJ106" t="str">
            <v>P110</v>
          </cell>
          <cell r="AK106" t="str">
            <v>LA</v>
          </cell>
          <cell r="AL106" t="str">
            <v/>
          </cell>
        </row>
        <row r="107">
          <cell r="G107">
            <v>1.278</v>
          </cell>
          <cell r="K107">
            <v>1379954</v>
          </cell>
          <cell r="L107" t="str">
            <v>DK-95.88/DK/S-80.88 P3 10UN CTN 2 BAGS</v>
          </cell>
          <cell r="M107">
            <v>189</v>
          </cell>
          <cell r="N107">
            <v>378</v>
          </cell>
          <cell r="O107" t="str">
            <v>F_D4B</v>
          </cell>
          <cell r="P107" t="str">
            <v/>
          </cell>
          <cell r="Q107">
            <v>5040</v>
          </cell>
          <cell r="R107">
            <v>3300</v>
          </cell>
          <cell r="S107" t="str">
            <v>3300207</v>
          </cell>
          <cell r="T107" t="str">
            <v>ASP/616/609</v>
          </cell>
          <cell r="U107" t="str">
            <v>529</v>
          </cell>
          <cell r="V107" t="str">
            <v>B8</v>
          </cell>
          <cell r="W107" t="str">
            <v/>
          </cell>
          <cell r="X107" t="str">
            <v>Sweet</v>
          </cell>
          <cell r="Z107">
            <v>5.2679999999999998</v>
          </cell>
          <cell r="AA107" t="str">
            <v>2-3Kgs 609, 1-2Kgs 616, 1-2Kgs ASP</v>
          </cell>
          <cell r="AB107" t="str">
            <v>ASP/616/609</v>
          </cell>
          <cell r="AC107" t="str">
            <v>NOV</v>
          </cell>
          <cell r="AD107" t="str">
            <v>Weight &lt;= 7 Kg</v>
          </cell>
          <cell r="AE107" t="str">
            <v>4</v>
          </cell>
          <cell r="AF107" t="str">
            <v/>
          </cell>
          <cell r="AG107">
            <v>13</v>
          </cell>
          <cell r="AH107" t="str">
            <v>50141710</v>
          </cell>
          <cell r="AI107" t="str">
            <v>1</v>
          </cell>
          <cell r="AJ107" t="str">
            <v>P110</v>
          </cell>
          <cell r="AK107" t="str">
            <v>LA</v>
          </cell>
          <cell r="AL107" t="str">
            <v/>
          </cell>
        </row>
        <row r="108">
          <cell r="G108">
            <v>0.24299999999999999</v>
          </cell>
          <cell r="K108">
            <v>2010947</v>
          </cell>
          <cell r="L108" t="str">
            <v>LE/A/D-618.50 P3 12UN CTN 1 BAG</v>
          </cell>
          <cell r="M108">
            <v>72</v>
          </cell>
          <cell r="N108">
            <v>72</v>
          </cell>
          <cell r="O108" t="str">
            <v>F_D4B</v>
          </cell>
          <cell r="P108" t="str">
            <v/>
          </cell>
          <cell r="Q108">
            <v>5040</v>
          </cell>
          <cell r="R108">
            <v>3300</v>
          </cell>
          <cell r="S108" t="str">
            <v>3300214</v>
          </cell>
          <cell r="T108" t="str">
            <v>ASP/616/609</v>
          </cell>
          <cell r="U108" t="str">
            <v>529</v>
          </cell>
          <cell r="V108" t="str">
            <v>B8</v>
          </cell>
          <cell r="W108" t="str">
            <v/>
          </cell>
          <cell r="X108" t="str">
            <v>Sweet</v>
          </cell>
          <cell r="Z108">
            <v>12.288</v>
          </cell>
          <cell r="AA108" t="str">
            <v>5-6Kgs 616, 5-6Kgs 609, 1-2Kgs ASP</v>
          </cell>
          <cell r="AB108" t="str">
            <v>ASP/616/609</v>
          </cell>
          <cell r="AC108" t="str">
            <v>NOV</v>
          </cell>
          <cell r="AD108" t="str">
            <v>Weight &gt; 7 Kg</v>
          </cell>
          <cell r="AE108" t="str">
            <v>4</v>
          </cell>
          <cell r="AF108" t="str">
            <v/>
          </cell>
          <cell r="AG108">
            <v>12.7</v>
          </cell>
          <cell r="AH108" t="str">
            <v>50168111</v>
          </cell>
          <cell r="AI108" t="str">
            <v>1</v>
          </cell>
          <cell r="AJ108" t="str">
            <v>P110</v>
          </cell>
          <cell r="AK108" t="str">
            <v>LA</v>
          </cell>
          <cell r="AL108" t="str">
            <v/>
          </cell>
        </row>
        <row r="109">
          <cell r="G109">
            <v>0.42299999999999999</v>
          </cell>
          <cell r="K109">
            <v>2050853</v>
          </cell>
          <cell r="L109" t="str">
            <v>SP/D-74.67 P3 15UN CTN 1 BAG</v>
          </cell>
          <cell r="M109">
            <v>81</v>
          </cell>
          <cell r="N109">
            <v>81</v>
          </cell>
          <cell r="O109" t="str">
            <v>F_D4B</v>
          </cell>
          <cell r="P109" t="str">
            <v/>
          </cell>
          <cell r="Q109">
            <v>5040</v>
          </cell>
          <cell r="R109">
            <v>3500</v>
          </cell>
          <cell r="S109" t="str">
            <v>3500214</v>
          </cell>
          <cell r="T109" t="str">
            <v>ASP/603/609</v>
          </cell>
          <cell r="U109" t="str">
            <v>529</v>
          </cell>
          <cell r="V109" t="str">
            <v>B8</v>
          </cell>
          <cell r="W109" t="str">
            <v/>
          </cell>
          <cell r="X109" t="str">
            <v>Sweet</v>
          </cell>
          <cell r="Z109">
            <v>12.468</v>
          </cell>
          <cell r="AA109" t="str">
            <v>3-4Kgs ASP, 1-2Kgs 603, 7-8Kgs 609</v>
          </cell>
          <cell r="AB109" t="str">
            <v>ASP/603/609</v>
          </cell>
          <cell r="AC109" t="str">
            <v>NOV</v>
          </cell>
          <cell r="AD109" t="str">
            <v>Weight &gt; 7 Kg</v>
          </cell>
          <cell r="AE109" t="str">
            <v>4</v>
          </cell>
          <cell r="AF109" t="str">
            <v/>
          </cell>
          <cell r="AG109">
            <v>12.8</v>
          </cell>
          <cell r="AH109" t="str">
            <v>50176585</v>
          </cell>
          <cell r="AI109" t="str">
            <v>1</v>
          </cell>
          <cell r="AJ109" t="str">
            <v>P110</v>
          </cell>
          <cell r="AK109" t="str">
            <v>LA</v>
          </cell>
          <cell r="AL109" t="str">
            <v/>
          </cell>
        </row>
        <row r="110">
          <cell r="G110">
            <v>0.82099999999999995</v>
          </cell>
          <cell r="K110">
            <v>1960924</v>
          </cell>
          <cell r="L110" t="str">
            <v>OR/A/B-1704.00 P3 36UN CTN 3 BAGS</v>
          </cell>
          <cell r="M110">
            <v>81</v>
          </cell>
          <cell r="N110">
            <v>243</v>
          </cell>
          <cell r="O110" t="str">
            <v>F_D4B</v>
          </cell>
          <cell r="P110" t="str">
            <v/>
          </cell>
          <cell r="Q110">
            <v>5040</v>
          </cell>
          <cell r="R110">
            <v>3420</v>
          </cell>
          <cell r="S110" t="str">
            <v>3420207</v>
          </cell>
          <cell r="T110" t="str">
            <v>603/609</v>
          </cell>
          <cell r="U110" t="str">
            <v>529</v>
          </cell>
          <cell r="V110" t="str">
            <v>B8</v>
          </cell>
          <cell r="W110" t="str">
            <v/>
          </cell>
          <cell r="X110" t="str">
            <v>Sweet</v>
          </cell>
          <cell r="Z110">
            <v>3.8</v>
          </cell>
          <cell r="AA110" t="str">
            <v>2-3KG 603, 1-2KGS 609</v>
          </cell>
          <cell r="AB110" t="str">
            <v>603/609</v>
          </cell>
          <cell r="AC110" t="str">
            <v>NOV</v>
          </cell>
          <cell r="AD110" t="str">
            <v>Weight &lt;= 7 Kg</v>
          </cell>
          <cell r="AE110" t="str">
            <v>4</v>
          </cell>
          <cell r="AF110" t="str">
            <v/>
          </cell>
          <cell r="AG110">
            <v>12.6</v>
          </cell>
          <cell r="AH110" t="str">
            <v>50162759</v>
          </cell>
          <cell r="AI110" t="str">
            <v>1</v>
          </cell>
          <cell r="AJ110" t="str">
            <v>P110</v>
          </cell>
          <cell r="AK110" t="str">
            <v>LA</v>
          </cell>
          <cell r="AL110" t="str">
            <v/>
          </cell>
        </row>
        <row r="111">
          <cell r="G111">
            <v>2.9209999999999998</v>
          </cell>
          <cell r="K111">
            <v>1982320</v>
          </cell>
          <cell r="L111" t="str">
            <v>OR/A/B-1704.00 P3 30UN CTN 2 BAG</v>
          </cell>
          <cell r="M111">
            <v>432</v>
          </cell>
          <cell r="N111">
            <v>864</v>
          </cell>
          <cell r="O111" t="str">
            <v>F_D4B</v>
          </cell>
          <cell r="P111" t="str">
            <v/>
          </cell>
          <cell r="Q111">
            <v>5040</v>
          </cell>
          <cell r="R111">
            <v>3420</v>
          </cell>
          <cell r="S111" t="str">
            <v>3420207</v>
          </cell>
          <cell r="T111" t="str">
            <v>603/609</v>
          </cell>
          <cell r="U111" t="str">
            <v>529</v>
          </cell>
          <cell r="V111" t="str">
            <v>B8</v>
          </cell>
          <cell r="W111" t="str">
            <v/>
          </cell>
          <cell r="X111" t="str">
            <v>Sweet</v>
          </cell>
          <cell r="Z111">
            <v>4.7549999999999999</v>
          </cell>
          <cell r="AA111" t="str">
            <v>3-4Kgs 609, 1-2Kgs 603</v>
          </cell>
          <cell r="AB111" t="str">
            <v>603/609</v>
          </cell>
          <cell r="AC111" t="str">
            <v>NOV</v>
          </cell>
          <cell r="AD111" t="str">
            <v>Weight &lt;= 7 Kg</v>
          </cell>
          <cell r="AE111" t="str">
            <v>4</v>
          </cell>
          <cell r="AF111" t="str">
            <v/>
          </cell>
          <cell r="AG111">
            <v>11</v>
          </cell>
          <cell r="AH111" t="str">
            <v>50163721</v>
          </cell>
          <cell r="AI111" t="str">
            <v>1</v>
          </cell>
          <cell r="AJ111" t="str">
            <v>P110</v>
          </cell>
          <cell r="AK111" t="str">
            <v>LA</v>
          </cell>
          <cell r="AL111" t="str">
            <v/>
          </cell>
        </row>
        <row r="112">
          <cell r="G112">
            <v>0.36499999999999999</v>
          </cell>
          <cell r="K112">
            <v>1379549</v>
          </cell>
          <cell r="L112" t="str">
            <v>WIP BT/LE/4-82.10 P3 1UN BAG</v>
          </cell>
          <cell r="M112">
            <v>108</v>
          </cell>
          <cell r="N112">
            <v>108</v>
          </cell>
          <cell r="O112" t="str">
            <v>F_D4B</v>
          </cell>
          <cell r="P112" t="str">
            <v/>
          </cell>
          <cell r="Q112">
            <v>5040</v>
          </cell>
          <cell r="R112">
            <v>3400</v>
          </cell>
          <cell r="S112" t="str">
            <v>3400100</v>
          </cell>
          <cell r="T112">
            <v>603</v>
          </cell>
          <cell r="U112" t="str">
            <v>313</v>
          </cell>
          <cell r="V112" t="str">
            <v>B8</v>
          </cell>
          <cell r="W112" t="str">
            <v/>
          </cell>
          <cell r="X112" t="str">
            <v>Sweet</v>
          </cell>
          <cell r="Z112">
            <v>0.2</v>
          </cell>
          <cell r="AA112" t="str">
            <v>0-1Kgs 603</v>
          </cell>
          <cell r="AB112" t="str">
            <v>603</v>
          </cell>
          <cell r="AC112" t="str">
            <v>NOV</v>
          </cell>
          <cell r="AD112" t="str">
            <v>WIP</v>
          </cell>
          <cell r="AE112" t="str">
            <v>4</v>
          </cell>
          <cell r="AF112" t="str">
            <v/>
          </cell>
          <cell r="AG112">
            <v>10.3</v>
          </cell>
          <cell r="AH112" t="str">
            <v>50145963</v>
          </cell>
          <cell r="AI112" t="str">
            <v>1</v>
          </cell>
          <cell r="AJ112" t="str">
            <v>S120</v>
          </cell>
          <cell r="AK112" t="str">
            <v>LA</v>
          </cell>
          <cell r="AL112" t="str">
            <v/>
          </cell>
        </row>
        <row r="113">
          <cell r="G113">
            <v>0.45600000000000002</v>
          </cell>
          <cell r="K113">
            <v>1924297</v>
          </cell>
          <cell r="L113" t="str">
            <v>BT/LE/4-82.90 P3 20UN CTN 5 BAG CQ</v>
          </cell>
          <cell r="M113">
            <v>27</v>
          </cell>
          <cell r="N113">
            <v>135</v>
          </cell>
          <cell r="O113" t="str">
            <v>F_D4B</v>
          </cell>
          <cell r="P113" t="str">
            <v/>
          </cell>
          <cell r="Q113">
            <v>5040</v>
          </cell>
          <cell r="R113">
            <v>3600</v>
          </cell>
          <cell r="S113" t="str">
            <v>3600207</v>
          </cell>
          <cell r="T113" t="str">
            <v>616/603</v>
          </cell>
          <cell r="U113" t="str">
            <v>529</v>
          </cell>
          <cell r="V113" t="str">
            <v>B8</v>
          </cell>
          <cell r="W113" t="str">
            <v/>
          </cell>
          <cell r="X113" t="str">
            <v>Sweet</v>
          </cell>
          <cell r="Z113">
            <v>2.2400000000000002</v>
          </cell>
          <cell r="AA113" t="str">
            <v>1-2Kgs 616, 0-1Kgs 603</v>
          </cell>
          <cell r="AB113" t="str">
            <v>616/603</v>
          </cell>
          <cell r="AC113" t="str">
            <v>NOV</v>
          </cell>
          <cell r="AD113" t="str">
            <v>Weight &lt;= 7 Kg</v>
          </cell>
          <cell r="AE113" t="str">
            <v>4</v>
          </cell>
          <cell r="AF113" t="str">
            <v/>
          </cell>
          <cell r="AG113">
            <v>12.5</v>
          </cell>
          <cell r="AH113" t="str">
            <v>50154904</v>
          </cell>
          <cell r="AI113" t="str">
            <v>1</v>
          </cell>
          <cell r="AJ113" t="str">
            <v>P110</v>
          </cell>
          <cell r="AK113" t="str">
            <v>LA</v>
          </cell>
          <cell r="AL113" t="str">
            <v/>
          </cell>
        </row>
        <row r="114">
          <cell r="G114">
            <v>0.26400000000000001</v>
          </cell>
          <cell r="K114">
            <v>2006152</v>
          </cell>
          <cell r="L114" t="str">
            <v>CC/B-1.00 P3 225UN CTN 3 BAG</v>
          </cell>
          <cell r="M114">
            <v>26</v>
          </cell>
          <cell r="N114">
            <v>72</v>
          </cell>
          <cell r="O114" t="str">
            <v>F_D4B</v>
          </cell>
          <cell r="P114" t="str">
            <v/>
          </cell>
          <cell r="Q114">
            <v>5040</v>
          </cell>
          <cell r="R114">
            <v>3615</v>
          </cell>
          <cell r="S114" t="str">
            <v>3615207</v>
          </cell>
          <cell r="T114">
            <v>6171</v>
          </cell>
          <cell r="U114" t="str">
            <v>529</v>
          </cell>
          <cell r="V114" t="str">
            <v>B8</v>
          </cell>
          <cell r="W114" t="str">
            <v/>
          </cell>
          <cell r="X114" t="str">
            <v>Sweet</v>
          </cell>
          <cell r="Z114">
            <v>6.3319999999999999</v>
          </cell>
          <cell r="AA114" t="str">
            <v>6-7Kgs 6171</v>
          </cell>
          <cell r="AB114" t="str">
            <v>616/6171</v>
          </cell>
          <cell r="AC114" t="str">
            <v>NOV</v>
          </cell>
          <cell r="AD114" t="str">
            <v>Weight &lt;= 7 Kg</v>
          </cell>
          <cell r="AE114" t="str">
            <v>4</v>
          </cell>
          <cell r="AF114" t="str">
            <v/>
          </cell>
          <cell r="AG114">
            <v>12.2</v>
          </cell>
          <cell r="AH114" t="str">
            <v>50167049</v>
          </cell>
          <cell r="AI114" t="str">
            <v>1</v>
          </cell>
          <cell r="AJ114" t="str">
            <v>P110</v>
          </cell>
          <cell r="AK114" t="str">
            <v>LA</v>
          </cell>
          <cell r="AL114" t="str">
            <v/>
          </cell>
        </row>
        <row r="115">
          <cell r="G115">
            <v>0.27400000000000002</v>
          </cell>
          <cell r="K115">
            <v>2010292</v>
          </cell>
          <cell r="L115" t="str">
            <v>MA/D-159.50 P3 8UN CTN 1 BAG</v>
          </cell>
          <cell r="M115">
            <v>81</v>
          </cell>
          <cell r="N115">
            <v>81</v>
          </cell>
          <cell r="O115" t="str">
            <v>F_D4B</v>
          </cell>
          <cell r="P115" t="str">
            <v/>
          </cell>
          <cell r="Q115">
            <v>5040</v>
          </cell>
          <cell r="R115">
            <v>3620</v>
          </cell>
          <cell r="S115" t="str">
            <v>3620207</v>
          </cell>
          <cell r="T115" t="str">
            <v>ASP/616/6171</v>
          </cell>
          <cell r="U115" t="str">
            <v>529</v>
          </cell>
          <cell r="V115" t="str">
            <v>B8</v>
          </cell>
          <cell r="W115" t="str">
            <v/>
          </cell>
          <cell r="X115" t="str">
            <v>Sweet</v>
          </cell>
          <cell r="Z115">
            <v>4.1040000000000001</v>
          </cell>
          <cell r="AA115" t="str">
            <v>2-3Kgs 616, 1-2Kgs ASP, 0-1Kgs 6171</v>
          </cell>
          <cell r="AB115" t="str">
            <v>ASP/616/6171</v>
          </cell>
          <cell r="AC115" t="str">
            <v>NOV</v>
          </cell>
          <cell r="AD115" t="str">
            <v>Weight &lt;= 7 Kg</v>
          </cell>
          <cell r="AE115" t="str">
            <v>4</v>
          </cell>
          <cell r="AF115" t="str">
            <v/>
          </cell>
          <cell r="AG115">
            <v>12.4</v>
          </cell>
          <cell r="AH115" t="str">
            <v>50168114</v>
          </cell>
          <cell r="AI115" t="str">
            <v>1</v>
          </cell>
          <cell r="AJ115" t="str">
            <v>P110</v>
          </cell>
          <cell r="AK115" t="str">
            <v>LA</v>
          </cell>
          <cell r="AL115" t="str">
            <v/>
          </cell>
        </row>
        <row r="116">
          <cell r="G116">
            <v>6.0999999999999999E-2</v>
          </cell>
          <cell r="K116">
            <v>2074216</v>
          </cell>
          <cell r="L116" t="str">
            <v>RA/D-16.601 P3,1B 10UN CTN 1BAG</v>
          </cell>
          <cell r="M116">
            <v>18</v>
          </cell>
          <cell r="N116">
            <v>18</v>
          </cell>
          <cell r="O116" t="str">
            <v>F_D4B</v>
          </cell>
          <cell r="P116" t="str">
            <v/>
          </cell>
          <cell r="Q116">
            <v>5040</v>
          </cell>
          <cell r="R116">
            <v>3620</v>
          </cell>
          <cell r="S116" t="str">
            <v>3620207</v>
          </cell>
          <cell r="T116" t="str">
            <v>ASP/616/6171</v>
          </cell>
          <cell r="U116" t="str">
            <v>529</v>
          </cell>
          <cell r="V116" t="str">
            <v>B8</v>
          </cell>
          <cell r="W116" t="str">
            <v>1 of 1009573 (811)</v>
          </cell>
          <cell r="X116" t="str">
            <v>Sweet</v>
          </cell>
          <cell r="Z116">
            <v>5.2309999999999999</v>
          </cell>
          <cell r="AA116" t="str">
            <v>2-3Kgs 616, 1-2Kgs ASP, 1-2Kgs 6171</v>
          </cell>
          <cell r="AB116" t="str">
            <v>ASP/616/6171</v>
          </cell>
          <cell r="AC116" t="str">
            <v>NOV</v>
          </cell>
          <cell r="AD116" t="str">
            <v>Weight &lt;= 7 Kg</v>
          </cell>
          <cell r="AE116" t="str">
            <v>4</v>
          </cell>
          <cell r="AF116" t="str">
            <v/>
          </cell>
          <cell r="AG116">
            <v>12.9</v>
          </cell>
          <cell r="AH116" t="str">
            <v>50183564</v>
          </cell>
          <cell r="AI116" t="str">
            <v>1</v>
          </cell>
          <cell r="AJ116" t="str">
            <v>P110</v>
          </cell>
          <cell r="AK116" t="str">
            <v>LA</v>
          </cell>
          <cell r="AL116" t="str">
            <v/>
          </cell>
        </row>
        <row r="117">
          <cell r="G117">
            <v>0.10299999999999999</v>
          </cell>
          <cell r="K117">
            <v>2015614</v>
          </cell>
          <cell r="L117" t="str">
            <v>GR/D-373.50 P3 20UN CTN 1 BAG</v>
          </cell>
          <cell r="M117">
            <v>18</v>
          </cell>
          <cell r="N117">
            <v>18</v>
          </cell>
          <cell r="O117" t="str">
            <v>F_D4B</v>
          </cell>
          <cell r="P117" t="str">
            <v/>
          </cell>
          <cell r="Q117">
            <v>5040</v>
          </cell>
          <cell r="R117">
            <v>3620</v>
          </cell>
          <cell r="S117" t="str">
            <v>3620214</v>
          </cell>
          <cell r="T117" t="str">
            <v>ASP/616/6171</v>
          </cell>
          <cell r="U117" t="str">
            <v>529</v>
          </cell>
          <cell r="V117" t="str">
            <v>B8</v>
          </cell>
          <cell r="W117" t="str">
            <v/>
          </cell>
          <cell r="X117" t="str">
            <v>Sweet</v>
          </cell>
          <cell r="Z117">
            <v>12.916</v>
          </cell>
          <cell r="AA117" t="str">
            <v>6-7Kgs 616, 3-4Kgs ASP, 2-3Kgs 6171</v>
          </cell>
          <cell r="AB117" t="str">
            <v>ASP/616/6171</v>
          </cell>
          <cell r="AC117" t="str">
            <v>NOV</v>
          </cell>
          <cell r="AD117" t="str">
            <v>Weight &gt; 7 Kg</v>
          </cell>
          <cell r="AE117" t="str">
            <v>4</v>
          </cell>
          <cell r="AF117" t="str">
            <v/>
          </cell>
          <cell r="AG117">
            <v>17</v>
          </cell>
          <cell r="AH117" t="str">
            <v>50168867</v>
          </cell>
          <cell r="AI117" t="str">
            <v>1</v>
          </cell>
          <cell r="AJ117" t="str">
            <v>P110</v>
          </cell>
          <cell r="AK117" t="str">
            <v>LA</v>
          </cell>
          <cell r="AL117" t="str">
            <v/>
          </cell>
        </row>
        <row r="118">
          <cell r="G118">
            <v>0.27400000000000002</v>
          </cell>
          <cell r="K118">
            <v>2050143</v>
          </cell>
          <cell r="L118" t="str">
            <v>MA/B/6-160.001 P3,1B,1D 0.5UN CTN 1BAG</v>
          </cell>
          <cell r="M118">
            <v>81</v>
          </cell>
          <cell r="N118">
            <v>81</v>
          </cell>
          <cell r="O118" t="str">
            <v>F_D4B</v>
          </cell>
          <cell r="P118" t="str">
            <v/>
          </cell>
          <cell r="Q118">
            <v>5040</v>
          </cell>
          <cell r="R118">
            <v>3615</v>
          </cell>
          <cell r="S118" t="str">
            <v>3615207</v>
          </cell>
          <cell r="T118" t="str">
            <v>616/6171</v>
          </cell>
          <cell r="U118" t="str">
            <v>529</v>
          </cell>
          <cell r="V118" t="str">
            <v>B8</v>
          </cell>
          <cell r="W118" t="str">
            <v>1 of 1498401 (811), 1 of 1498403 (7635)</v>
          </cell>
          <cell r="X118" t="str">
            <v>Sweet</v>
          </cell>
          <cell r="Z118">
            <v>0.44400000000000001</v>
          </cell>
          <cell r="AA118" t="str">
            <v>0-1Kgs 616, 0-1Kgs 6171</v>
          </cell>
          <cell r="AB118" t="str">
            <v>616/6171</v>
          </cell>
          <cell r="AC118" t="str">
            <v>NOV</v>
          </cell>
          <cell r="AD118" t="str">
            <v>Weight &lt;= 7 Kg</v>
          </cell>
          <cell r="AE118" t="str">
            <v>4</v>
          </cell>
          <cell r="AF118" t="str">
            <v/>
          </cell>
          <cell r="AG118">
            <v>12.3</v>
          </cell>
          <cell r="AH118" t="str">
            <v>50181220</v>
          </cell>
          <cell r="AI118" t="str">
            <v>1</v>
          </cell>
          <cell r="AJ118" t="str">
            <v>P110</v>
          </cell>
          <cell r="AK118" t="str">
            <v>LA</v>
          </cell>
          <cell r="AL118" t="str">
            <v/>
          </cell>
        </row>
        <row r="119">
          <cell r="G119">
            <v>0.73</v>
          </cell>
          <cell r="K119">
            <v>1976339</v>
          </cell>
          <cell r="L119" t="str">
            <v>OR/B-56.97 P3 20UN CTN 4 BAGS</v>
          </cell>
          <cell r="M119">
            <v>54</v>
          </cell>
          <cell r="N119">
            <v>216</v>
          </cell>
          <cell r="O119" t="str">
            <v>F_D4B</v>
          </cell>
          <cell r="P119" t="str">
            <v/>
          </cell>
          <cell r="Q119">
            <v>5040</v>
          </cell>
          <cell r="R119">
            <v>3615</v>
          </cell>
          <cell r="S119" t="str">
            <v>3615207</v>
          </cell>
          <cell r="T119" t="str">
            <v>616/6171</v>
          </cell>
          <cell r="U119" t="str">
            <v>529</v>
          </cell>
          <cell r="V119" t="str">
            <v>B8</v>
          </cell>
          <cell r="W119" t="str">
            <v/>
          </cell>
          <cell r="X119" t="str">
            <v>Sweet</v>
          </cell>
          <cell r="Z119">
            <v>1.3540000000000001</v>
          </cell>
          <cell r="AA119" t="str">
            <v>0-1Kgs 616, 0-1Kgs 6171</v>
          </cell>
          <cell r="AB119" t="str">
            <v>616/6171</v>
          </cell>
          <cell r="AC119" t="str">
            <v>NOV</v>
          </cell>
          <cell r="AD119" t="str">
            <v>Weight &lt;= 7 Kg</v>
          </cell>
          <cell r="AE119" t="str">
            <v>4</v>
          </cell>
          <cell r="AF119" t="str">
            <v/>
          </cell>
          <cell r="AG119">
            <v>12.3</v>
          </cell>
          <cell r="AH119" t="str">
            <v>50163590</v>
          </cell>
          <cell r="AI119" t="str">
            <v>1</v>
          </cell>
          <cell r="AJ119" t="str">
            <v>P110</v>
          </cell>
          <cell r="AK119" t="str">
            <v>LA</v>
          </cell>
          <cell r="AL119" t="str">
            <v/>
          </cell>
        </row>
        <row r="120">
          <cell r="G120">
            <v>0.10100000000000001</v>
          </cell>
          <cell r="K120">
            <v>1928211</v>
          </cell>
          <cell r="L120" t="str">
            <v>OR/B-1687.001 P3,1B,1C,1D 4UN CTN 1 BAG</v>
          </cell>
          <cell r="M120">
            <v>30</v>
          </cell>
          <cell r="N120">
            <v>30</v>
          </cell>
          <cell r="O120" t="str">
            <v>F_D4B</v>
          </cell>
          <cell r="P120" t="str">
            <v/>
          </cell>
          <cell r="Q120">
            <v>5040</v>
          </cell>
          <cell r="R120">
            <v>3615</v>
          </cell>
          <cell r="S120" t="str">
            <v>3615207</v>
          </cell>
          <cell r="T120" t="str">
            <v>616/6171</v>
          </cell>
          <cell r="U120" t="str">
            <v>529</v>
          </cell>
          <cell r="V120" t="str">
            <v>B8</v>
          </cell>
          <cell r="W120" t="str">
            <v>1 of 1726597 (811), 1 of 1726596 (/7635.4), 1 of 1726595 (/7534.3)</v>
          </cell>
          <cell r="X120" t="str">
            <v>Sweet</v>
          </cell>
          <cell r="Z120">
            <v>1.4730000000000001</v>
          </cell>
          <cell r="AA120" t="str">
            <v>0-1Kgs 6171, 0-1Kgs 616</v>
          </cell>
          <cell r="AB120" t="str">
            <v>616/6171</v>
          </cell>
          <cell r="AC120" t="str">
            <v>NOV</v>
          </cell>
          <cell r="AD120" t="str">
            <v>Weight &lt;= 7 Kg</v>
          </cell>
          <cell r="AE120" t="str">
            <v>4</v>
          </cell>
          <cell r="AF120" t="str">
            <v/>
          </cell>
          <cell r="AG120">
            <v>17.3</v>
          </cell>
          <cell r="AH120" t="str">
            <v>50153775</v>
          </cell>
          <cell r="AI120" t="str">
            <v>1</v>
          </cell>
          <cell r="AJ120" t="str">
            <v>P110</v>
          </cell>
          <cell r="AK120" t="str">
            <v>LA</v>
          </cell>
          <cell r="AL120" t="str">
            <v/>
          </cell>
        </row>
        <row r="121">
          <cell r="G121">
            <v>1.552</v>
          </cell>
          <cell r="K121">
            <v>1945612</v>
          </cell>
          <cell r="L121" t="str">
            <v>DB-2132.891 P3,1B,1C 8UN CTN 1 BAG</v>
          </cell>
          <cell r="M121">
            <v>459</v>
          </cell>
          <cell r="N121">
            <v>459</v>
          </cell>
          <cell r="O121" t="str">
            <v>F_D4B</v>
          </cell>
          <cell r="P121" t="str">
            <v/>
          </cell>
          <cell r="Q121">
            <v>5040</v>
          </cell>
          <cell r="R121">
            <v>3615</v>
          </cell>
          <cell r="S121" t="str">
            <v>3615207</v>
          </cell>
          <cell r="T121" t="str">
            <v>616/6171</v>
          </cell>
          <cell r="U121" t="str">
            <v>529</v>
          </cell>
          <cell r="V121" t="str">
            <v>B8</v>
          </cell>
          <cell r="W121" t="str">
            <v>1 of 1812532 (SBZ), 1 of 1811303 (TSO)</v>
          </cell>
          <cell r="X121" t="str">
            <v>Sweet</v>
          </cell>
          <cell r="Z121">
            <v>4.5709999999999997</v>
          </cell>
          <cell r="AA121" t="str">
            <v>2-3Kgs 6171, 1-2Kgs 616</v>
          </cell>
          <cell r="AB121" t="str">
            <v>616/6171</v>
          </cell>
          <cell r="AC121" t="str">
            <v>NOV</v>
          </cell>
          <cell r="AD121" t="str">
            <v>Weight &lt;= 7 Kg</v>
          </cell>
          <cell r="AE121" t="str">
            <v>4</v>
          </cell>
          <cell r="AF121" t="str">
            <v/>
          </cell>
          <cell r="AG121">
            <v>6.9</v>
          </cell>
          <cell r="AH121" t="str">
            <v>50157319</v>
          </cell>
          <cell r="AI121" t="str">
            <v>1</v>
          </cell>
          <cell r="AJ121" t="str">
            <v>P110</v>
          </cell>
          <cell r="AK121" t="str">
            <v>LA</v>
          </cell>
          <cell r="AL121" t="str">
            <v/>
          </cell>
        </row>
        <row r="122">
          <cell r="G122">
            <v>0.51700000000000002</v>
          </cell>
          <cell r="K122">
            <v>2009611</v>
          </cell>
          <cell r="L122" t="str">
            <v>OR/B-1649.001 P3,1B 16UN CTN 1BAG</v>
          </cell>
          <cell r="M122">
            <v>135</v>
          </cell>
          <cell r="N122">
            <v>135</v>
          </cell>
          <cell r="O122" t="str">
            <v>F_D4B</v>
          </cell>
          <cell r="P122" t="str">
            <v/>
          </cell>
          <cell r="Q122">
            <v>5040</v>
          </cell>
          <cell r="R122">
            <v>3615</v>
          </cell>
          <cell r="S122" t="str">
            <v>3615214</v>
          </cell>
          <cell r="T122" t="str">
            <v>616/6171</v>
          </cell>
          <cell r="U122" t="str">
            <v>529</v>
          </cell>
          <cell r="V122" t="str">
            <v>B8</v>
          </cell>
          <cell r="W122" t="str">
            <v>2 of 1306533 (SBZ/811)</v>
          </cell>
          <cell r="X122" t="str">
            <v>Sweet</v>
          </cell>
          <cell r="Z122">
            <v>8.2560000000000002</v>
          </cell>
          <cell r="AA122" t="str">
            <v>6-7Kgs 616, 2-3Kgs 6171</v>
          </cell>
          <cell r="AB122" t="str">
            <v>616/6171</v>
          </cell>
          <cell r="AC122" t="str">
            <v>NOV</v>
          </cell>
          <cell r="AD122" t="str">
            <v>Weight &gt; 7 Kg</v>
          </cell>
          <cell r="AE122" t="str">
            <v>4</v>
          </cell>
          <cell r="AF122" t="str">
            <v/>
          </cell>
          <cell r="AG122">
            <v>18</v>
          </cell>
          <cell r="AH122" t="str">
            <v>50169225</v>
          </cell>
          <cell r="AI122" t="str">
            <v>1</v>
          </cell>
          <cell r="AJ122" t="str">
            <v>P110</v>
          </cell>
          <cell r="AK122" t="str">
            <v>LA</v>
          </cell>
          <cell r="AL122" t="str">
            <v/>
          </cell>
        </row>
        <row r="123">
          <cell r="G123">
            <v>0.23899999999999999</v>
          </cell>
          <cell r="K123">
            <v>1985104</v>
          </cell>
          <cell r="L123" t="str">
            <v>LE/D-718.50 P3 12UN CTN 2 BAGS</v>
          </cell>
          <cell r="M123">
            <v>27</v>
          </cell>
          <cell r="N123">
            <v>54</v>
          </cell>
          <cell r="O123" t="str">
            <v>F_D4B</v>
          </cell>
          <cell r="P123" t="str">
            <v/>
          </cell>
          <cell r="Q123">
            <v>5040</v>
          </cell>
          <cell r="R123">
            <v>3615</v>
          </cell>
          <cell r="S123" t="str">
            <v>3615207</v>
          </cell>
          <cell r="T123" t="str">
            <v>616/609/6171</v>
          </cell>
          <cell r="U123" t="str">
            <v>529</v>
          </cell>
          <cell r="V123" t="str">
            <v>B8</v>
          </cell>
          <cell r="W123" t="str">
            <v/>
          </cell>
          <cell r="X123" t="str">
            <v>Sweet</v>
          </cell>
          <cell r="Z123">
            <v>6.42</v>
          </cell>
          <cell r="AA123" t="str">
            <v>2-3Kgs 609, 2-3Kgs 616, 0-1Kgs 6171</v>
          </cell>
          <cell r="AB123" t="str">
            <v>616/6171</v>
          </cell>
          <cell r="AC123" t="str">
            <v>NOV</v>
          </cell>
          <cell r="AD123" t="str">
            <v>Weight &lt;= 7 Kg</v>
          </cell>
          <cell r="AE123" t="str">
            <v>4</v>
          </cell>
          <cell r="AF123" t="str">
            <v/>
          </cell>
          <cell r="AG123">
            <v>17.8</v>
          </cell>
          <cell r="AH123" t="str">
            <v>50164303</v>
          </cell>
          <cell r="AI123" t="str">
            <v>1</v>
          </cell>
          <cell r="AJ123" t="str">
            <v>P110</v>
          </cell>
          <cell r="AK123" t="str">
            <v>LA</v>
          </cell>
          <cell r="AL123" t="str">
            <v/>
          </cell>
        </row>
        <row r="124">
          <cell r="G124">
            <v>0.47699999999999998</v>
          </cell>
          <cell r="K124">
            <v>2005076</v>
          </cell>
          <cell r="L124" t="str">
            <v>MN/D-273.50 P3,1 12UN CTN</v>
          </cell>
          <cell r="M124">
            <v>108</v>
          </cell>
          <cell r="N124">
            <v>108</v>
          </cell>
          <cell r="O124" t="str">
            <v>F_D4B</v>
          </cell>
          <cell r="P124" t="str">
            <v/>
          </cell>
          <cell r="Q124">
            <v>5040</v>
          </cell>
          <cell r="R124">
            <v>3615</v>
          </cell>
          <cell r="S124" t="str">
            <v>3615207</v>
          </cell>
          <cell r="T124" t="str">
            <v>616/609/6171/6159</v>
          </cell>
          <cell r="U124" t="str">
            <v>529</v>
          </cell>
          <cell r="V124" t="str">
            <v>B8</v>
          </cell>
          <cell r="W124" t="str">
            <v>1 of 2005073 (TSO)</v>
          </cell>
          <cell r="X124" t="str">
            <v>Sweet</v>
          </cell>
          <cell r="Z124">
            <v>6.6120000000000001</v>
          </cell>
          <cell r="AA124" t="str">
            <v>2-3Kgs 609, 2-3Kgs 616, 0-1Kgs 6171, 0-1Kgs 6159</v>
          </cell>
          <cell r="AB124" t="str">
            <v>616/6171</v>
          </cell>
          <cell r="AC124" t="str">
            <v>NOV</v>
          </cell>
          <cell r="AD124" t="str">
            <v>Weight &lt;= 7 Kg</v>
          </cell>
          <cell r="AE124" t="str">
            <v>4</v>
          </cell>
          <cell r="AF124" t="str">
            <v/>
          </cell>
          <cell r="AG124">
            <v>12.3</v>
          </cell>
          <cell r="AH124" t="str">
            <v>50167683</v>
          </cell>
          <cell r="AI124" t="str">
            <v>1</v>
          </cell>
          <cell r="AJ124" t="str">
            <v>P110</v>
          </cell>
          <cell r="AK124" t="str">
            <v>LA</v>
          </cell>
          <cell r="AL124" t="str">
            <v/>
          </cell>
        </row>
        <row r="125">
          <cell r="G125">
            <v>4.3932203389830509</v>
          </cell>
          <cell r="K125">
            <v>1705311</v>
          </cell>
          <cell r="L125" t="str">
            <v>WA/M-133.00 P1A 20UN CTN 4 BAGS</v>
          </cell>
          <cell r="M125">
            <v>324</v>
          </cell>
          <cell r="N125">
            <v>1296</v>
          </cell>
          <cell r="O125" t="str">
            <v>F_D4B</v>
          </cell>
          <cell r="P125" t="str">
            <v/>
          </cell>
          <cell r="Q125">
            <v>5040</v>
          </cell>
          <cell r="R125">
            <v>7885</v>
          </cell>
          <cell r="S125" t="str">
            <v>7885207</v>
          </cell>
          <cell r="T125">
            <v>816</v>
          </cell>
          <cell r="U125" t="str">
            <v>529</v>
          </cell>
          <cell r="V125" t="str">
            <v>B8</v>
          </cell>
          <cell r="W125" t="str">
            <v/>
          </cell>
          <cell r="X125" t="str">
            <v>Mag</v>
          </cell>
          <cell r="Z125">
            <v>2.25</v>
          </cell>
          <cell r="AA125" t="str">
            <v>2-3Kgs 816</v>
          </cell>
          <cell r="AB125" t="str">
            <v>816</v>
          </cell>
          <cell r="AC125" t="str">
            <v>NOV</v>
          </cell>
          <cell r="AD125" t="str">
            <v>Weight &lt;= 7 Kg</v>
          </cell>
          <cell r="AE125" t="str">
            <v>4</v>
          </cell>
          <cell r="AF125" t="str">
            <v/>
          </cell>
          <cell r="AG125">
            <v>9.1</v>
          </cell>
          <cell r="AH125" t="str">
            <v>50194274</v>
          </cell>
          <cell r="AI125" t="str">
            <v>1</v>
          </cell>
          <cell r="AJ125" t="str">
            <v>S140</v>
          </cell>
          <cell r="AK125" t="str">
            <v>LA</v>
          </cell>
          <cell r="AL125" t="str">
            <v/>
          </cell>
        </row>
        <row r="126">
          <cell r="G126">
            <v>0.16296296296296298</v>
          </cell>
          <cell r="K126">
            <v>1958027</v>
          </cell>
          <cell r="L126" t="str">
            <v>WIP SP/B-175.00 P1C 8UN BAG</v>
          </cell>
          <cell r="M126">
            <v>66</v>
          </cell>
          <cell r="N126">
            <v>66</v>
          </cell>
          <cell r="O126" t="str">
            <v>F_D4C</v>
          </cell>
          <cell r="P126" t="str">
            <v/>
          </cell>
          <cell r="Q126">
            <v>5040</v>
          </cell>
          <cell r="R126">
            <v>1500</v>
          </cell>
          <cell r="S126" t="str">
            <v>1500100</v>
          </cell>
          <cell r="T126" t="str">
            <v>TSO</v>
          </cell>
          <cell r="U126" t="str">
            <v>313</v>
          </cell>
          <cell r="V126" t="str">
            <v>B8</v>
          </cell>
          <cell r="W126" t="str">
            <v/>
          </cell>
          <cell r="X126" t="str">
            <v>ACT</v>
          </cell>
          <cell r="Z126">
            <v>1.84</v>
          </cell>
          <cell r="AA126" t="str">
            <v>1-2Kgs TSO</v>
          </cell>
          <cell r="AB126" t="str">
            <v>TSO</v>
          </cell>
          <cell r="AC126" t="str">
            <v>NOV</v>
          </cell>
          <cell r="AD126" t="str">
            <v>WIP</v>
          </cell>
          <cell r="AE126" t="str">
            <v>4</v>
          </cell>
          <cell r="AF126" t="str">
            <v/>
          </cell>
          <cell r="AG126">
            <v>5.2</v>
          </cell>
          <cell r="AH126" t="str">
            <v>50159488</v>
          </cell>
          <cell r="AI126" t="str">
            <v>1</v>
          </cell>
          <cell r="AJ126" t="str">
            <v>P110</v>
          </cell>
          <cell r="AK126" t="str">
            <v>LA</v>
          </cell>
          <cell r="AL126" t="str">
            <v/>
          </cell>
        </row>
        <row r="127">
          <cell r="G127">
            <v>3.098360655737705</v>
          </cell>
          <cell r="K127">
            <v>1811303</v>
          </cell>
          <cell r="L127" t="str">
            <v>WIP DJ-4251.39/69/88/4252.88 P1C 8UN L1</v>
          </cell>
          <cell r="M127">
            <v>945</v>
          </cell>
          <cell r="N127">
            <v>945</v>
          </cell>
          <cell r="O127" t="str">
            <v>F_D4C</v>
          </cell>
          <cell r="P127" t="str">
            <v/>
          </cell>
          <cell r="Q127">
            <v>5040</v>
          </cell>
          <cell r="R127">
            <v>1500</v>
          </cell>
          <cell r="S127" t="str">
            <v>1500100</v>
          </cell>
          <cell r="T127" t="str">
            <v>TSO</v>
          </cell>
          <cell r="U127" t="str">
            <v>313</v>
          </cell>
          <cell r="V127" t="str">
            <v>B8</v>
          </cell>
          <cell r="W127" t="str">
            <v/>
          </cell>
          <cell r="X127" t="str">
            <v>ACT</v>
          </cell>
          <cell r="Z127">
            <v>2.1040000000000001</v>
          </cell>
          <cell r="AA127" t="str">
            <v>2-3Kgs TSO</v>
          </cell>
          <cell r="AB127" t="str">
            <v>TSO</v>
          </cell>
          <cell r="AC127" t="str">
            <v>NOV</v>
          </cell>
          <cell r="AD127" t="str">
            <v>WIP</v>
          </cell>
          <cell r="AE127" t="str">
            <v>4</v>
          </cell>
          <cell r="AF127" t="str">
            <v/>
          </cell>
          <cell r="AG127">
            <v>5</v>
          </cell>
          <cell r="AH127" t="str">
            <v>50144898</v>
          </cell>
          <cell r="AI127" t="str">
            <v>1</v>
          </cell>
          <cell r="AJ127" t="str">
            <v>P110</v>
          </cell>
          <cell r="AK127" t="str">
            <v>LA</v>
          </cell>
          <cell r="AL127" t="str">
            <v/>
          </cell>
        </row>
        <row r="128">
          <cell r="G128">
            <v>1.4163934426229507</v>
          </cell>
          <cell r="K128">
            <v>1135003</v>
          </cell>
          <cell r="L128" t="str">
            <v>WIP TE/MA-7.00/TE/MN-4.00 P1C 2UN BAG</v>
          </cell>
          <cell r="M128">
            <v>432</v>
          </cell>
          <cell r="N128">
            <v>432</v>
          </cell>
          <cell r="O128" t="str">
            <v>F_D4C</v>
          </cell>
          <cell r="P128" t="str">
            <v/>
          </cell>
          <cell r="Q128">
            <v>5040</v>
          </cell>
          <cell r="R128">
            <v>1500</v>
          </cell>
          <cell r="S128" t="str">
            <v>1500100</v>
          </cell>
          <cell r="T128" t="str">
            <v>TSO</v>
          </cell>
          <cell r="U128" t="str">
            <v>313</v>
          </cell>
          <cell r="V128" t="str">
            <v>B8</v>
          </cell>
          <cell r="W128" t="str">
            <v/>
          </cell>
          <cell r="X128" t="str">
            <v>ACT</v>
          </cell>
          <cell r="Z128">
            <v>2.4</v>
          </cell>
          <cell r="AA128" t="str">
            <v>2-3Kgs TSO</v>
          </cell>
          <cell r="AB128" t="str">
            <v>TSO</v>
          </cell>
          <cell r="AC128" t="str">
            <v>NOV</v>
          </cell>
          <cell r="AD128" t="str">
            <v>WIP</v>
          </cell>
          <cell r="AE128" t="str">
            <v>4</v>
          </cell>
          <cell r="AF128" t="str">
            <v/>
          </cell>
          <cell r="AG128">
            <v>5.9</v>
          </cell>
          <cell r="AH128" t="str">
            <v>50147835</v>
          </cell>
          <cell r="AI128" t="str">
            <v>1</v>
          </cell>
          <cell r="AJ128" t="str">
            <v>P110</v>
          </cell>
          <cell r="AK128" t="str">
            <v>LA</v>
          </cell>
          <cell r="AL128" t="str">
            <v/>
          </cell>
        </row>
        <row r="129">
          <cell r="G129">
            <v>0.52682926829268295</v>
          </cell>
          <cell r="K129">
            <v>2005073</v>
          </cell>
          <cell r="L129" t="str">
            <v>WIP MN/D-273.50 P1 12UN BAG</v>
          </cell>
          <cell r="M129">
            <v>108</v>
          </cell>
          <cell r="N129">
            <v>108</v>
          </cell>
          <cell r="O129" t="str">
            <v>F_D4C</v>
          </cell>
          <cell r="P129" t="str">
            <v/>
          </cell>
          <cell r="Q129">
            <v>5040</v>
          </cell>
          <cell r="R129">
            <v>1500</v>
          </cell>
          <cell r="S129" t="str">
            <v>1500100</v>
          </cell>
          <cell r="T129" t="str">
            <v>TSO</v>
          </cell>
          <cell r="U129" t="str">
            <v>313</v>
          </cell>
          <cell r="V129" t="str">
            <v>B8</v>
          </cell>
          <cell r="W129" t="str">
            <v/>
          </cell>
          <cell r="X129" t="str">
            <v>ACT</v>
          </cell>
          <cell r="Z129">
            <v>3.6</v>
          </cell>
          <cell r="AA129" t="str">
            <v>3-4Kgs TSO</v>
          </cell>
          <cell r="AB129" t="str">
            <v>TSO</v>
          </cell>
          <cell r="AC129" t="str">
            <v>NOV</v>
          </cell>
          <cell r="AD129" t="str">
            <v>WIP</v>
          </cell>
          <cell r="AE129" t="str">
            <v>4</v>
          </cell>
          <cell r="AF129" t="str">
            <v/>
          </cell>
          <cell r="AG129">
            <v>5.3</v>
          </cell>
          <cell r="AH129" t="str">
            <v>50168701</v>
          </cell>
          <cell r="AI129" t="str">
            <v>1</v>
          </cell>
          <cell r="AJ129" t="str">
            <v>P110</v>
          </cell>
          <cell r="AK129" t="str">
            <v>LA</v>
          </cell>
          <cell r="AL129" t="str">
            <v/>
          </cell>
        </row>
        <row r="130">
          <cell r="G130">
            <v>0.10617283950617284</v>
          </cell>
          <cell r="K130">
            <v>1684601</v>
          </cell>
          <cell r="L130" t="str">
            <v>WIP DJ-4251.69 P1C 1UN BAG</v>
          </cell>
          <cell r="M130">
            <v>43</v>
          </cell>
          <cell r="N130">
            <v>43</v>
          </cell>
          <cell r="O130" t="str">
            <v>F_D4C</v>
          </cell>
          <cell r="P130" t="str">
            <v/>
          </cell>
          <cell r="Q130">
            <v>5040</v>
          </cell>
          <cell r="R130">
            <v>1500</v>
          </cell>
          <cell r="S130" t="str">
            <v>1500100</v>
          </cell>
          <cell r="T130" t="str">
            <v>TSO</v>
          </cell>
          <cell r="U130" t="str">
            <v>313</v>
          </cell>
          <cell r="V130" t="str">
            <v>B8</v>
          </cell>
          <cell r="W130" t="str">
            <v/>
          </cell>
          <cell r="X130" t="str">
            <v>ACT</v>
          </cell>
          <cell r="Z130">
            <v>0.26300000000000001</v>
          </cell>
          <cell r="AA130" t="str">
            <v>0-1Kgs TSO</v>
          </cell>
          <cell r="AB130" t="str">
            <v>TSO</v>
          </cell>
          <cell r="AC130" t="str">
            <v>NOV</v>
          </cell>
          <cell r="AD130" t="str">
            <v>WIP</v>
          </cell>
          <cell r="AE130" t="str">
            <v>4</v>
          </cell>
          <cell r="AF130" t="str">
            <v/>
          </cell>
          <cell r="AG130">
            <v>11</v>
          </cell>
          <cell r="AH130" t="str">
            <v>50143388</v>
          </cell>
          <cell r="AI130" t="str">
            <v>1</v>
          </cell>
          <cell r="AJ130" t="str">
            <v>P110</v>
          </cell>
          <cell r="AK130" t="str">
            <v>LA</v>
          </cell>
          <cell r="AL130" t="str">
            <v/>
          </cell>
        </row>
        <row r="131">
          <cell r="G131">
            <v>2.124590163934426</v>
          </cell>
          <cell r="K131">
            <v>1843873</v>
          </cell>
          <cell r="L131" t="str">
            <v>WIP TE/MA-7.00/TE/MN-4.00 P1C 2UN BAG CQ</v>
          </cell>
          <cell r="M131">
            <v>648</v>
          </cell>
          <cell r="N131">
            <v>648</v>
          </cell>
          <cell r="O131" t="str">
            <v>F_D4C</v>
          </cell>
          <cell r="P131" t="str">
            <v/>
          </cell>
          <cell r="Q131">
            <v>5040</v>
          </cell>
          <cell r="R131">
            <v>1500</v>
          </cell>
          <cell r="S131" t="str">
            <v>1500100</v>
          </cell>
          <cell r="T131" t="str">
            <v>TSO</v>
          </cell>
          <cell r="U131" t="str">
            <v>313</v>
          </cell>
          <cell r="V131" t="str">
            <v>B8</v>
          </cell>
          <cell r="W131" t="str">
            <v/>
          </cell>
          <cell r="X131" t="str">
            <v>ACT</v>
          </cell>
          <cell r="Z131">
            <v>2.4</v>
          </cell>
          <cell r="AA131" t="str">
            <v>2-3Kgs TSO</v>
          </cell>
          <cell r="AB131" t="str">
            <v>TSO</v>
          </cell>
          <cell r="AC131" t="str">
            <v>NOV</v>
          </cell>
          <cell r="AD131" t="str">
            <v>WIP</v>
          </cell>
          <cell r="AE131" t="str">
            <v>4</v>
          </cell>
          <cell r="AF131" t="str">
            <v/>
          </cell>
          <cell r="AG131">
            <v>11.9</v>
          </cell>
          <cell r="AH131" t="str">
            <v>50149065</v>
          </cell>
          <cell r="AI131" t="str">
            <v>1</v>
          </cell>
          <cell r="AJ131" t="str">
            <v>P110</v>
          </cell>
          <cell r="AK131" t="str">
            <v>LA</v>
          </cell>
          <cell r="AL131" t="str">
            <v/>
          </cell>
        </row>
        <row r="132">
          <cell r="G132">
            <v>0.24691358024691357</v>
          </cell>
          <cell r="K132">
            <v>1434193</v>
          </cell>
          <cell r="L132" t="str">
            <v>WIP PART 1B 0.450KG 1UN (811)</v>
          </cell>
          <cell r="M132">
            <v>100</v>
          </cell>
          <cell r="N132">
            <v>100</v>
          </cell>
          <cell r="O132" t="str">
            <v>F_D4C</v>
          </cell>
          <cell r="P132" t="str">
            <v/>
          </cell>
          <cell r="Q132">
            <v>5040</v>
          </cell>
          <cell r="R132">
            <v>2200</v>
          </cell>
          <cell r="S132" t="str">
            <v>2200100</v>
          </cell>
          <cell r="T132">
            <v>811</v>
          </cell>
          <cell r="U132" t="str">
            <v>313</v>
          </cell>
          <cell r="V132" t="str">
            <v>B8</v>
          </cell>
          <cell r="W132" t="str">
            <v/>
          </cell>
          <cell r="X132" t="str">
            <v>SBZ/811</v>
          </cell>
          <cell r="Z132">
            <v>0.5</v>
          </cell>
          <cell r="AA132" t="str">
            <v>0-1Kgs 811</v>
          </cell>
          <cell r="AB132" t="str">
            <v>811</v>
          </cell>
          <cell r="AC132" t="str">
            <v>NOV</v>
          </cell>
          <cell r="AD132" t="str">
            <v>WIP</v>
          </cell>
          <cell r="AE132" t="str">
            <v>4</v>
          </cell>
          <cell r="AF132" t="str">
            <v/>
          </cell>
          <cell r="AG132">
            <v>10.9</v>
          </cell>
          <cell r="AH132" t="str">
            <v>50147983</v>
          </cell>
          <cell r="AI132" t="str">
            <v>1</v>
          </cell>
          <cell r="AJ132" t="str">
            <v>P110</v>
          </cell>
          <cell r="AK132" t="str">
            <v>LA</v>
          </cell>
          <cell r="AL132" t="str">
            <v/>
          </cell>
        </row>
        <row r="133">
          <cell r="G133">
            <v>1.6</v>
          </cell>
          <cell r="K133">
            <v>1379547</v>
          </cell>
          <cell r="L133" t="str">
            <v>WIP PART 1B 0.814KG 1UN BAG (811)</v>
          </cell>
          <cell r="M133">
            <v>648</v>
          </cell>
          <cell r="N133">
            <v>648</v>
          </cell>
          <cell r="O133" t="str">
            <v>F_D4C</v>
          </cell>
          <cell r="P133" t="str">
            <v/>
          </cell>
          <cell r="Q133">
            <v>5040</v>
          </cell>
          <cell r="R133">
            <v>2200</v>
          </cell>
          <cell r="S133" t="str">
            <v>2200100</v>
          </cell>
          <cell r="T133">
            <v>811</v>
          </cell>
          <cell r="U133" t="str">
            <v>313</v>
          </cell>
          <cell r="V133" t="str">
            <v>B8</v>
          </cell>
          <cell r="W133" t="str">
            <v/>
          </cell>
          <cell r="X133" t="str">
            <v>SBZ/811</v>
          </cell>
          <cell r="Z133">
            <v>0.8</v>
          </cell>
          <cell r="AA133" t="str">
            <v>0-1Kgs 811</v>
          </cell>
          <cell r="AB133" t="str">
            <v>811</v>
          </cell>
          <cell r="AC133" t="str">
            <v>NOV</v>
          </cell>
          <cell r="AD133" t="str">
            <v>WIP</v>
          </cell>
          <cell r="AE133" t="str">
            <v>4</v>
          </cell>
          <cell r="AF133" t="str">
            <v/>
          </cell>
          <cell r="AG133">
            <v>6</v>
          </cell>
          <cell r="AH133" t="str">
            <v>50140487</v>
          </cell>
          <cell r="AI133" t="str">
            <v>1</v>
          </cell>
          <cell r="AJ133" t="str">
            <v>P110</v>
          </cell>
          <cell r="AK133" t="str">
            <v>LA</v>
          </cell>
          <cell r="AL133" t="str">
            <v/>
          </cell>
        </row>
        <row r="134">
          <cell r="G134">
            <v>0.29032258064516131</v>
          </cell>
          <cell r="K134">
            <v>2003364</v>
          </cell>
          <cell r="L134" t="str">
            <v>WIP LE/B-168.901 P1B 10UN BAG</v>
          </cell>
          <cell r="M134">
            <v>45</v>
          </cell>
          <cell r="N134">
            <v>45</v>
          </cell>
          <cell r="O134" t="str">
            <v>F_D4C</v>
          </cell>
          <cell r="P134" t="str">
            <v/>
          </cell>
          <cell r="Q134">
            <v>5040</v>
          </cell>
          <cell r="R134">
            <v>2200</v>
          </cell>
          <cell r="S134" t="str">
            <v>2200100</v>
          </cell>
          <cell r="T134">
            <v>811</v>
          </cell>
          <cell r="U134" t="str">
            <v>313</v>
          </cell>
          <cell r="V134" t="str">
            <v>C1</v>
          </cell>
          <cell r="W134" t="str">
            <v/>
          </cell>
          <cell r="X134" t="str">
            <v>SBZ/811</v>
          </cell>
          <cell r="Z134">
            <v>3.738</v>
          </cell>
          <cell r="AA134" t="str">
            <v>3-4Kgs 811</v>
          </cell>
          <cell r="AB134" t="str">
            <v>811</v>
          </cell>
          <cell r="AC134" t="str">
            <v>NOV</v>
          </cell>
          <cell r="AD134" t="str">
            <v>WIP</v>
          </cell>
          <cell r="AE134" t="str">
            <v>4</v>
          </cell>
          <cell r="AF134" t="str">
            <v/>
          </cell>
          <cell r="AG134">
            <v>10</v>
          </cell>
          <cell r="AH134" t="str">
            <v>50170377</v>
          </cell>
          <cell r="AI134" t="str">
            <v>1</v>
          </cell>
          <cell r="AJ134" t="str">
            <v>P110</v>
          </cell>
          <cell r="AK134" t="str">
            <v>LA</v>
          </cell>
          <cell r="AL134" t="str">
            <v/>
          </cell>
        </row>
        <row r="135">
          <cell r="G135">
            <v>0.17419354838709677</v>
          </cell>
          <cell r="K135">
            <v>2003376</v>
          </cell>
          <cell r="L135" t="str">
            <v>WIP PART 1B 4.5KG 12UN BAG (811)</v>
          </cell>
          <cell r="M135">
            <v>27</v>
          </cell>
          <cell r="N135">
            <v>27</v>
          </cell>
          <cell r="O135" t="str">
            <v>F_D4C</v>
          </cell>
          <cell r="P135" t="str">
            <v/>
          </cell>
          <cell r="Q135">
            <v>5040</v>
          </cell>
          <cell r="R135">
            <v>2200</v>
          </cell>
          <cell r="S135" t="str">
            <v>2200100</v>
          </cell>
          <cell r="T135">
            <v>811</v>
          </cell>
          <cell r="U135" t="str">
            <v>313</v>
          </cell>
          <cell r="V135" t="str">
            <v>B8</v>
          </cell>
          <cell r="W135" t="str">
            <v/>
          </cell>
          <cell r="X135" t="str">
            <v>SBZ/811</v>
          </cell>
          <cell r="Z135">
            <v>4.5</v>
          </cell>
          <cell r="AA135" t="str">
            <v>4-5Kgs 811</v>
          </cell>
          <cell r="AB135" t="str">
            <v>811</v>
          </cell>
          <cell r="AC135" t="str">
            <v>NOV</v>
          </cell>
          <cell r="AD135" t="str">
            <v>WIP</v>
          </cell>
          <cell r="AE135" t="str">
            <v>4</v>
          </cell>
          <cell r="AF135" t="str">
            <v/>
          </cell>
          <cell r="AG135">
            <v>10</v>
          </cell>
          <cell r="AH135" t="str">
            <v>50166313</v>
          </cell>
          <cell r="AI135" t="str">
            <v>1</v>
          </cell>
          <cell r="AJ135" t="str">
            <v>P110</v>
          </cell>
          <cell r="AK135" t="str">
            <v>LA</v>
          </cell>
          <cell r="AL135" t="str">
            <v/>
          </cell>
        </row>
        <row r="136">
          <cell r="G136">
            <v>0.23606557377049181</v>
          </cell>
          <cell r="K136">
            <v>1985096</v>
          </cell>
          <cell r="L136" t="str">
            <v>WIP LE/D-718.50 P3A 6UN BAG</v>
          </cell>
          <cell r="M136">
            <v>72</v>
          </cell>
          <cell r="N136">
            <v>72</v>
          </cell>
          <cell r="O136" t="str">
            <v>F_D4E</v>
          </cell>
          <cell r="P136" t="str">
            <v/>
          </cell>
          <cell r="Q136">
            <v>5040</v>
          </cell>
          <cell r="R136">
            <v>6159</v>
          </cell>
          <cell r="S136" t="str">
            <v>6159100</v>
          </cell>
          <cell r="T136">
            <v>6159</v>
          </cell>
          <cell r="U136" t="str">
            <v>313</v>
          </cell>
          <cell r="V136" t="str">
            <v>B8</v>
          </cell>
          <cell r="W136" t="str">
            <v/>
          </cell>
          <cell r="X136" t="str">
            <v>Stevia</v>
          </cell>
          <cell r="Z136">
            <v>0.18</v>
          </cell>
          <cell r="AA136" t="str">
            <v>0-1Kgs 6159</v>
          </cell>
          <cell r="AB136" t="str">
            <v>6159</v>
          </cell>
          <cell r="AC136" t="str">
            <v>NOV</v>
          </cell>
          <cell r="AD136" t="str">
            <v>WIP</v>
          </cell>
          <cell r="AE136" t="str">
            <v>4</v>
          </cell>
          <cell r="AF136" t="str">
            <v/>
          </cell>
          <cell r="AG136">
            <v>5.9</v>
          </cell>
          <cell r="AH136" t="str">
            <v>50164302</v>
          </cell>
          <cell r="AI136" t="str">
            <v>1</v>
          </cell>
          <cell r="AJ136" t="str">
            <v>P110</v>
          </cell>
          <cell r="AK136" t="str">
            <v>LA</v>
          </cell>
          <cell r="AL136" t="str">
            <v/>
          </cell>
        </row>
        <row r="137">
          <cell r="G137">
            <v>0.78688524590163933</v>
          </cell>
          <cell r="K137">
            <v>1662894</v>
          </cell>
          <cell r="L137" t="str">
            <v>GENERIC REBIANA 8.00KG CTN 10 BAGS</v>
          </cell>
          <cell r="M137">
            <v>192</v>
          </cell>
          <cell r="N137">
            <v>240</v>
          </cell>
          <cell r="O137" t="str">
            <v>F_D4E</v>
          </cell>
          <cell r="P137" t="str">
            <v/>
          </cell>
          <cell r="Q137">
            <v>5040</v>
          </cell>
          <cell r="R137">
            <v>6159</v>
          </cell>
          <cell r="S137" t="str">
            <v>6159207</v>
          </cell>
          <cell r="T137">
            <v>6159</v>
          </cell>
          <cell r="U137" t="str">
            <v>530</v>
          </cell>
          <cell r="V137" t="str">
            <v>B8</v>
          </cell>
          <cell r="W137" t="str">
            <v/>
          </cell>
          <cell r="X137" t="str">
            <v>Stevia</v>
          </cell>
          <cell r="Z137">
            <v>0.8</v>
          </cell>
          <cell r="AA137" t="str">
            <v>0-1Kgs 6159</v>
          </cell>
          <cell r="AB137" t="str">
            <v>6159</v>
          </cell>
          <cell r="AC137" t="str">
            <v>NOV</v>
          </cell>
          <cell r="AD137" t="str">
            <v>Weight &lt;= 7 Kg</v>
          </cell>
          <cell r="AE137" t="str">
            <v>4</v>
          </cell>
          <cell r="AF137" t="str">
            <v/>
          </cell>
          <cell r="AG137">
            <v>6</v>
          </cell>
          <cell r="AH137" t="str">
            <v>50143248</v>
          </cell>
          <cell r="AI137" t="str">
            <v>1</v>
          </cell>
          <cell r="AJ137" t="str">
            <v>P110</v>
          </cell>
          <cell r="AK137" t="str">
            <v>LA</v>
          </cell>
          <cell r="AL137" t="str">
            <v>RMV EXC AIR 10 BG/CT</v>
          </cell>
        </row>
        <row r="138">
          <cell r="G138">
            <v>1.2705882352941176</v>
          </cell>
          <cell r="K138">
            <v>1944610</v>
          </cell>
          <cell r="L138" t="str">
            <v>WIP TE/PE/B-35.00 P3 6UN BAG</v>
          </cell>
          <cell r="M138">
            <v>324</v>
          </cell>
          <cell r="N138">
            <v>324</v>
          </cell>
          <cell r="O138" t="str">
            <v>F_D4E</v>
          </cell>
          <cell r="P138" t="str">
            <v/>
          </cell>
          <cell r="Q138">
            <v>5040</v>
          </cell>
          <cell r="R138">
            <v>6320</v>
          </cell>
          <cell r="S138" t="str">
            <v>6320100</v>
          </cell>
          <cell r="T138" t="str">
            <v>6154.1 STEVIA LEAF</v>
          </cell>
          <cell r="U138" t="str">
            <v>313</v>
          </cell>
          <cell r="V138" t="str">
            <v>B8</v>
          </cell>
          <cell r="W138" t="str">
            <v/>
          </cell>
          <cell r="X138" t="str">
            <v>STEVIA LEAF</v>
          </cell>
          <cell r="Z138">
            <v>0.67200000000000004</v>
          </cell>
          <cell r="AA138" t="str">
            <v>0-1Kgs 6154.1</v>
          </cell>
          <cell r="AB138" t="str">
            <v>6319</v>
          </cell>
          <cell r="AC138" t="str">
            <v>NOV</v>
          </cell>
          <cell r="AD138" t="str">
            <v>WIP</v>
          </cell>
          <cell r="AE138" t="str">
            <v>4</v>
          </cell>
          <cell r="AF138" t="str">
            <v/>
          </cell>
          <cell r="AG138">
            <v>5</v>
          </cell>
          <cell r="AH138" t="str">
            <v>50155767</v>
          </cell>
          <cell r="AI138" t="str">
            <v>1</v>
          </cell>
          <cell r="AJ138" t="str">
            <v>P110</v>
          </cell>
          <cell r="AK138" t="str">
            <v>LA</v>
          </cell>
          <cell r="AL138" t="str">
            <v/>
          </cell>
        </row>
        <row r="139">
          <cell r="G139">
            <v>0.42352941176470588</v>
          </cell>
          <cell r="K139">
            <v>1925421</v>
          </cell>
          <cell r="L139" t="str">
            <v>WIP TE/LE/A-189.00 P3 4.5UN BAG</v>
          </cell>
          <cell r="M139">
            <v>108</v>
          </cell>
          <cell r="N139">
            <v>108</v>
          </cell>
          <cell r="O139" t="str">
            <v>F_D4E</v>
          </cell>
          <cell r="P139" t="str">
            <v/>
          </cell>
          <cell r="Q139">
            <v>5040</v>
          </cell>
          <cell r="R139">
            <v>6320</v>
          </cell>
          <cell r="S139" t="str">
            <v>6320100</v>
          </cell>
          <cell r="T139" t="str">
            <v>6154.1 STEVIA LEAF</v>
          </cell>
          <cell r="U139" t="str">
            <v>313</v>
          </cell>
          <cell r="V139" t="str">
            <v>B8</v>
          </cell>
          <cell r="W139" t="str">
            <v/>
          </cell>
          <cell r="X139" t="str">
            <v>STEVIA LEAF</v>
          </cell>
          <cell r="Z139">
            <v>0.94499999999999995</v>
          </cell>
          <cell r="AA139" t="str">
            <v>0-1Kgs 6154.1</v>
          </cell>
          <cell r="AB139" t="str">
            <v>6319</v>
          </cell>
          <cell r="AC139" t="str">
            <v>NOV</v>
          </cell>
          <cell r="AD139" t="str">
            <v>WIP</v>
          </cell>
          <cell r="AE139" t="str">
            <v>4</v>
          </cell>
          <cell r="AF139" t="str">
            <v/>
          </cell>
          <cell r="AG139">
            <v>5.9</v>
          </cell>
          <cell r="AH139" t="str">
            <v>50154915</v>
          </cell>
          <cell r="AI139" t="str">
            <v>1</v>
          </cell>
          <cell r="AJ139" t="str">
            <v>P110</v>
          </cell>
          <cell r="AK139" t="str">
            <v>LA</v>
          </cell>
          <cell r="AL139" t="str">
            <v/>
          </cell>
        </row>
        <row r="140">
          <cell r="G140">
            <v>0.52682926829268295</v>
          </cell>
          <cell r="K140">
            <v>1945450</v>
          </cell>
          <cell r="L140" t="str">
            <v>WIP TE/LE/B-163.00 P3 12UN BAG</v>
          </cell>
          <cell r="M140">
            <v>108</v>
          </cell>
          <cell r="N140">
            <v>108</v>
          </cell>
          <cell r="O140" t="str">
            <v>F_D4E</v>
          </cell>
          <cell r="P140" t="str">
            <v/>
          </cell>
          <cell r="Q140">
            <v>5040</v>
          </cell>
          <cell r="R140">
            <v>6320</v>
          </cell>
          <cell r="S140" t="str">
            <v>6320100</v>
          </cell>
          <cell r="T140" t="str">
            <v>6154.1 STEVIA LEAF</v>
          </cell>
          <cell r="U140" t="str">
            <v>313</v>
          </cell>
          <cell r="V140" t="str">
            <v>B8</v>
          </cell>
          <cell r="W140" t="str">
            <v/>
          </cell>
          <cell r="X140" t="str">
            <v>STEVIA LEAF</v>
          </cell>
          <cell r="Z140">
            <v>1.3440000000000001</v>
          </cell>
          <cell r="AA140" t="str">
            <v>1-2Kgs 6154.1</v>
          </cell>
          <cell r="AB140" t="str">
            <v>6319</v>
          </cell>
          <cell r="AC140" t="str">
            <v>NOV</v>
          </cell>
          <cell r="AD140" t="str">
            <v>WIP</v>
          </cell>
          <cell r="AE140" t="str">
            <v>4</v>
          </cell>
          <cell r="AF140" t="str">
            <v/>
          </cell>
          <cell r="AG140">
            <v>5.9</v>
          </cell>
          <cell r="AH140" t="str">
            <v>50155759</v>
          </cell>
          <cell r="AI140" t="str">
            <v>1</v>
          </cell>
          <cell r="AJ140" t="str">
            <v>P110</v>
          </cell>
          <cell r="AK140" t="str">
            <v>LA</v>
          </cell>
          <cell r="AL140" t="str">
            <v/>
          </cell>
        </row>
        <row r="141">
          <cell r="G141">
            <v>0.28235294117647058</v>
          </cell>
          <cell r="K141">
            <v>1660013</v>
          </cell>
          <cell r="L141" t="str">
            <v>TE/MN/B-18.00 P3 24UN CTN 4BAG</v>
          </cell>
          <cell r="M141">
            <v>18</v>
          </cell>
          <cell r="N141">
            <v>72</v>
          </cell>
          <cell r="O141" t="str">
            <v>F_D4E</v>
          </cell>
          <cell r="P141" t="str">
            <v/>
          </cell>
          <cell r="Q141">
            <v>5040</v>
          </cell>
          <cell r="R141">
            <v>6320</v>
          </cell>
          <cell r="S141" t="str">
            <v>6320207</v>
          </cell>
          <cell r="T141" t="str">
            <v>6154.1 STEVIA LEAF</v>
          </cell>
          <cell r="U141" t="str">
            <v>529</v>
          </cell>
          <cell r="V141" t="str">
            <v>B8</v>
          </cell>
          <cell r="W141" t="str">
            <v/>
          </cell>
          <cell r="X141" t="str">
            <v>STEVIA LEAF</v>
          </cell>
          <cell r="Z141">
            <v>0.72</v>
          </cell>
          <cell r="AA141" t="str">
            <v>0-1Kgs 6154.1 Stevia</v>
          </cell>
          <cell r="AB141" t="str">
            <v>6319</v>
          </cell>
          <cell r="AC141" t="str">
            <v>NOV</v>
          </cell>
          <cell r="AD141" t="str">
            <v>Weight &lt;= 7 Kg</v>
          </cell>
          <cell r="AE141" t="str">
            <v>4</v>
          </cell>
          <cell r="AF141" t="str">
            <v/>
          </cell>
          <cell r="AG141">
            <v>12</v>
          </cell>
          <cell r="AH141" t="str">
            <v>50143236</v>
          </cell>
          <cell r="AI141" t="str">
            <v>1</v>
          </cell>
          <cell r="AJ141" t="str">
            <v>P110</v>
          </cell>
          <cell r="AK141" t="str">
            <v>LA</v>
          </cell>
          <cell r="AL141" t="str">
            <v/>
          </cell>
        </row>
        <row r="142">
          <cell r="G142">
            <v>1.7121951219512195</v>
          </cell>
          <cell r="K142">
            <v>2010995</v>
          </cell>
          <cell r="L142" t="str">
            <v>WIP OR/B-1317.10 P3 3UN BAG</v>
          </cell>
          <cell r="M142">
            <v>351</v>
          </cell>
          <cell r="N142">
            <v>351</v>
          </cell>
          <cell r="O142" t="str">
            <v>F_D4E</v>
          </cell>
          <cell r="P142" t="str">
            <v/>
          </cell>
          <cell r="Q142">
            <v>5040</v>
          </cell>
          <cell r="R142">
            <v>3200</v>
          </cell>
          <cell r="S142" t="str">
            <v>3200100</v>
          </cell>
          <cell r="T142" t="str">
            <v>ASP/616</v>
          </cell>
          <cell r="U142" t="str">
            <v>313</v>
          </cell>
          <cell r="V142" t="str">
            <v>B8</v>
          </cell>
          <cell r="W142" t="str">
            <v/>
          </cell>
          <cell r="X142" t="str">
            <v>Sweet</v>
          </cell>
          <cell r="Z142">
            <v>1.02</v>
          </cell>
          <cell r="AA142" t="str">
            <v>0-1Kgs 616, 0-1Kgs ASP</v>
          </cell>
          <cell r="AB142" t="str">
            <v>ASP/616</v>
          </cell>
          <cell r="AC142" t="str">
            <v>NOV</v>
          </cell>
          <cell r="AD142" t="str">
            <v>WIP</v>
          </cell>
          <cell r="AE142" t="str">
            <v>4</v>
          </cell>
          <cell r="AF142" t="str">
            <v/>
          </cell>
          <cell r="AG142">
            <v>11.9</v>
          </cell>
          <cell r="AH142" t="str">
            <v>50172499</v>
          </cell>
          <cell r="AI142" t="str">
            <v>1</v>
          </cell>
          <cell r="AJ142" t="str">
            <v>P110</v>
          </cell>
          <cell r="AK142" t="str">
            <v>LA</v>
          </cell>
          <cell r="AL142" t="str">
            <v/>
          </cell>
        </row>
        <row r="143">
          <cell r="G143">
            <v>0.65853658536585369</v>
          </cell>
          <cell r="K143">
            <v>3002268</v>
          </cell>
          <cell r="L143" t="str">
            <v>WIP OR/D-1821.50 P3 3UN BAG</v>
          </cell>
          <cell r="M143">
            <v>135</v>
          </cell>
          <cell r="N143">
            <v>135</v>
          </cell>
          <cell r="O143" t="str">
            <v>F_D4E</v>
          </cell>
          <cell r="P143" t="str">
            <v/>
          </cell>
          <cell r="Q143">
            <v>5040</v>
          </cell>
          <cell r="R143">
            <v>3200</v>
          </cell>
          <cell r="S143" t="str">
            <v>3200100</v>
          </cell>
          <cell r="T143" t="str">
            <v>ASP/616</v>
          </cell>
          <cell r="U143" t="str">
            <v>313</v>
          </cell>
          <cell r="V143" t="str">
            <v>B8</v>
          </cell>
          <cell r="W143" t="str">
            <v/>
          </cell>
          <cell r="X143" t="str">
            <v>Sweet</v>
          </cell>
          <cell r="Z143">
            <v>2.64</v>
          </cell>
          <cell r="AA143" t="str">
            <v>1-2Kgs ASP, 1-2Kgs 616</v>
          </cell>
          <cell r="AB143" t="str">
            <v>ASP/616</v>
          </cell>
          <cell r="AC143" t="str">
            <v>NOV</v>
          </cell>
          <cell r="AD143" t="str">
            <v>WIP</v>
          </cell>
          <cell r="AE143" t="str">
            <v>4</v>
          </cell>
          <cell r="AF143" t="str">
            <v/>
          </cell>
          <cell r="AG143">
            <v>11</v>
          </cell>
          <cell r="AH143" t="str">
            <v>50190066</v>
          </cell>
          <cell r="AI143" t="str">
            <v>1</v>
          </cell>
          <cell r="AJ143" t="str">
            <v>P110</v>
          </cell>
          <cell r="AK143" t="str">
            <v>LA</v>
          </cell>
          <cell r="AL143" t="str">
            <v/>
          </cell>
        </row>
        <row r="144">
          <cell r="G144">
            <v>3.8195121951219511</v>
          </cell>
          <cell r="K144">
            <v>1843879</v>
          </cell>
          <cell r="L144" t="str">
            <v>WIP TE/MN/A-19.00 P3A 3UN BAG CQ</v>
          </cell>
          <cell r="M144">
            <v>783</v>
          </cell>
          <cell r="N144">
            <v>783</v>
          </cell>
          <cell r="O144" t="str">
            <v>F_D4E</v>
          </cell>
          <cell r="P144" t="str">
            <v/>
          </cell>
          <cell r="Q144">
            <v>5040</v>
          </cell>
          <cell r="R144">
            <v>1575</v>
          </cell>
          <cell r="S144" t="str">
            <v>1575100</v>
          </cell>
          <cell r="T144">
            <v>1575.2</v>
          </cell>
          <cell r="U144" t="str">
            <v>313</v>
          </cell>
          <cell r="V144" t="str">
            <v>B8</v>
          </cell>
          <cell r="W144" t="str">
            <v/>
          </cell>
          <cell r="X144" t="str">
            <v>SI</v>
          </cell>
          <cell r="Z144">
            <v>0.15</v>
          </cell>
          <cell r="AA144" t="str">
            <v>0-1Kgs 1575.2</v>
          </cell>
          <cell r="AB144" t="str">
            <v>1575.2</v>
          </cell>
          <cell r="AC144" t="str">
            <v>NOV</v>
          </cell>
          <cell r="AD144" t="str">
            <v>WIP</v>
          </cell>
          <cell r="AE144" t="str">
            <v>4</v>
          </cell>
          <cell r="AF144" t="str">
            <v/>
          </cell>
          <cell r="AG144">
            <v>10.9</v>
          </cell>
          <cell r="AH144" t="str">
            <v>50150751</v>
          </cell>
          <cell r="AI144" t="str">
            <v>1</v>
          </cell>
          <cell r="AJ144" t="str">
            <v>P110</v>
          </cell>
          <cell r="AK144" t="str">
            <v>LA</v>
          </cell>
          <cell r="AL144" t="str">
            <v/>
          </cell>
        </row>
        <row r="145">
          <cell r="G145">
            <v>0.98333333333333339</v>
          </cell>
          <cell r="K145">
            <v>1838638</v>
          </cell>
          <cell r="L145" t="str">
            <v>OR-1327.20 P2A 8UN CTN 2 BAGS</v>
          </cell>
          <cell r="M145">
            <v>79</v>
          </cell>
          <cell r="N145">
            <v>0</v>
          </cell>
          <cell r="O145" t="str">
            <v>F_D4K</v>
          </cell>
          <cell r="P145" t="str">
            <v/>
          </cell>
          <cell r="Q145">
            <v>5040</v>
          </cell>
          <cell r="S145" t="str">
            <v/>
          </cell>
          <cell r="T145" t="str">
            <v>PACKOUT(2 X 1849045)(7635.2)</v>
          </cell>
          <cell r="U145" t="str">
            <v>525</v>
          </cell>
          <cell r="V145" t="str">
            <v>B8</v>
          </cell>
          <cell r="W145" t="str">
            <v/>
          </cell>
          <cell r="X145" t="str">
            <v/>
          </cell>
          <cell r="Z145" t="str">
            <v>Packout</v>
          </cell>
          <cell r="AA145" t="str">
            <v>PACKOUT(2 X 1849045)(7635.2)</v>
          </cell>
          <cell r="AB145" t="str">
            <v/>
          </cell>
          <cell r="AC145" t="str">
            <v>NOV</v>
          </cell>
          <cell r="AD145" t="str">
            <v/>
          </cell>
          <cell r="AE145" t="str">
            <v>4</v>
          </cell>
          <cell r="AF145" t="str">
            <v/>
          </cell>
          <cell r="AG145">
            <v>2</v>
          </cell>
          <cell r="AH145" t="str">
            <v>50145250</v>
          </cell>
          <cell r="AI145" t="str">
            <v>1</v>
          </cell>
          <cell r="AJ145" t="str">
            <v>P110</v>
          </cell>
          <cell r="AK145" t="str">
            <v>LA</v>
          </cell>
          <cell r="AL145" t="str">
            <v/>
          </cell>
        </row>
        <row r="146">
          <cell r="G146">
            <v>0.3</v>
          </cell>
          <cell r="K146">
            <v>1945451</v>
          </cell>
          <cell r="L146" t="str">
            <v>TE/LE/B-163.00 P3 24UN CTN 2 BAG</v>
          </cell>
          <cell r="M146">
            <v>54</v>
          </cell>
          <cell r="N146">
            <v>0</v>
          </cell>
          <cell r="O146" t="str">
            <v>F_D4K</v>
          </cell>
          <cell r="P146" t="str">
            <v/>
          </cell>
          <cell r="Q146">
            <v>5040</v>
          </cell>
          <cell r="S146" t="str">
            <v/>
          </cell>
          <cell r="T146" t="str">
            <v>PACKOUT(2 X 1945450)(6154.1)</v>
          </cell>
          <cell r="U146" t="str">
            <v>525</v>
          </cell>
          <cell r="V146" t="str">
            <v>B8</v>
          </cell>
          <cell r="W146" t="str">
            <v/>
          </cell>
          <cell r="X146" t="str">
            <v/>
          </cell>
          <cell r="Z146" t="str">
            <v>Packout</v>
          </cell>
          <cell r="AA146" t="str">
            <v>PACKOUT(2 X 1945450)(6154.1)</v>
          </cell>
          <cell r="AB146" t="str">
            <v/>
          </cell>
          <cell r="AC146" t="str">
            <v>NOV</v>
          </cell>
          <cell r="AD146" t="str">
            <v/>
          </cell>
          <cell r="AE146" t="str">
            <v>4</v>
          </cell>
          <cell r="AF146" t="str">
            <v/>
          </cell>
          <cell r="AG146">
            <v>12.9</v>
          </cell>
          <cell r="AH146" t="str">
            <v>50178829</v>
          </cell>
          <cell r="AI146" t="str">
            <v>1</v>
          </cell>
          <cell r="AJ146" t="str">
            <v>P110</v>
          </cell>
          <cell r="AK146" t="str">
            <v>LA</v>
          </cell>
          <cell r="AL146" t="str">
            <v/>
          </cell>
        </row>
        <row r="147">
          <cell r="G147">
            <v>1</v>
          </cell>
          <cell r="K147">
            <v>1944611</v>
          </cell>
          <cell r="L147" t="str">
            <v>TE/PE/B-35.00 P3 24UN CTN 4 BAG</v>
          </cell>
          <cell r="M147">
            <v>81</v>
          </cell>
          <cell r="N147">
            <v>0</v>
          </cell>
          <cell r="O147" t="str">
            <v>F_D4K</v>
          </cell>
          <cell r="P147" t="str">
            <v/>
          </cell>
          <cell r="Q147">
            <v>5040</v>
          </cell>
          <cell r="S147" t="str">
            <v/>
          </cell>
          <cell r="T147" t="str">
            <v>PACKOUT(4 X 1944610)(6154.1)</v>
          </cell>
          <cell r="U147" t="str">
            <v>529</v>
          </cell>
          <cell r="V147" t="str">
            <v>B8</v>
          </cell>
          <cell r="W147" t="str">
            <v/>
          </cell>
          <cell r="X147" t="str">
            <v/>
          </cell>
          <cell r="Z147" t="str">
            <v>Packout</v>
          </cell>
          <cell r="AA147" t="str">
            <v>PACKOUT(4 X 1944610)(6154.1)</v>
          </cell>
          <cell r="AB147" t="str">
            <v/>
          </cell>
          <cell r="AC147" t="str">
            <v>NOV</v>
          </cell>
          <cell r="AD147" t="str">
            <v/>
          </cell>
          <cell r="AE147" t="str">
            <v>4</v>
          </cell>
          <cell r="AF147" t="str">
            <v/>
          </cell>
          <cell r="AG147">
            <v>12.6</v>
          </cell>
          <cell r="AH147" t="str">
            <v>50155814</v>
          </cell>
          <cell r="AI147" t="str">
            <v>1</v>
          </cell>
          <cell r="AJ147" t="str">
            <v>P110</v>
          </cell>
          <cell r="AK147" t="str">
            <v>LA</v>
          </cell>
          <cell r="AL147" t="str">
            <v/>
          </cell>
        </row>
      </sheetData>
      <sheetData sheetId="1"/>
      <sheetData sheetId="2"/>
      <sheetData sheetId="3"/>
      <sheetData sheetId="4"/>
      <sheetData sheetId="5"/>
      <sheetData sheetId="6">
        <row r="1">
          <cell r="F1" t="str">
            <v>Order #</v>
          </cell>
          <cell r="G1" t="str">
            <v>MRP Controller</v>
          </cell>
          <cell r="H1" t="str">
            <v>Material status</v>
          </cell>
          <cell r="I1" t="str">
            <v>Recipe status</v>
          </cell>
          <cell r="J1" t="str">
            <v>Order Type</v>
          </cell>
        </row>
        <row r="2">
          <cell r="F2">
            <v>106991039</v>
          </cell>
          <cell r="G2" t="str">
            <v>529</v>
          </cell>
          <cell r="H2" t="str">
            <v>B8</v>
          </cell>
          <cell r="I2" t="str">
            <v>4</v>
          </cell>
          <cell r="J2" t="str">
            <v>PI01</v>
          </cell>
          <cell r="R2">
            <v>2045299</v>
          </cell>
          <cell r="S2" t="str">
            <v>106991039</v>
          </cell>
        </row>
        <row r="3">
          <cell r="F3">
            <v>106991034</v>
          </cell>
          <cell r="G3" t="str">
            <v>529</v>
          </cell>
          <cell r="H3" t="str">
            <v>B8</v>
          </cell>
          <cell r="I3" t="str">
            <v>4</v>
          </cell>
          <cell r="J3" t="str">
            <v>PI01</v>
          </cell>
          <cell r="R3">
            <v>1380758</v>
          </cell>
          <cell r="S3" t="str">
            <v>106991034</v>
          </cell>
        </row>
        <row r="4">
          <cell r="F4">
            <v>106990987</v>
          </cell>
          <cell r="G4" t="str">
            <v>530</v>
          </cell>
          <cell r="H4" t="str">
            <v>B8</v>
          </cell>
          <cell r="I4" t="str">
            <v>4</v>
          </cell>
          <cell r="J4" t="str">
            <v>PI01</v>
          </cell>
          <cell r="R4">
            <v>1875506</v>
          </cell>
          <cell r="S4" t="str">
            <v>106990987</v>
          </cell>
        </row>
        <row r="5">
          <cell r="F5">
            <v>106991029</v>
          </cell>
          <cell r="G5" t="str">
            <v>529</v>
          </cell>
          <cell r="H5" t="str">
            <v>B8</v>
          </cell>
          <cell r="I5" t="str">
            <v>4</v>
          </cell>
          <cell r="J5" t="str">
            <v>PI01</v>
          </cell>
          <cell r="R5">
            <v>1677144</v>
          </cell>
          <cell r="S5" t="str">
            <v>106991029</v>
          </cell>
        </row>
        <row r="6">
          <cell r="F6">
            <v>106990996</v>
          </cell>
          <cell r="G6" t="str">
            <v>529</v>
          </cell>
          <cell r="H6" t="str">
            <v>B8</v>
          </cell>
          <cell r="I6" t="str">
            <v>4</v>
          </cell>
          <cell r="J6" t="str">
            <v>PI01</v>
          </cell>
          <cell r="R6">
            <v>1964692</v>
          </cell>
          <cell r="S6" t="str">
            <v>106990996</v>
          </cell>
        </row>
        <row r="7">
          <cell r="F7">
            <v>106972665</v>
          </cell>
          <cell r="G7" t="str">
            <v>529</v>
          </cell>
          <cell r="H7" t="str">
            <v>B8</v>
          </cell>
          <cell r="I7" t="str">
            <v>4</v>
          </cell>
          <cell r="J7" t="str">
            <v>YPI5</v>
          </cell>
          <cell r="R7">
            <v>1958628</v>
          </cell>
          <cell r="S7" t="str">
            <v>106972665</v>
          </cell>
        </row>
        <row r="8">
          <cell r="F8">
            <v>106991026</v>
          </cell>
          <cell r="G8" t="str">
            <v>529</v>
          </cell>
          <cell r="H8" t="str">
            <v>B8</v>
          </cell>
          <cell r="I8" t="str">
            <v>4</v>
          </cell>
          <cell r="J8" t="str">
            <v>PI01</v>
          </cell>
          <cell r="R8">
            <v>1129810</v>
          </cell>
          <cell r="S8" t="str">
            <v>106991026</v>
          </cell>
        </row>
        <row r="9">
          <cell r="F9">
            <v>106991015</v>
          </cell>
          <cell r="G9" t="str">
            <v>529</v>
          </cell>
          <cell r="H9" t="str">
            <v>B8</v>
          </cell>
          <cell r="I9" t="str">
            <v>4</v>
          </cell>
          <cell r="J9" t="str">
            <v>PI01</v>
          </cell>
          <cell r="R9">
            <v>1405653</v>
          </cell>
          <cell r="S9" t="str">
            <v>106991015</v>
          </cell>
        </row>
        <row r="10">
          <cell r="F10">
            <v>106990986</v>
          </cell>
          <cell r="G10" t="str">
            <v>529</v>
          </cell>
          <cell r="H10" t="str">
            <v>B8</v>
          </cell>
          <cell r="I10" t="str">
            <v>4</v>
          </cell>
          <cell r="J10" t="str">
            <v>PI01</v>
          </cell>
          <cell r="R10">
            <v>1520721</v>
          </cell>
          <cell r="S10" t="str">
            <v>106990986</v>
          </cell>
        </row>
        <row r="11">
          <cell r="F11">
            <v>106990980</v>
          </cell>
          <cell r="G11" t="str">
            <v>529</v>
          </cell>
          <cell r="H11" t="str">
            <v>B8</v>
          </cell>
          <cell r="I11" t="str">
            <v>4</v>
          </cell>
          <cell r="J11" t="str">
            <v>PI01</v>
          </cell>
          <cell r="R11">
            <v>1498406</v>
          </cell>
          <cell r="S11" t="str">
            <v>106990980</v>
          </cell>
        </row>
        <row r="12">
          <cell r="F12">
            <v>106991030</v>
          </cell>
          <cell r="G12" t="str">
            <v>529</v>
          </cell>
          <cell r="H12" t="str">
            <v>B8</v>
          </cell>
          <cell r="I12" t="str">
            <v>4</v>
          </cell>
          <cell r="J12" t="str">
            <v>PI01</v>
          </cell>
          <cell r="R12">
            <v>1743107</v>
          </cell>
          <cell r="S12" t="str">
            <v>106991030</v>
          </cell>
        </row>
        <row r="13">
          <cell r="F13">
            <v>106991035</v>
          </cell>
          <cell r="G13" t="str">
            <v>529</v>
          </cell>
          <cell r="H13" t="str">
            <v>B8</v>
          </cell>
          <cell r="I13" t="str">
            <v>4</v>
          </cell>
          <cell r="J13" t="str">
            <v>PI01</v>
          </cell>
          <cell r="R13">
            <v>1399997</v>
          </cell>
          <cell r="S13" t="str">
            <v>106991035</v>
          </cell>
        </row>
        <row r="14">
          <cell r="F14">
            <v>106991004</v>
          </cell>
          <cell r="G14" t="str">
            <v>529</v>
          </cell>
          <cell r="H14" t="str">
            <v>B8</v>
          </cell>
          <cell r="I14" t="str">
            <v>4</v>
          </cell>
          <cell r="J14" t="str">
            <v>PI01</v>
          </cell>
          <cell r="R14">
            <v>2050144</v>
          </cell>
          <cell r="S14" t="str">
            <v>106991004</v>
          </cell>
        </row>
        <row r="15">
          <cell r="F15">
            <v>106991037</v>
          </cell>
          <cell r="G15" t="str">
            <v>529</v>
          </cell>
          <cell r="H15" t="str">
            <v>B8</v>
          </cell>
          <cell r="I15" t="str">
            <v>4</v>
          </cell>
          <cell r="J15" t="str">
            <v>PI01</v>
          </cell>
          <cell r="R15">
            <v>1408495</v>
          </cell>
          <cell r="S15" t="str">
            <v>106991037</v>
          </cell>
        </row>
        <row r="16">
          <cell r="F16">
            <v>106990973</v>
          </cell>
          <cell r="G16" t="str">
            <v>529</v>
          </cell>
          <cell r="H16" t="str">
            <v>B8</v>
          </cell>
          <cell r="I16" t="str">
            <v>4</v>
          </cell>
          <cell r="J16" t="str">
            <v>PI01</v>
          </cell>
          <cell r="R16">
            <v>1669077</v>
          </cell>
          <cell r="S16" t="str">
            <v>106990973</v>
          </cell>
        </row>
        <row r="17">
          <cell r="F17">
            <v>106991014</v>
          </cell>
          <cell r="G17" t="str">
            <v>529</v>
          </cell>
          <cell r="H17" t="str">
            <v>B8</v>
          </cell>
          <cell r="I17" t="str">
            <v>4</v>
          </cell>
          <cell r="J17" t="str">
            <v>PI01</v>
          </cell>
          <cell r="R17">
            <v>1118312</v>
          </cell>
          <cell r="S17" t="str">
            <v>106991014</v>
          </cell>
        </row>
        <row r="18">
          <cell r="F18">
            <v>106991025</v>
          </cell>
          <cell r="G18" t="str">
            <v>529</v>
          </cell>
          <cell r="H18" t="str">
            <v>B8</v>
          </cell>
          <cell r="I18" t="str">
            <v>4</v>
          </cell>
          <cell r="J18" t="str">
            <v>PI01</v>
          </cell>
          <cell r="R18">
            <v>1242278</v>
          </cell>
          <cell r="S18" t="str">
            <v>106991025</v>
          </cell>
        </row>
        <row r="19">
          <cell r="F19">
            <v>106990976</v>
          </cell>
          <cell r="G19" t="str">
            <v>529</v>
          </cell>
          <cell r="H19" t="str">
            <v>B8</v>
          </cell>
          <cell r="I19" t="str">
            <v>4</v>
          </cell>
          <cell r="J19" t="str">
            <v>PI01</v>
          </cell>
          <cell r="R19">
            <v>1093095</v>
          </cell>
          <cell r="S19" t="str">
            <v>106990976</v>
          </cell>
        </row>
        <row r="20">
          <cell r="F20">
            <v>106990975</v>
          </cell>
          <cell r="G20" t="str">
            <v>530</v>
          </cell>
          <cell r="H20" t="str">
            <v>B8</v>
          </cell>
          <cell r="I20" t="str">
            <v>4</v>
          </cell>
          <cell r="J20" t="str">
            <v>PI01</v>
          </cell>
          <cell r="R20">
            <v>2045774</v>
          </cell>
          <cell r="S20" t="str">
            <v>106990975</v>
          </cell>
        </row>
        <row r="21">
          <cell r="F21">
            <v>106991019</v>
          </cell>
          <cell r="G21" t="str">
            <v>529</v>
          </cell>
          <cell r="H21" t="str">
            <v>B8</v>
          </cell>
          <cell r="I21" t="str">
            <v>4</v>
          </cell>
          <cell r="J21" t="str">
            <v>PI01</v>
          </cell>
          <cell r="R21">
            <v>1844497</v>
          </cell>
          <cell r="S21" t="str">
            <v>106991019</v>
          </cell>
        </row>
        <row r="22">
          <cell r="F22">
            <v>106991038</v>
          </cell>
          <cell r="G22" t="str">
            <v>529</v>
          </cell>
          <cell r="H22" t="str">
            <v>B8</v>
          </cell>
          <cell r="I22" t="str">
            <v>4</v>
          </cell>
          <cell r="J22" t="str">
            <v>PI01</v>
          </cell>
          <cell r="R22">
            <v>2040516</v>
          </cell>
          <cell r="S22" t="str">
            <v>106991038</v>
          </cell>
        </row>
        <row r="23">
          <cell r="F23">
            <v>106991000</v>
          </cell>
          <cell r="G23" t="str">
            <v>529</v>
          </cell>
          <cell r="H23" t="str">
            <v>B8</v>
          </cell>
          <cell r="I23" t="str">
            <v>4</v>
          </cell>
          <cell r="J23" t="str">
            <v>PI01</v>
          </cell>
          <cell r="R23">
            <v>1969310</v>
          </cell>
          <cell r="S23" t="str">
            <v>106991000</v>
          </cell>
        </row>
        <row r="24">
          <cell r="F24">
            <v>106991008</v>
          </cell>
          <cell r="G24" t="str">
            <v>529</v>
          </cell>
          <cell r="H24" t="str">
            <v>B8</v>
          </cell>
          <cell r="I24" t="str">
            <v>4</v>
          </cell>
          <cell r="J24" t="str">
            <v>PI01</v>
          </cell>
          <cell r="R24">
            <v>2074237</v>
          </cell>
          <cell r="S24" t="str">
            <v>106991008</v>
          </cell>
        </row>
        <row r="25">
          <cell r="F25">
            <v>106991023</v>
          </cell>
          <cell r="G25" t="str">
            <v>529</v>
          </cell>
          <cell r="H25" t="str">
            <v>B8</v>
          </cell>
          <cell r="I25" t="str">
            <v>4</v>
          </cell>
          <cell r="J25" t="str">
            <v>PI01</v>
          </cell>
          <cell r="R25">
            <v>1194498</v>
          </cell>
          <cell r="S25" t="str">
            <v>106991023</v>
          </cell>
        </row>
        <row r="26">
          <cell r="F26">
            <v>106991031</v>
          </cell>
          <cell r="G26" t="str">
            <v>529</v>
          </cell>
          <cell r="H26" t="str">
            <v>B8</v>
          </cell>
          <cell r="I26" t="str">
            <v>4</v>
          </cell>
          <cell r="J26" t="str">
            <v>PI01</v>
          </cell>
          <cell r="R26">
            <v>1335016</v>
          </cell>
          <cell r="S26" t="str">
            <v>106991031</v>
          </cell>
        </row>
        <row r="27">
          <cell r="F27">
            <v>106991036</v>
          </cell>
          <cell r="G27" t="str">
            <v>529</v>
          </cell>
          <cell r="H27" t="str">
            <v>B8</v>
          </cell>
          <cell r="I27" t="str">
            <v>4</v>
          </cell>
          <cell r="J27" t="str">
            <v>PI01</v>
          </cell>
          <cell r="R27">
            <v>1630312</v>
          </cell>
          <cell r="S27" t="str">
            <v>106991036</v>
          </cell>
        </row>
        <row r="28">
          <cell r="F28">
            <v>106990978</v>
          </cell>
          <cell r="G28" t="str">
            <v>529</v>
          </cell>
          <cell r="H28" t="str">
            <v>B8</v>
          </cell>
          <cell r="I28" t="str">
            <v>4</v>
          </cell>
          <cell r="J28" t="str">
            <v>PI01</v>
          </cell>
          <cell r="R28">
            <v>1608711</v>
          </cell>
          <cell r="S28" t="str">
            <v>106990978</v>
          </cell>
        </row>
        <row r="29">
          <cell r="F29">
            <v>106990981</v>
          </cell>
          <cell r="G29" t="str">
            <v>529</v>
          </cell>
          <cell r="H29" t="str">
            <v>B8</v>
          </cell>
          <cell r="I29" t="str">
            <v>4</v>
          </cell>
          <cell r="J29" t="str">
            <v>PI01</v>
          </cell>
          <cell r="R29">
            <v>1611552</v>
          </cell>
          <cell r="S29" t="str">
            <v>106990981</v>
          </cell>
        </row>
        <row r="30">
          <cell r="F30">
            <v>106990983</v>
          </cell>
          <cell r="G30" t="str">
            <v>529</v>
          </cell>
          <cell r="H30" t="str">
            <v>B8</v>
          </cell>
          <cell r="I30" t="str">
            <v>4</v>
          </cell>
          <cell r="J30" t="str">
            <v>PI01</v>
          </cell>
          <cell r="R30">
            <v>1755099</v>
          </cell>
          <cell r="S30" t="str">
            <v>106990983</v>
          </cell>
        </row>
        <row r="31">
          <cell r="F31">
            <v>106990974</v>
          </cell>
          <cell r="G31" t="str">
            <v>529</v>
          </cell>
          <cell r="H31" t="str">
            <v>B8</v>
          </cell>
          <cell r="I31" t="str">
            <v>4</v>
          </cell>
          <cell r="J31" t="str">
            <v>PI01</v>
          </cell>
          <cell r="R31">
            <v>1945454</v>
          </cell>
          <cell r="S31" t="str">
            <v>106990974</v>
          </cell>
        </row>
        <row r="32">
          <cell r="F32">
            <v>106991017</v>
          </cell>
          <cell r="G32" t="str">
            <v>529</v>
          </cell>
          <cell r="H32" t="str">
            <v>B8</v>
          </cell>
          <cell r="I32" t="str">
            <v>4</v>
          </cell>
          <cell r="J32" t="str">
            <v>PI01</v>
          </cell>
          <cell r="R32">
            <v>2082697</v>
          </cell>
          <cell r="S32" t="str">
            <v>106991017</v>
          </cell>
        </row>
        <row r="33">
          <cell r="F33">
            <v>106991027</v>
          </cell>
          <cell r="G33" t="str">
            <v>529</v>
          </cell>
          <cell r="H33" t="str">
            <v>B8</v>
          </cell>
          <cell r="I33" t="str">
            <v>4</v>
          </cell>
          <cell r="J33" t="str">
            <v>PI01</v>
          </cell>
          <cell r="R33">
            <v>1288134</v>
          </cell>
          <cell r="S33" t="str">
            <v>106991027</v>
          </cell>
        </row>
        <row r="34">
          <cell r="F34">
            <v>106991011</v>
          </cell>
          <cell r="G34" t="str">
            <v>529</v>
          </cell>
          <cell r="H34" t="str">
            <v>B8</v>
          </cell>
          <cell r="I34" t="str">
            <v>1</v>
          </cell>
          <cell r="J34" t="str">
            <v>PI01</v>
          </cell>
          <cell r="R34">
            <v>3018677</v>
          </cell>
          <cell r="S34" t="str">
            <v>Recipe,106991011</v>
          </cell>
        </row>
        <row r="35">
          <cell r="F35">
            <v>106991028</v>
          </cell>
          <cell r="G35" t="str">
            <v>529</v>
          </cell>
          <cell r="H35" t="str">
            <v>B8</v>
          </cell>
          <cell r="I35" t="str">
            <v>4</v>
          </cell>
          <cell r="J35" t="str">
            <v>PI01</v>
          </cell>
          <cell r="R35">
            <v>2051098</v>
          </cell>
          <cell r="S35" t="str">
            <v>106991028</v>
          </cell>
        </row>
        <row r="36">
          <cell r="F36">
            <v>106991006</v>
          </cell>
          <cell r="G36" t="str">
            <v>529</v>
          </cell>
          <cell r="H36" t="str">
            <v>B8</v>
          </cell>
          <cell r="I36" t="str">
            <v>4</v>
          </cell>
          <cell r="J36" t="str">
            <v>PI01</v>
          </cell>
          <cell r="R36">
            <v>2017645</v>
          </cell>
          <cell r="S36" t="str">
            <v>106991006</v>
          </cell>
        </row>
        <row r="37">
          <cell r="F37">
            <v>106990995</v>
          </cell>
          <cell r="G37" t="str">
            <v>529</v>
          </cell>
          <cell r="H37" t="str">
            <v>B8</v>
          </cell>
          <cell r="I37" t="str">
            <v>4</v>
          </cell>
          <cell r="J37" t="str">
            <v>PI01</v>
          </cell>
          <cell r="R37">
            <v>1924300</v>
          </cell>
          <cell r="S37" t="str">
            <v>106990995</v>
          </cell>
        </row>
        <row r="38">
          <cell r="F38">
            <v>106990977</v>
          </cell>
          <cell r="G38" t="str">
            <v>529</v>
          </cell>
          <cell r="H38" t="str">
            <v>B8</v>
          </cell>
          <cell r="I38" t="str">
            <v>4</v>
          </cell>
          <cell r="J38" t="str">
            <v>PI01</v>
          </cell>
          <cell r="R38">
            <v>1674334</v>
          </cell>
          <cell r="S38" t="str">
            <v>106990977</v>
          </cell>
        </row>
        <row r="39">
          <cell r="F39">
            <v>106990992</v>
          </cell>
          <cell r="G39" t="str">
            <v>529</v>
          </cell>
          <cell r="H39" t="str">
            <v>B8</v>
          </cell>
          <cell r="I39" t="str">
            <v>4</v>
          </cell>
          <cell r="J39" t="str">
            <v>PI01</v>
          </cell>
          <cell r="R39">
            <v>1867627</v>
          </cell>
          <cell r="S39" t="str">
            <v>106990992</v>
          </cell>
        </row>
        <row r="40">
          <cell r="F40">
            <v>106991010</v>
          </cell>
          <cell r="G40" t="str">
            <v>529</v>
          </cell>
          <cell r="H40" t="str">
            <v>B8</v>
          </cell>
          <cell r="I40" t="str">
            <v>4</v>
          </cell>
          <cell r="J40" t="str">
            <v>PI01</v>
          </cell>
          <cell r="R40">
            <v>2083026</v>
          </cell>
          <cell r="S40" t="str">
            <v>106991010</v>
          </cell>
        </row>
        <row r="41">
          <cell r="F41">
            <v>106991009</v>
          </cell>
          <cell r="G41" t="str">
            <v>529</v>
          </cell>
          <cell r="H41" t="str">
            <v>B8</v>
          </cell>
          <cell r="I41" t="str">
            <v>4</v>
          </cell>
          <cell r="J41" t="str">
            <v>PI01</v>
          </cell>
          <cell r="R41">
            <v>3008898</v>
          </cell>
          <cell r="S41" t="str">
            <v>106991009</v>
          </cell>
        </row>
        <row r="42">
          <cell r="F42">
            <v>106990989</v>
          </cell>
          <cell r="G42" t="str">
            <v>529</v>
          </cell>
          <cell r="H42" t="str">
            <v>B8</v>
          </cell>
          <cell r="I42" t="str">
            <v>4</v>
          </cell>
          <cell r="J42" t="str">
            <v>PI01</v>
          </cell>
          <cell r="R42">
            <v>1745828</v>
          </cell>
          <cell r="S42" t="str">
            <v>106990989</v>
          </cell>
        </row>
        <row r="43">
          <cell r="F43">
            <v>106991016</v>
          </cell>
          <cell r="G43" t="str">
            <v>529</v>
          </cell>
          <cell r="H43" t="str">
            <v>B8</v>
          </cell>
          <cell r="I43" t="str">
            <v>4</v>
          </cell>
          <cell r="J43" t="str">
            <v>PI01</v>
          </cell>
          <cell r="R43">
            <v>1554927</v>
          </cell>
          <cell r="S43" t="str">
            <v>106991016</v>
          </cell>
        </row>
        <row r="44">
          <cell r="F44">
            <v>106990994</v>
          </cell>
          <cell r="G44" t="str">
            <v>529</v>
          </cell>
          <cell r="H44" t="str">
            <v>B8</v>
          </cell>
          <cell r="I44" t="str">
            <v>4</v>
          </cell>
          <cell r="J44" t="str">
            <v>PI01</v>
          </cell>
          <cell r="R44">
            <v>1962929</v>
          </cell>
          <cell r="S44" t="str">
            <v>106990994</v>
          </cell>
        </row>
        <row r="45">
          <cell r="F45">
            <v>106991001</v>
          </cell>
          <cell r="G45" t="str">
            <v>529</v>
          </cell>
          <cell r="H45" t="str">
            <v>B8</v>
          </cell>
          <cell r="I45" t="str">
            <v>4</v>
          </cell>
          <cell r="J45" t="str">
            <v>PI01</v>
          </cell>
          <cell r="R45">
            <v>1974676</v>
          </cell>
          <cell r="S45" t="str">
            <v>106991001</v>
          </cell>
        </row>
        <row r="46">
          <cell r="F46">
            <v>106991020</v>
          </cell>
          <cell r="G46" t="str">
            <v>529</v>
          </cell>
          <cell r="H46" t="str">
            <v>B8</v>
          </cell>
          <cell r="I46" t="str">
            <v>4</v>
          </cell>
          <cell r="J46" t="str">
            <v>PI01</v>
          </cell>
          <cell r="R46">
            <v>1964690</v>
          </cell>
          <cell r="S46" t="str">
            <v>106991020</v>
          </cell>
        </row>
        <row r="47">
          <cell r="F47">
            <v>106991032</v>
          </cell>
          <cell r="G47" t="str">
            <v>529</v>
          </cell>
          <cell r="H47" t="str">
            <v>B8</v>
          </cell>
          <cell r="I47" t="str">
            <v>4</v>
          </cell>
          <cell r="J47" t="str">
            <v>PI01</v>
          </cell>
          <cell r="R47">
            <v>1432647</v>
          </cell>
          <cell r="S47" t="str">
            <v>106991032</v>
          </cell>
        </row>
        <row r="48">
          <cell r="F48">
            <v>106991012</v>
          </cell>
          <cell r="G48" t="str">
            <v>529</v>
          </cell>
          <cell r="H48" t="str">
            <v>B8</v>
          </cell>
          <cell r="I48" t="str">
            <v>4</v>
          </cell>
          <cell r="J48" t="str">
            <v>PI01</v>
          </cell>
          <cell r="R48">
            <v>2073510</v>
          </cell>
          <cell r="S48" t="str">
            <v>106991012</v>
          </cell>
        </row>
        <row r="49">
          <cell r="F49">
            <v>106990997</v>
          </cell>
          <cell r="G49" t="str">
            <v>529</v>
          </cell>
          <cell r="H49" t="str">
            <v>B8</v>
          </cell>
          <cell r="I49" t="str">
            <v>4</v>
          </cell>
          <cell r="J49" t="str">
            <v>PI01</v>
          </cell>
          <cell r="R49">
            <v>1975796</v>
          </cell>
          <cell r="S49" t="str">
            <v>106990997</v>
          </cell>
        </row>
        <row r="50">
          <cell r="F50">
            <v>106991024</v>
          </cell>
          <cell r="G50" t="str">
            <v>529</v>
          </cell>
          <cell r="H50" t="str">
            <v>B8</v>
          </cell>
          <cell r="I50" t="str">
            <v>4</v>
          </cell>
          <cell r="J50" t="str">
            <v>PI01</v>
          </cell>
          <cell r="R50">
            <v>1964667</v>
          </cell>
          <cell r="S50" t="str">
            <v>106991024</v>
          </cell>
        </row>
        <row r="51">
          <cell r="F51">
            <v>106990990</v>
          </cell>
          <cell r="G51" t="str">
            <v>529</v>
          </cell>
          <cell r="H51" t="str">
            <v>B8</v>
          </cell>
          <cell r="I51" t="str">
            <v>4</v>
          </cell>
          <cell r="J51" t="str">
            <v>PI01</v>
          </cell>
          <cell r="R51">
            <v>1875638</v>
          </cell>
          <cell r="S51" t="str">
            <v>106990990</v>
          </cell>
        </row>
        <row r="52">
          <cell r="F52">
            <v>106990982</v>
          </cell>
          <cell r="G52" t="str">
            <v>529</v>
          </cell>
          <cell r="H52" t="str">
            <v>B8</v>
          </cell>
          <cell r="I52" t="str">
            <v>4</v>
          </cell>
          <cell r="J52" t="str">
            <v>PI01</v>
          </cell>
          <cell r="R52">
            <v>1649523</v>
          </cell>
          <cell r="S52" t="str">
            <v>106990982</v>
          </cell>
        </row>
        <row r="53">
          <cell r="F53">
            <v>106990998</v>
          </cell>
          <cell r="G53" t="str">
            <v>525</v>
          </cell>
          <cell r="H53" t="str">
            <v>B8</v>
          </cell>
          <cell r="I53" t="str">
            <v>4</v>
          </cell>
          <cell r="J53" t="str">
            <v>PI01</v>
          </cell>
          <cell r="R53">
            <v>1964984</v>
          </cell>
          <cell r="S53" t="str">
            <v>106990998</v>
          </cell>
        </row>
        <row r="54">
          <cell r="F54">
            <v>106991005</v>
          </cell>
          <cell r="G54" t="str">
            <v>529</v>
          </cell>
          <cell r="H54" t="str">
            <v>B8</v>
          </cell>
          <cell r="I54" t="str">
            <v>4</v>
          </cell>
          <cell r="J54" t="str">
            <v>PI01</v>
          </cell>
          <cell r="R54">
            <v>1958006</v>
          </cell>
          <cell r="S54" t="str">
            <v>106991005</v>
          </cell>
        </row>
        <row r="55">
          <cell r="F55">
            <v>106990988</v>
          </cell>
          <cell r="G55" t="str">
            <v>529</v>
          </cell>
          <cell r="H55" t="str">
            <v>B8</v>
          </cell>
          <cell r="I55" t="str">
            <v>4</v>
          </cell>
          <cell r="J55" t="str">
            <v>PI01</v>
          </cell>
          <cell r="R55">
            <v>1793956</v>
          </cell>
          <cell r="S55" t="str">
            <v>106990988</v>
          </cell>
        </row>
        <row r="56">
          <cell r="F56">
            <v>106991018</v>
          </cell>
          <cell r="G56" t="str">
            <v>529</v>
          </cell>
          <cell r="H56" t="str">
            <v>B8</v>
          </cell>
          <cell r="I56" t="str">
            <v>4</v>
          </cell>
          <cell r="J56" t="str">
            <v>PI01</v>
          </cell>
          <cell r="R56">
            <v>1953069</v>
          </cell>
          <cell r="S56" t="str">
            <v>106991018</v>
          </cell>
        </row>
        <row r="57">
          <cell r="F57">
            <v>106990979</v>
          </cell>
          <cell r="G57" t="str">
            <v>529</v>
          </cell>
          <cell r="H57" t="str">
            <v>B8</v>
          </cell>
          <cell r="I57" t="str">
            <v>4</v>
          </cell>
          <cell r="J57" t="str">
            <v>PI01</v>
          </cell>
          <cell r="R57">
            <v>1549148</v>
          </cell>
          <cell r="S57" t="str">
            <v>106990979</v>
          </cell>
        </row>
        <row r="58">
          <cell r="F58">
            <v>106991021</v>
          </cell>
          <cell r="G58" t="str">
            <v>529</v>
          </cell>
          <cell r="H58" t="str">
            <v>B8</v>
          </cell>
          <cell r="I58" t="str">
            <v>4</v>
          </cell>
          <cell r="J58" t="str">
            <v>PI01</v>
          </cell>
          <cell r="R58">
            <v>1966805</v>
          </cell>
          <cell r="S58" t="str">
            <v>106991021</v>
          </cell>
        </row>
        <row r="59">
          <cell r="F59">
            <v>106991002</v>
          </cell>
          <cell r="G59" t="str">
            <v>529</v>
          </cell>
          <cell r="H59" t="str">
            <v>B8</v>
          </cell>
          <cell r="I59" t="str">
            <v>4</v>
          </cell>
          <cell r="J59" t="str">
            <v>PI01</v>
          </cell>
          <cell r="R59">
            <v>1983812</v>
          </cell>
          <cell r="S59" t="str">
            <v>106991002</v>
          </cell>
        </row>
        <row r="60">
          <cell r="F60">
            <v>106991003</v>
          </cell>
          <cell r="G60" t="str">
            <v>529</v>
          </cell>
          <cell r="H60" t="str">
            <v>B8</v>
          </cell>
          <cell r="I60" t="str">
            <v>4</v>
          </cell>
          <cell r="J60" t="str">
            <v>PI01</v>
          </cell>
          <cell r="R60">
            <v>2037341</v>
          </cell>
          <cell r="S60" t="str">
            <v>106991003</v>
          </cell>
        </row>
        <row r="61">
          <cell r="F61">
            <v>106991013</v>
          </cell>
          <cell r="G61" t="str">
            <v>529</v>
          </cell>
          <cell r="H61" t="str">
            <v>B8</v>
          </cell>
          <cell r="I61" t="str">
            <v>4</v>
          </cell>
          <cell r="J61" t="str">
            <v>PI01</v>
          </cell>
          <cell r="R61">
            <v>2100052</v>
          </cell>
          <cell r="S61" t="str">
            <v>106991013</v>
          </cell>
        </row>
        <row r="62">
          <cell r="F62">
            <v>106991022</v>
          </cell>
          <cell r="G62" t="str">
            <v>529</v>
          </cell>
          <cell r="H62" t="str">
            <v>B8</v>
          </cell>
          <cell r="I62" t="str">
            <v>4</v>
          </cell>
          <cell r="J62" t="str">
            <v>PI01</v>
          </cell>
          <cell r="R62">
            <v>1965042</v>
          </cell>
          <cell r="S62" t="str">
            <v>106991022</v>
          </cell>
        </row>
        <row r="63">
          <cell r="F63">
            <v>106990993</v>
          </cell>
          <cell r="G63" t="str">
            <v>529</v>
          </cell>
          <cell r="H63" t="str">
            <v>B8</v>
          </cell>
          <cell r="I63" t="str">
            <v>4</v>
          </cell>
          <cell r="J63" t="str">
            <v>PI01</v>
          </cell>
          <cell r="R63">
            <v>1771400</v>
          </cell>
          <cell r="S63" t="str">
            <v>106990993</v>
          </cell>
        </row>
        <row r="64">
          <cell r="F64">
            <v>106990999</v>
          </cell>
          <cell r="G64" t="str">
            <v>529</v>
          </cell>
          <cell r="H64" t="str">
            <v>B8</v>
          </cell>
          <cell r="I64" t="str">
            <v>4</v>
          </cell>
          <cell r="J64" t="str">
            <v>PI01</v>
          </cell>
          <cell r="R64">
            <v>1985109</v>
          </cell>
          <cell r="S64" t="str">
            <v>106990999</v>
          </cell>
        </row>
        <row r="65">
          <cell r="F65">
            <v>106991007</v>
          </cell>
          <cell r="G65" t="str">
            <v>529</v>
          </cell>
          <cell r="H65" t="str">
            <v>B8</v>
          </cell>
          <cell r="I65" t="str">
            <v>4</v>
          </cell>
          <cell r="J65" t="str">
            <v>PI01</v>
          </cell>
          <cell r="R65">
            <v>2040337</v>
          </cell>
          <cell r="S65" t="str">
            <v>106991007</v>
          </cell>
        </row>
        <row r="66">
          <cell r="F66">
            <v>106990991</v>
          </cell>
          <cell r="G66" t="str">
            <v>529</v>
          </cell>
          <cell r="H66" t="str">
            <v>B8</v>
          </cell>
          <cell r="I66" t="str">
            <v>4</v>
          </cell>
          <cell r="J66" t="str">
            <v>PI01</v>
          </cell>
          <cell r="R66">
            <v>1745898</v>
          </cell>
          <cell r="S66" t="str">
            <v>106990991</v>
          </cell>
        </row>
        <row r="67">
          <cell r="F67">
            <v>106990984</v>
          </cell>
          <cell r="G67" t="str">
            <v>529</v>
          </cell>
          <cell r="H67" t="str">
            <v>B8</v>
          </cell>
          <cell r="I67" t="str">
            <v>4</v>
          </cell>
          <cell r="J67" t="str">
            <v>PI01</v>
          </cell>
          <cell r="R67">
            <v>1618408</v>
          </cell>
          <cell r="S67" t="str">
            <v>106990984</v>
          </cell>
        </row>
        <row r="68">
          <cell r="F68">
            <v>106990969</v>
          </cell>
          <cell r="G68" t="str">
            <v>525</v>
          </cell>
          <cell r="H68" t="str">
            <v>B8</v>
          </cell>
          <cell r="I68" t="str">
            <v>4</v>
          </cell>
          <cell r="J68" t="str">
            <v>PI01</v>
          </cell>
          <cell r="R68">
            <v>1762559</v>
          </cell>
          <cell r="S68" t="str">
            <v>106990969</v>
          </cell>
        </row>
        <row r="69">
          <cell r="F69">
            <v>106991033</v>
          </cell>
          <cell r="G69" t="str">
            <v>529</v>
          </cell>
          <cell r="H69" t="str">
            <v>B8</v>
          </cell>
          <cell r="I69" t="str">
            <v>4</v>
          </cell>
          <cell r="J69" t="str">
            <v>PI01</v>
          </cell>
          <cell r="R69">
            <v>1365934</v>
          </cell>
          <cell r="S69" t="str">
            <v>106991033</v>
          </cell>
        </row>
        <row r="70">
          <cell r="F70">
            <v>106986699</v>
          </cell>
          <cell r="G70" t="str">
            <v>525</v>
          </cell>
          <cell r="H70" t="str">
            <v>B8</v>
          </cell>
          <cell r="I70" t="str">
            <v>4</v>
          </cell>
          <cell r="J70" t="str">
            <v>YPI5</v>
          </cell>
          <cell r="R70">
            <v>1774744</v>
          </cell>
          <cell r="S70" t="str">
            <v>106986699</v>
          </cell>
        </row>
        <row r="71">
          <cell r="F71">
            <v>106990972</v>
          </cell>
          <cell r="G71" t="str">
            <v>529</v>
          </cell>
          <cell r="H71" t="str">
            <v>B8</v>
          </cell>
          <cell r="I71" t="str">
            <v>4</v>
          </cell>
          <cell r="J71" t="str">
            <v>PI01</v>
          </cell>
          <cell r="R71">
            <v>1617831</v>
          </cell>
          <cell r="S71" t="str">
            <v>106990972</v>
          </cell>
        </row>
        <row r="72">
          <cell r="F72">
            <v>106990985</v>
          </cell>
          <cell r="G72" t="str">
            <v>529</v>
          </cell>
          <cell r="H72" t="str">
            <v>B8</v>
          </cell>
          <cell r="I72" t="str">
            <v>4</v>
          </cell>
          <cell r="J72" t="str">
            <v>PI01</v>
          </cell>
          <cell r="R72">
            <v>1819196</v>
          </cell>
          <cell r="S72" t="str">
            <v>106990985</v>
          </cell>
        </row>
        <row r="73">
          <cell r="F73">
            <v>106991182</v>
          </cell>
          <cell r="G73" t="str">
            <v>313</v>
          </cell>
          <cell r="H73" t="str">
            <v>B8</v>
          </cell>
          <cell r="I73" t="str">
            <v>4</v>
          </cell>
          <cell r="J73" t="str">
            <v>PI01</v>
          </cell>
          <cell r="R73">
            <v>1812532</v>
          </cell>
          <cell r="S73" t="str">
            <v>106991182</v>
          </cell>
        </row>
        <row r="74">
          <cell r="F74">
            <v>106991181</v>
          </cell>
          <cell r="G74" t="str">
            <v>313</v>
          </cell>
          <cell r="H74" t="str">
            <v>B8</v>
          </cell>
          <cell r="I74" t="str">
            <v>4</v>
          </cell>
          <cell r="J74" t="str">
            <v>PI01</v>
          </cell>
          <cell r="R74">
            <v>1001474</v>
          </cell>
          <cell r="S74" t="str">
            <v>106991181</v>
          </cell>
        </row>
        <row r="75">
          <cell r="F75">
            <v>106991180</v>
          </cell>
          <cell r="G75" t="str">
            <v>313</v>
          </cell>
          <cell r="H75" t="str">
            <v>B8</v>
          </cell>
          <cell r="I75" t="str">
            <v>4</v>
          </cell>
          <cell r="J75" t="str">
            <v>PI01</v>
          </cell>
          <cell r="R75">
            <v>1243142</v>
          </cell>
          <cell r="S75" t="str">
            <v>106991180</v>
          </cell>
        </row>
        <row r="76">
          <cell r="F76">
            <v>106991183</v>
          </cell>
          <cell r="G76" t="str">
            <v>529</v>
          </cell>
          <cell r="H76" t="str">
            <v>B8</v>
          </cell>
          <cell r="I76" t="str">
            <v>4</v>
          </cell>
          <cell r="J76" t="str">
            <v>PI01</v>
          </cell>
          <cell r="R76">
            <v>1880107</v>
          </cell>
          <cell r="S76" t="str">
            <v>106991183</v>
          </cell>
        </row>
        <row r="77">
          <cell r="F77">
            <v>106990349</v>
          </cell>
          <cell r="G77" t="str">
            <v>529</v>
          </cell>
          <cell r="H77" t="str">
            <v>B8</v>
          </cell>
          <cell r="I77" t="str">
            <v>4</v>
          </cell>
          <cell r="J77" t="str">
            <v>PI01</v>
          </cell>
          <cell r="R77">
            <v>1960407</v>
          </cell>
          <cell r="S77" t="str">
            <v>106990349</v>
          </cell>
        </row>
        <row r="78">
          <cell r="F78">
            <v>106990344</v>
          </cell>
          <cell r="G78" t="str">
            <v>529</v>
          </cell>
          <cell r="H78" t="str">
            <v>B8</v>
          </cell>
          <cell r="I78" t="str">
            <v>4</v>
          </cell>
          <cell r="J78" t="str">
            <v>PI01</v>
          </cell>
          <cell r="R78">
            <v>1735260</v>
          </cell>
          <cell r="S78" t="str">
            <v>106990344</v>
          </cell>
        </row>
        <row r="79">
          <cell r="F79">
            <v>106991179</v>
          </cell>
          <cell r="G79" t="str">
            <v>529</v>
          </cell>
          <cell r="H79" t="str">
            <v>B8</v>
          </cell>
          <cell r="I79" t="str">
            <v>4</v>
          </cell>
          <cell r="J79" t="str">
            <v>PI01</v>
          </cell>
          <cell r="R79">
            <v>1648708</v>
          </cell>
          <cell r="S79" t="str">
            <v>106991179</v>
          </cell>
        </row>
        <row r="80">
          <cell r="F80">
            <v>106991188</v>
          </cell>
          <cell r="G80" t="str">
            <v>313</v>
          </cell>
          <cell r="H80" t="str">
            <v>B8</v>
          </cell>
          <cell r="I80" t="str">
            <v>4</v>
          </cell>
          <cell r="J80" t="str">
            <v>PI01</v>
          </cell>
          <cell r="R80">
            <v>1498545</v>
          </cell>
          <cell r="S80" t="str">
            <v>106991188</v>
          </cell>
        </row>
        <row r="81">
          <cell r="F81">
            <v>106991190</v>
          </cell>
          <cell r="G81" t="str">
            <v>313</v>
          </cell>
          <cell r="H81" t="str">
            <v>B8</v>
          </cell>
          <cell r="I81" t="str">
            <v>4</v>
          </cell>
          <cell r="J81" t="str">
            <v>PI01</v>
          </cell>
          <cell r="R81">
            <v>1616896</v>
          </cell>
          <cell r="S81" t="str">
            <v>106991190</v>
          </cell>
        </row>
        <row r="82">
          <cell r="F82">
            <v>106991189</v>
          </cell>
          <cell r="G82" t="str">
            <v>313</v>
          </cell>
          <cell r="H82" t="str">
            <v>B8</v>
          </cell>
          <cell r="I82" t="str">
            <v>4</v>
          </cell>
          <cell r="J82" t="str">
            <v>PI01</v>
          </cell>
          <cell r="R82">
            <v>1306533</v>
          </cell>
          <cell r="S82" t="str">
            <v>106991189</v>
          </cell>
        </row>
        <row r="83">
          <cell r="F83">
            <v>106991184</v>
          </cell>
          <cell r="G83" t="str">
            <v>313</v>
          </cell>
          <cell r="H83" t="str">
            <v>B8</v>
          </cell>
          <cell r="I83" t="str">
            <v>4</v>
          </cell>
          <cell r="J83" t="str">
            <v>PI01</v>
          </cell>
          <cell r="R83">
            <v>1953065</v>
          </cell>
          <cell r="S83" t="str">
            <v>106991184</v>
          </cell>
        </row>
        <row r="84">
          <cell r="F84">
            <v>106991187</v>
          </cell>
          <cell r="G84" t="str">
            <v>313</v>
          </cell>
          <cell r="H84" t="str">
            <v>B8</v>
          </cell>
          <cell r="I84" t="str">
            <v>4</v>
          </cell>
          <cell r="J84" t="str">
            <v>PI01</v>
          </cell>
          <cell r="R84">
            <v>1408496</v>
          </cell>
          <cell r="S84" t="str">
            <v>106991187</v>
          </cell>
        </row>
        <row r="85">
          <cell r="F85">
            <v>106991186</v>
          </cell>
          <cell r="G85" t="str">
            <v>313</v>
          </cell>
          <cell r="H85" t="str">
            <v>B8</v>
          </cell>
          <cell r="I85" t="str">
            <v>4</v>
          </cell>
          <cell r="J85" t="str">
            <v>PI01</v>
          </cell>
          <cell r="R85">
            <v>1336301</v>
          </cell>
          <cell r="S85" t="str">
            <v>106991186</v>
          </cell>
        </row>
        <row r="86">
          <cell r="F86">
            <v>106991185</v>
          </cell>
          <cell r="G86" t="str">
            <v>313</v>
          </cell>
          <cell r="H86" t="str">
            <v>B8</v>
          </cell>
          <cell r="I86" t="str">
            <v>4</v>
          </cell>
          <cell r="J86" t="str">
            <v>PI01</v>
          </cell>
          <cell r="R86">
            <v>1554926</v>
          </cell>
          <cell r="S86" t="str">
            <v>106991185</v>
          </cell>
        </row>
        <row r="87">
          <cell r="F87">
            <v>106991191</v>
          </cell>
          <cell r="G87" t="str">
            <v>313</v>
          </cell>
          <cell r="H87" t="str">
            <v>B8</v>
          </cell>
          <cell r="I87" t="str">
            <v>4</v>
          </cell>
          <cell r="J87" t="str">
            <v>PI01</v>
          </cell>
          <cell r="R87">
            <v>1871825</v>
          </cell>
          <cell r="S87" t="str">
            <v>106991191</v>
          </cell>
        </row>
        <row r="88">
          <cell r="F88">
            <v>106990351</v>
          </cell>
          <cell r="G88" t="str">
            <v>529</v>
          </cell>
          <cell r="H88" t="str">
            <v>B8</v>
          </cell>
          <cell r="I88" t="str">
            <v>4</v>
          </cell>
          <cell r="J88" t="str">
            <v>PI01</v>
          </cell>
          <cell r="R88">
            <v>1950395</v>
          </cell>
          <cell r="S88" t="str">
            <v>106990351</v>
          </cell>
        </row>
        <row r="89">
          <cell r="F89">
            <v>106991174</v>
          </cell>
          <cell r="G89" t="str">
            <v>529</v>
          </cell>
          <cell r="H89" t="str">
            <v>B8</v>
          </cell>
          <cell r="I89" t="str">
            <v>4</v>
          </cell>
          <cell r="J89" t="str">
            <v>PI01</v>
          </cell>
          <cell r="R89">
            <v>1668657</v>
          </cell>
          <cell r="S89" t="str">
            <v>106991174</v>
          </cell>
        </row>
        <row r="90">
          <cell r="F90">
            <v>106991192</v>
          </cell>
          <cell r="G90" t="str">
            <v>529</v>
          </cell>
          <cell r="H90" t="str">
            <v>B8</v>
          </cell>
          <cell r="I90" t="str">
            <v>4</v>
          </cell>
          <cell r="J90" t="str">
            <v>PI01</v>
          </cell>
          <cell r="R90">
            <v>1997435</v>
          </cell>
          <cell r="S90" t="str">
            <v>106991192</v>
          </cell>
        </row>
        <row r="91">
          <cell r="F91">
            <v>106990345</v>
          </cell>
          <cell r="G91" t="str">
            <v>530</v>
          </cell>
          <cell r="H91" t="str">
            <v>B8</v>
          </cell>
          <cell r="I91" t="str">
            <v>4</v>
          </cell>
          <cell r="J91" t="str">
            <v>PI01</v>
          </cell>
          <cell r="R91">
            <v>1006397</v>
          </cell>
          <cell r="S91" t="str">
            <v>106990345</v>
          </cell>
        </row>
        <row r="92">
          <cell r="F92">
            <v>106990346</v>
          </cell>
          <cell r="G92" t="str">
            <v>529</v>
          </cell>
          <cell r="H92" t="str">
            <v>B8</v>
          </cell>
          <cell r="I92" t="str">
            <v>4</v>
          </cell>
          <cell r="J92" t="str">
            <v>PI01</v>
          </cell>
          <cell r="R92">
            <v>1875898</v>
          </cell>
          <cell r="S92" t="str">
            <v>106990346</v>
          </cell>
        </row>
        <row r="93">
          <cell r="F93">
            <v>106986697</v>
          </cell>
          <cell r="G93" t="str">
            <v>525</v>
          </cell>
          <cell r="H93" t="str">
            <v>B8</v>
          </cell>
          <cell r="I93" t="str">
            <v>4</v>
          </cell>
          <cell r="J93" t="str">
            <v>YPI5</v>
          </cell>
          <cell r="R93">
            <v>1958029</v>
          </cell>
          <cell r="S93" t="str">
            <v>106986697</v>
          </cell>
        </row>
        <row r="94">
          <cell r="F94">
            <v>106991178</v>
          </cell>
          <cell r="G94" t="str">
            <v>529</v>
          </cell>
          <cell r="H94" t="str">
            <v>B8</v>
          </cell>
          <cell r="I94" t="str">
            <v>4</v>
          </cell>
          <cell r="J94" t="str">
            <v>PI01</v>
          </cell>
          <cell r="R94">
            <v>1399943</v>
          </cell>
          <cell r="S94" t="str">
            <v>106991178</v>
          </cell>
        </row>
        <row r="95">
          <cell r="F95">
            <v>106990354</v>
          </cell>
          <cell r="G95" t="str">
            <v>529</v>
          </cell>
          <cell r="H95" t="str">
            <v>B8</v>
          </cell>
          <cell r="I95" t="str">
            <v>4</v>
          </cell>
          <cell r="J95" t="str">
            <v>PI01</v>
          </cell>
          <cell r="R95">
            <v>1969312</v>
          </cell>
          <cell r="S95" t="str">
            <v>106990354</v>
          </cell>
        </row>
        <row r="96">
          <cell r="F96">
            <v>106991160</v>
          </cell>
          <cell r="G96" t="str">
            <v>529</v>
          </cell>
          <cell r="H96" t="str">
            <v>B8</v>
          </cell>
          <cell r="I96" t="str">
            <v>4</v>
          </cell>
          <cell r="J96" t="str">
            <v>PI01</v>
          </cell>
          <cell r="R96">
            <v>1957321</v>
          </cell>
          <cell r="S96" t="str">
            <v>106991160</v>
          </cell>
        </row>
        <row r="97">
          <cell r="F97">
            <v>106991171</v>
          </cell>
          <cell r="G97" t="str">
            <v>529</v>
          </cell>
          <cell r="H97" t="str">
            <v>B8</v>
          </cell>
          <cell r="I97" t="str">
            <v>4</v>
          </cell>
          <cell r="J97" t="str">
            <v>PI01</v>
          </cell>
          <cell r="R97">
            <v>2071551</v>
          </cell>
          <cell r="S97" t="str">
            <v>106991171</v>
          </cell>
        </row>
        <row r="98">
          <cell r="F98">
            <v>106991170</v>
          </cell>
          <cell r="G98" t="str">
            <v>529</v>
          </cell>
          <cell r="H98" t="str">
            <v>B8</v>
          </cell>
          <cell r="I98" t="str">
            <v>4</v>
          </cell>
          <cell r="J98" t="str">
            <v>PI01</v>
          </cell>
          <cell r="R98">
            <v>1929274</v>
          </cell>
          <cell r="S98" t="str">
            <v>106991170</v>
          </cell>
        </row>
        <row r="99">
          <cell r="F99">
            <v>106991158</v>
          </cell>
          <cell r="G99" t="str">
            <v>525</v>
          </cell>
          <cell r="H99" t="str">
            <v>B8</v>
          </cell>
          <cell r="I99" t="str">
            <v>4</v>
          </cell>
          <cell r="J99" t="str">
            <v>PI01</v>
          </cell>
          <cell r="R99">
            <v>2037336</v>
          </cell>
          <cell r="S99" t="str">
            <v>106991158</v>
          </cell>
        </row>
        <row r="100">
          <cell r="F100">
            <v>106990343</v>
          </cell>
          <cell r="G100" t="str">
            <v>529</v>
          </cell>
          <cell r="H100" t="str">
            <v>B8</v>
          </cell>
          <cell r="I100" t="str">
            <v>4</v>
          </cell>
          <cell r="J100" t="str">
            <v>PI01</v>
          </cell>
          <cell r="R100">
            <v>1630314</v>
          </cell>
          <cell r="S100" t="str">
            <v>106990343</v>
          </cell>
        </row>
        <row r="101">
          <cell r="F101">
            <v>106991167</v>
          </cell>
          <cell r="G101" t="str">
            <v>529</v>
          </cell>
          <cell r="H101" t="str">
            <v>B8</v>
          </cell>
          <cell r="I101" t="str">
            <v>4</v>
          </cell>
          <cell r="J101" t="str">
            <v>PI01</v>
          </cell>
          <cell r="R101">
            <v>2065427</v>
          </cell>
          <cell r="S101" t="str">
            <v>106991167</v>
          </cell>
        </row>
        <row r="102">
          <cell r="F102">
            <v>106990350</v>
          </cell>
          <cell r="G102" t="str">
            <v>529</v>
          </cell>
          <cell r="H102" t="str">
            <v>B8</v>
          </cell>
          <cell r="I102" t="str">
            <v>4</v>
          </cell>
          <cell r="J102" t="str">
            <v>PI01</v>
          </cell>
          <cell r="R102">
            <v>1929724</v>
          </cell>
          <cell r="S102" t="str">
            <v>106990350</v>
          </cell>
        </row>
        <row r="103">
          <cell r="F103">
            <v>106991168</v>
          </cell>
          <cell r="G103" t="str">
            <v>525</v>
          </cell>
          <cell r="H103" t="str">
            <v>B8</v>
          </cell>
          <cell r="I103" t="str">
            <v>4</v>
          </cell>
          <cell r="J103" t="str">
            <v>PI01</v>
          </cell>
          <cell r="R103">
            <v>1816896</v>
          </cell>
          <cell r="S103" t="str">
            <v>106991168</v>
          </cell>
        </row>
        <row r="104">
          <cell r="F104">
            <v>106991169</v>
          </cell>
          <cell r="G104" t="str">
            <v>529</v>
          </cell>
          <cell r="H104" t="str">
            <v>B8</v>
          </cell>
          <cell r="I104" t="str">
            <v>4</v>
          </cell>
          <cell r="J104" t="str">
            <v>PI01</v>
          </cell>
          <cell r="R104">
            <v>3002909</v>
          </cell>
          <cell r="S104" t="str">
            <v>106991169</v>
          </cell>
        </row>
        <row r="105">
          <cell r="F105">
            <v>106991177</v>
          </cell>
          <cell r="G105" t="str">
            <v>529</v>
          </cell>
          <cell r="H105" t="str">
            <v>B8</v>
          </cell>
          <cell r="I105" t="str">
            <v>4</v>
          </cell>
          <cell r="J105" t="str">
            <v>PI01</v>
          </cell>
          <cell r="R105">
            <v>1383270</v>
          </cell>
          <cell r="S105" t="str">
            <v>106991177</v>
          </cell>
        </row>
        <row r="106">
          <cell r="F106">
            <v>106991176</v>
          </cell>
          <cell r="G106" t="str">
            <v>529</v>
          </cell>
          <cell r="H106" t="str">
            <v>B8</v>
          </cell>
          <cell r="I106" t="str">
            <v>4</v>
          </cell>
          <cell r="J106" t="str">
            <v>PI01</v>
          </cell>
          <cell r="R106">
            <v>1379954</v>
          </cell>
          <cell r="S106" t="str">
            <v>106991176</v>
          </cell>
        </row>
        <row r="107">
          <cell r="F107">
            <v>106991163</v>
          </cell>
          <cell r="G107" t="str">
            <v>529</v>
          </cell>
          <cell r="H107" t="str">
            <v>B8</v>
          </cell>
          <cell r="I107" t="str">
            <v>4</v>
          </cell>
          <cell r="J107" t="str">
            <v>PI01</v>
          </cell>
          <cell r="R107">
            <v>2048054</v>
          </cell>
          <cell r="S107" t="str">
            <v>106991163</v>
          </cell>
        </row>
        <row r="108">
          <cell r="F108">
            <v>106991159</v>
          </cell>
          <cell r="G108" t="str">
            <v>529</v>
          </cell>
          <cell r="H108" t="str">
            <v>B8</v>
          </cell>
          <cell r="I108" t="str">
            <v>4</v>
          </cell>
          <cell r="J108" t="str">
            <v>PI01</v>
          </cell>
          <cell r="R108">
            <v>2010947</v>
          </cell>
          <cell r="S108" t="str">
            <v>106991159</v>
          </cell>
        </row>
        <row r="109">
          <cell r="F109">
            <v>106991193</v>
          </cell>
          <cell r="G109" t="str">
            <v>313</v>
          </cell>
          <cell r="H109" t="str">
            <v>B8</v>
          </cell>
          <cell r="I109" t="str">
            <v>4</v>
          </cell>
          <cell r="J109" t="str">
            <v>PI01</v>
          </cell>
          <cell r="R109">
            <v>1379549</v>
          </cell>
          <cell r="S109" t="str">
            <v>106991193</v>
          </cell>
        </row>
        <row r="110">
          <cell r="F110">
            <v>106990353</v>
          </cell>
          <cell r="G110" t="str">
            <v>529</v>
          </cell>
          <cell r="H110" t="str">
            <v>B8</v>
          </cell>
          <cell r="I110" t="str">
            <v>4</v>
          </cell>
          <cell r="J110" t="str">
            <v>PI01</v>
          </cell>
          <cell r="R110">
            <v>1982320</v>
          </cell>
          <cell r="S110" t="str">
            <v>106990353</v>
          </cell>
        </row>
        <row r="111">
          <cell r="F111">
            <v>106991172</v>
          </cell>
          <cell r="G111" t="str">
            <v>529</v>
          </cell>
          <cell r="H111" t="str">
            <v>B8</v>
          </cell>
          <cell r="I111" t="str">
            <v>4</v>
          </cell>
          <cell r="J111" t="str">
            <v>PI01</v>
          </cell>
          <cell r="R111">
            <v>1960924</v>
          </cell>
          <cell r="S111" t="str">
            <v>106991172</v>
          </cell>
        </row>
        <row r="112">
          <cell r="F112">
            <v>106991164</v>
          </cell>
          <cell r="G112" t="str">
            <v>529</v>
          </cell>
          <cell r="H112" t="str">
            <v>B8</v>
          </cell>
          <cell r="I112" t="str">
            <v>4</v>
          </cell>
          <cell r="J112" t="str">
            <v>PI01</v>
          </cell>
          <cell r="R112">
            <v>2050853</v>
          </cell>
          <cell r="S112" t="str">
            <v>106991164</v>
          </cell>
        </row>
        <row r="113">
          <cell r="F113">
            <v>106990348</v>
          </cell>
          <cell r="G113" t="str">
            <v>529</v>
          </cell>
          <cell r="H113" t="str">
            <v>B8</v>
          </cell>
          <cell r="I113" t="str">
            <v>4</v>
          </cell>
          <cell r="J113" t="str">
            <v>PI01</v>
          </cell>
          <cell r="R113">
            <v>1924297</v>
          </cell>
          <cell r="S113" t="str">
            <v>106990348</v>
          </cell>
        </row>
        <row r="114">
          <cell r="F114">
            <v>106990355</v>
          </cell>
          <cell r="G114" t="str">
            <v>529</v>
          </cell>
          <cell r="H114" t="str">
            <v>B8</v>
          </cell>
          <cell r="I114" t="str">
            <v>4</v>
          </cell>
          <cell r="J114" t="str">
            <v>PI01</v>
          </cell>
          <cell r="R114">
            <v>1976339</v>
          </cell>
          <cell r="S114" t="str">
            <v>106990355</v>
          </cell>
        </row>
        <row r="115">
          <cell r="F115">
            <v>106991173</v>
          </cell>
          <cell r="G115" t="str">
            <v>529</v>
          </cell>
          <cell r="H115" t="str">
            <v>B8</v>
          </cell>
          <cell r="I115" t="str">
            <v>4</v>
          </cell>
          <cell r="J115" t="str">
            <v>PI01</v>
          </cell>
          <cell r="R115">
            <v>1945612</v>
          </cell>
          <cell r="S115" t="str">
            <v>106991173</v>
          </cell>
        </row>
        <row r="116">
          <cell r="F116">
            <v>106990347</v>
          </cell>
          <cell r="G116" t="str">
            <v>529</v>
          </cell>
          <cell r="H116" t="str">
            <v>B8</v>
          </cell>
          <cell r="I116" t="str">
            <v>4</v>
          </cell>
          <cell r="J116" t="str">
            <v>PI01</v>
          </cell>
          <cell r="R116">
            <v>1928211</v>
          </cell>
          <cell r="S116" t="str">
            <v>106990347</v>
          </cell>
        </row>
        <row r="117">
          <cell r="F117">
            <v>106991162</v>
          </cell>
          <cell r="G117" t="str">
            <v>529</v>
          </cell>
          <cell r="H117" t="str">
            <v>B8</v>
          </cell>
          <cell r="I117" t="str">
            <v>4</v>
          </cell>
          <cell r="J117" t="str">
            <v>PI01</v>
          </cell>
          <cell r="R117">
            <v>2050143</v>
          </cell>
          <cell r="S117" t="str">
            <v>106991162</v>
          </cell>
        </row>
        <row r="118">
          <cell r="F118">
            <v>106991161</v>
          </cell>
          <cell r="G118" t="str">
            <v>529</v>
          </cell>
          <cell r="H118" t="str">
            <v>B8</v>
          </cell>
          <cell r="I118" t="str">
            <v>4</v>
          </cell>
          <cell r="J118" t="str">
            <v>PI01</v>
          </cell>
          <cell r="R118">
            <v>2006152</v>
          </cell>
          <cell r="S118" t="str">
            <v>106991161</v>
          </cell>
        </row>
        <row r="119">
          <cell r="F119">
            <v>106990352</v>
          </cell>
          <cell r="G119" t="str">
            <v>529</v>
          </cell>
          <cell r="H119" t="str">
            <v>B8</v>
          </cell>
          <cell r="I119" t="str">
            <v>4</v>
          </cell>
          <cell r="J119" t="str">
            <v>PI01</v>
          </cell>
          <cell r="R119">
            <v>1985104</v>
          </cell>
          <cell r="S119" t="str">
            <v>106990352</v>
          </cell>
        </row>
        <row r="120">
          <cell r="F120">
            <v>106991156</v>
          </cell>
          <cell r="G120" t="str">
            <v>529</v>
          </cell>
          <cell r="H120" t="str">
            <v>B8</v>
          </cell>
          <cell r="I120" t="str">
            <v>4</v>
          </cell>
          <cell r="J120" t="str">
            <v>PI01</v>
          </cell>
          <cell r="R120">
            <v>2005076</v>
          </cell>
          <cell r="S120" t="str">
            <v>106991156</v>
          </cell>
        </row>
        <row r="121">
          <cell r="F121">
            <v>106991175</v>
          </cell>
          <cell r="G121" t="str">
            <v>529</v>
          </cell>
          <cell r="H121" t="str">
            <v>B8</v>
          </cell>
          <cell r="I121" t="str">
            <v>4</v>
          </cell>
          <cell r="J121" t="str">
            <v>PI01</v>
          </cell>
          <cell r="R121">
            <v>2009611</v>
          </cell>
          <cell r="S121" t="str">
            <v>106991175</v>
          </cell>
        </row>
        <row r="122">
          <cell r="F122">
            <v>106991166</v>
          </cell>
          <cell r="G122" t="str">
            <v>529</v>
          </cell>
          <cell r="H122" t="str">
            <v>B8</v>
          </cell>
          <cell r="I122" t="str">
            <v>4</v>
          </cell>
          <cell r="J122" t="str">
            <v>PI01</v>
          </cell>
          <cell r="R122">
            <v>2074216</v>
          </cell>
          <cell r="S122" t="str">
            <v>106991166</v>
          </cell>
        </row>
        <row r="123">
          <cell r="F123">
            <v>106991157</v>
          </cell>
          <cell r="G123" t="str">
            <v>529</v>
          </cell>
          <cell r="H123" t="str">
            <v>B8</v>
          </cell>
          <cell r="I123" t="str">
            <v>4</v>
          </cell>
          <cell r="J123" t="str">
            <v>PI01</v>
          </cell>
          <cell r="R123">
            <v>2010292</v>
          </cell>
          <cell r="S123" t="str">
            <v>106991157</v>
          </cell>
        </row>
        <row r="124">
          <cell r="F124">
            <v>106991165</v>
          </cell>
          <cell r="G124" t="str">
            <v>529</v>
          </cell>
          <cell r="H124" t="str">
            <v>B8</v>
          </cell>
          <cell r="I124" t="str">
            <v>4</v>
          </cell>
          <cell r="J124" t="str">
            <v>PI01</v>
          </cell>
          <cell r="R124">
            <v>2015614</v>
          </cell>
          <cell r="S124" t="str">
            <v>106991165</v>
          </cell>
        </row>
        <row r="125">
          <cell r="F125">
            <v>106990342</v>
          </cell>
          <cell r="G125" t="str">
            <v>529</v>
          </cell>
          <cell r="H125" t="str">
            <v>B8</v>
          </cell>
          <cell r="I125" t="str">
            <v>4</v>
          </cell>
          <cell r="J125" t="str">
            <v>PI01</v>
          </cell>
          <cell r="R125">
            <v>1705311</v>
          </cell>
          <cell r="S125" t="str">
            <v>106990342</v>
          </cell>
        </row>
        <row r="126">
          <cell r="F126">
            <v>106989546</v>
          </cell>
          <cell r="G126" t="str">
            <v>313</v>
          </cell>
          <cell r="H126" t="str">
            <v>B8</v>
          </cell>
          <cell r="I126" t="str">
            <v>4</v>
          </cell>
          <cell r="J126" t="str">
            <v>PI01</v>
          </cell>
          <cell r="R126">
            <v>1811303</v>
          </cell>
          <cell r="S126" t="str">
            <v>106989546</v>
          </cell>
        </row>
        <row r="127">
          <cell r="F127">
            <v>106989545</v>
          </cell>
          <cell r="G127" t="str">
            <v>313</v>
          </cell>
          <cell r="H127" t="str">
            <v>B8</v>
          </cell>
          <cell r="I127" t="str">
            <v>4</v>
          </cell>
          <cell r="J127" t="str">
            <v>PI01</v>
          </cell>
          <cell r="R127">
            <v>1135003</v>
          </cell>
          <cell r="S127" t="str">
            <v>106989545</v>
          </cell>
        </row>
        <row r="128">
          <cell r="F128">
            <v>106989540</v>
          </cell>
          <cell r="G128" t="str">
            <v>313</v>
          </cell>
          <cell r="H128" t="str">
            <v>B8</v>
          </cell>
          <cell r="I128" t="str">
            <v>4</v>
          </cell>
          <cell r="J128" t="str">
            <v>PI01</v>
          </cell>
          <cell r="R128">
            <v>1958027</v>
          </cell>
          <cell r="S128" t="str">
            <v>106989540</v>
          </cell>
        </row>
        <row r="129">
          <cell r="F129">
            <v>106989538</v>
          </cell>
          <cell r="G129" t="str">
            <v>313</v>
          </cell>
          <cell r="H129" t="str">
            <v>B8</v>
          </cell>
          <cell r="I129" t="str">
            <v>4</v>
          </cell>
          <cell r="J129" t="str">
            <v>PI01</v>
          </cell>
          <cell r="R129">
            <v>1684601</v>
          </cell>
          <cell r="S129" t="str">
            <v>106989538</v>
          </cell>
        </row>
        <row r="130">
          <cell r="F130">
            <v>106989541</v>
          </cell>
          <cell r="G130" t="str">
            <v>313</v>
          </cell>
          <cell r="H130" t="str">
            <v>B8</v>
          </cell>
          <cell r="I130" t="str">
            <v>4</v>
          </cell>
          <cell r="J130" t="str">
            <v>PI01</v>
          </cell>
          <cell r="R130">
            <v>1843873</v>
          </cell>
          <cell r="S130" t="str">
            <v>106989541</v>
          </cell>
        </row>
        <row r="131">
          <cell r="F131">
            <v>106989537</v>
          </cell>
          <cell r="G131" t="str">
            <v>313</v>
          </cell>
          <cell r="H131" t="str">
            <v>B8</v>
          </cell>
          <cell r="I131" t="str">
            <v>4</v>
          </cell>
          <cell r="J131" t="str">
            <v>PI01</v>
          </cell>
          <cell r="R131">
            <v>2005073</v>
          </cell>
          <cell r="S131" t="str">
            <v>106989537</v>
          </cell>
        </row>
        <row r="132">
          <cell r="F132">
            <v>106989542</v>
          </cell>
          <cell r="G132" t="str">
            <v>313</v>
          </cell>
          <cell r="H132" t="str">
            <v>B8</v>
          </cell>
          <cell r="I132" t="str">
            <v>4</v>
          </cell>
          <cell r="J132" t="str">
            <v>PI01</v>
          </cell>
          <cell r="R132">
            <v>1379547</v>
          </cell>
          <cell r="S132" t="str">
            <v>106989542</v>
          </cell>
        </row>
        <row r="133">
          <cell r="F133">
            <v>106989539</v>
          </cell>
          <cell r="G133" t="str">
            <v>313</v>
          </cell>
          <cell r="H133" t="str">
            <v>B8</v>
          </cell>
          <cell r="I133" t="str">
            <v>4</v>
          </cell>
          <cell r="J133" t="str">
            <v>PI01</v>
          </cell>
          <cell r="R133">
            <v>1434193</v>
          </cell>
          <cell r="S133" t="str">
            <v>106989539</v>
          </cell>
        </row>
        <row r="134">
          <cell r="F134">
            <v>106989543</v>
          </cell>
          <cell r="G134" t="str">
            <v>313</v>
          </cell>
          <cell r="H134" t="str">
            <v>B8</v>
          </cell>
          <cell r="I134" t="str">
            <v>4</v>
          </cell>
          <cell r="J134" t="str">
            <v>PI01</v>
          </cell>
          <cell r="R134">
            <v>2003364</v>
          </cell>
          <cell r="S134" t="str">
            <v>106989543</v>
          </cell>
        </row>
        <row r="135">
          <cell r="F135">
            <v>106989544</v>
          </cell>
          <cell r="G135" t="str">
            <v>313</v>
          </cell>
          <cell r="H135" t="str">
            <v>B8</v>
          </cell>
          <cell r="I135" t="str">
            <v>4</v>
          </cell>
          <cell r="J135" t="str">
            <v>PI01</v>
          </cell>
          <cell r="R135">
            <v>2003376</v>
          </cell>
          <cell r="S135" t="str">
            <v>106989544</v>
          </cell>
        </row>
        <row r="136">
          <cell r="F136">
            <v>106991056</v>
          </cell>
          <cell r="G136" t="str">
            <v>313</v>
          </cell>
          <cell r="H136" t="str">
            <v>B8</v>
          </cell>
          <cell r="I136" t="str">
            <v>4</v>
          </cell>
          <cell r="J136" t="str">
            <v>PI01</v>
          </cell>
          <cell r="R136">
            <v>1843879</v>
          </cell>
          <cell r="S136" t="str">
            <v>106991056</v>
          </cell>
        </row>
        <row r="137">
          <cell r="F137">
            <v>106991060</v>
          </cell>
          <cell r="G137" t="str">
            <v>313</v>
          </cell>
          <cell r="H137" t="str">
            <v>B8</v>
          </cell>
          <cell r="I137" t="str">
            <v>4</v>
          </cell>
          <cell r="J137" t="str">
            <v>PI01</v>
          </cell>
          <cell r="R137">
            <v>2010995</v>
          </cell>
          <cell r="S137" t="str">
            <v>106991060</v>
          </cell>
        </row>
        <row r="138">
          <cell r="F138">
            <v>106991061</v>
          </cell>
          <cell r="G138" t="str">
            <v>313</v>
          </cell>
          <cell r="H138" t="str">
            <v>B8</v>
          </cell>
          <cell r="I138" t="str">
            <v>4</v>
          </cell>
          <cell r="J138" t="str">
            <v>PI01</v>
          </cell>
          <cell r="R138">
            <v>3002268</v>
          </cell>
          <cell r="S138" t="str">
            <v>106991061</v>
          </cell>
        </row>
        <row r="139">
          <cell r="F139">
            <v>106991058</v>
          </cell>
          <cell r="G139" t="str">
            <v>313</v>
          </cell>
          <cell r="H139" t="str">
            <v>B8</v>
          </cell>
          <cell r="I139" t="str">
            <v>4</v>
          </cell>
          <cell r="J139" t="str">
            <v>PI01</v>
          </cell>
          <cell r="R139">
            <v>1985096</v>
          </cell>
          <cell r="S139" t="str">
            <v>106991058</v>
          </cell>
        </row>
        <row r="140">
          <cell r="F140">
            <v>106991062</v>
          </cell>
          <cell r="G140" t="str">
            <v>530</v>
          </cell>
          <cell r="H140" t="str">
            <v>B8</v>
          </cell>
          <cell r="I140" t="str">
            <v>4</v>
          </cell>
          <cell r="J140" t="str">
            <v>PI01</v>
          </cell>
          <cell r="R140">
            <v>1662894</v>
          </cell>
          <cell r="S140" t="str">
            <v>106991062</v>
          </cell>
        </row>
        <row r="141">
          <cell r="F141">
            <v>106991057</v>
          </cell>
          <cell r="G141" t="str">
            <v>313</v>
          </cell>
          <cell r="H141" t="str">
            <v>B8</v>
          </cell>
          <cell r="I141" t="str">
            <v>4</v>
          </cell>
          <cell r="J141" t="str">
            <v>PI01</v>
          </cell>
          <cell r="R141">
            <v>1944610</v>
          </cell>
          <cell r="S141" t="str">
            <v>106991057</v>
          </cell>
        </row>
        <row r="142">
          <cell r="F142">
            <v>106989655</v>
          </cell>
          <cell r="G142" t="str">
            <v>313</v>
          </cell>
          <cell r="H142" t="str">
            <v>B8</v>
          </cell>
          <cell r="I142" t="str">
            <v>4</v>
          </cell>
          <cell r="J142" t="str">
            <v>PI01</v>
          </cell>
          <cell r="R142">
            <v>1925421</v>
          </cell>
          <cell r="S142" t="str">
            <v>106989655</v>
          </cell>
        </row>
        <row r="143">
          <cell r="F143">
            <v>106991059</v>
          </cell>
          <cell r="G143" t="str">
            <v>313</v>
          </cell>
          <cell r="H143" t="str">
            <v>B8</v>
          </cell>
          <cell r="I143" t="str">
            <v>4</v>
          </cell>
          <cell r="J143" t="str">
            <v>PI01</v>
          </cell>
          <cell r="R143">
            <v>1945450</v>
          </cell>
          <cell r="S143" t="str">
            <v>106991059</v>
          </cell>
        </row>
        <row r="144">
          <cell r="F144">
            <v>106989654</v>
          </cell>
          <cell r="G144" t="str">
            <v>529</v>
          </cell>
          <cell r="H144" t="str">
            <v>B8</v>
          </cell>
          <cell r="I144" t="str">
            <v>4</v>
          </cell>
          <cell r="J144" t="str">
            <v>PI01</v>
          </cell>
          <cell r="R144">
            <v>1660013</v>
          </cell>
          <cell r="S144" t="str">
            <v>106989654</v>
          </cell>
        </row>
        <row r="145">
          <cell r="F145">
            <v>106989530</v>
          </cell>
          <cell r="G145" t="str">
            <v>313</v>
          </cell>
          <cell r="H145" t="str">
            <v>B8</v>
          </cell>
          <cell r="I145" t="str">
            <v>4</v>
          </cell>
          <cell r="J145" t="str">
            <v>PI01</v>
          </cell>
          <cell r="R145">
            <v>1259110</v>
          </cell>
          <cell r="S145" t="str">
            <v>106989530</v>
          </cell>
        </row>
        <row r="146">
          <cell r="F146">
            <v>106989528</v>
          </cell>
          <cell r="G146" t="str">
            <v>313</v>
          </cell>
          <cell r="H146" t="str">
            <v>B8</v>
          </cell>
          <cell r="I146" t="str">
            <v>4</v>
          </cell>
          <cell r="J146" t="str">
            <v>PI01</v>
          </cell>
          <cell r="R146">
            <v>1006405</v>
          </cell>
          <cell r="S146" t="str">
            <v>106989528</v>
          </cell>
        </row>
        <row r="147">
          <cell r="F147">
            <v>106989529</v>
          </cell>
          <cell r="G147" t="str">
            <v>313</v>
          </cell>
          <cell r="H147" t="str">
            <v>B8</v>
          </cell>
          <cell r="I147" t="str">
            <v>4</v>
          </cell>
          <cell r="J147" t="str">
            <v>PI01</v>
          </cell>
          <cell r="R147">
            <v>1676695</v>
          </cell>
          <cell r="S147" t="str">
            <v>106989529</v>
          </cell>
        </row>
        <row r="148">
          <cell r="F148">
            <v>106989517</v>
          </cell>
          <cell r="G148" t="str">
            <v>525</v>
          </cell>
          <cell r="H148" t="str">
            <v>B8</v>
          </cell>
          <cell r="I148" t="str">
            <v>4</v>
          </cell>
          <cell r="J148" t="str">
            <v>PI01</v>
          </cell>
          <cell r="R148">
            <v>3008033</v>
          </cell>
          <cell r="S148" t="str">
            <v>106989517</v>
          </cell>
        </row>
        <row r="149">
          <cell r="F149">
            <v>106989507</v>
          </cell>
          <cell r="G149" t="str">
            <v>525</v>
          </cell>
          <cell r="H149" t="str">
            <v>B8</v>
          </cell>
          <cell r="I149" t="str">
            <v>4</v>
          </cell>
          <cell r="J149" t="str">
            <v>PI01</v>
          </cell>
          <cell r="R149">
            <v>1868307</v>
          </cell>
          <cell r="S149" t="str">
            <v>106989507</v>
          </cell>
        </row>
        <row r="150">
          <cell r="F150">
            <v>106989508</v>
          </cell>
          <cell r="G150" t="str">
            <v>525</v>
          </cell>
          <cell r="H150" t="str">
            <v>B8</v>
          </cell>
          <cell r="I150" t="str">
            <v>4</v>
          </cell>
          <cell r="J150" t="str">
            <v>PI01</v>
          </cell>
          <cell r="R150">
            <v>1856535</v>
          </cell>
          <cell r="S150" t="str">
            <v>106989508</v>
          </cell>
        </row>
        <row r="151">
          <cell r="F151">
            <v>106989531</v>
          </cell>
          <cell r="G151" t="str">
            <v>313</v>
          </cell>
          <cell r="H151" t="str">
            <v>B8</v>
          </cell>
          <cell r="I151" t="str">
            <v>4</v>
          </cell>
          <cell r="J151" t="str">
            <v>PI01</v>
          </cell>
          <cell r="R151">
            <v>1871299</v>
          </cell>
          <cell r="S151" t="str">
            <v>106989531</v>
          </cell>
        </row>
        <row r="152">
          <cell r="F152">
            <v>106989532</v>
          </cell>
          <cell r="G152" t="str">
            <v>313</v>
          </cell>
          <cell r="H152" t="str">
            <v>B8</v>
          </cell>
          <cell r="I152" t="str">
            <v>4</v>
          </cell>
          <cell r="J152" t="str">
            <v>PI01</v>
          </cell>
          <cell r="R152">
            <v>1975653</v>
          </cell>
          <cell r="S152" t="str">
            <v>106989532</v>
          </cell>
        </row>
        <row r="153">
          <cell r="F153">
            <v>106989523</v>
          </cell>
          <cell r="G153" t="str">
            <v>525</v>
          </cell>
          <cell r="H153" t="str">
            <v>B8</v>
          </cell>
          <cell r="I153" t="str">
            <v>4</v>
          </cell>
          <cell r="J153" t="str">
            <v>PI01</v>
          </cell>
          <cell r="R153">
            <v>2041625</v>
          </cell>
          <cell r="S153" t="str">
            <v>106989523</v>
          </cell>
        </row>
        <row r="154">
          <cell r="F154">
            <v>106989510</v>
          </cell>
          <cell r="G154" t="str">
            <v>525</v>
          </cell>
          <cell r="H154" t="str">
            <v>B8</v>
          </cell>
          <cell r="I154" t="str">
            <v>4</v>
          </cell>
          <cell r="J154" t="str">
            <v>PI01</v>
          </cell>
          <cell r="R154">
            <v>1528371</v>
          </cell>
          <cell r="S154" t="str">
            <v>106989510</v>
          </cell>
        </row>
        <row r="155">
          <cell r="F155">
            <v>106989519</v>
          </cell>
          <cell r="G155" t="str">
            <v>525</v>
          </cell>
          <cell r="H155" t="str">
            <v>B8</v>
          </cell>
          <cell r="I155" t="str">
            <v>4</v>
          </cell>
          <cell r="J155" t="str">
            <v>PI01</v>
          </cell>
          <cell r="R155">
            <v>1649208</v>
          </cell>
          <cell r="S155" t="str">
            <v>106989519</v>
          </cell>
        </row>
        <row r="156">
          <cell r="F156">
            <v>106989526</v>
          </cell>
          <cell r="G156" t="str">
            <v>525</v>
          </cell>
          <cell r="H156" t="str">
            <v>B8</v>
          </cell>
          <cell r="I156" t="str">
            <v>4</v>
          </cell>
          <cell r="J156" t="str">
            <v>PI01</v>
          </cell>
          <cell r="R156">
            <v>1624234</v>
          </cell>
          <cell r="S156" t="str">
            <v>106989526</v>
          </cell>
        </row>
        <row r="157">
          <cell r="F157">
            <v>106989509</v>
          </cell>
          <cell r="G157" t="str">
            <v>525</v>
          </cell>
          <cell r="H157" t="str">
            <v>B8</v>
          </cell>
          <cell r="I157" t="str">
            <v>4</v>
          </cell>
          <cell r="J157" t="str">
            <v>PI01</v>
          </cell>
          <cell r="R157">
            <v>1695307</v>
          </cell>
          <cell r="S157" t="str">
            <v>106989509</v>
          </cell>
        </row>
        <row r="158">
          <cell r="F158">
            <v>106989512</v>
          </cell>
          <cell r="G158" t="str">
            <v>529</v>
          </cell>
          <cell r="H158" t="str">
            <v>B8</v>
          </cell>
          <cell r="I158" t="str">
            <v>4</v>
          </cell>
          <cell r="J158" t="str">
            <v>PI01</v>
          </cell>
          <cell r="R158">
            <v>1964462</v>
          </cell>
          <cell r="S158" t="str">
            <v>106989512</v>
          </cell>
        </row>
        <row r="159">
          <cell r="F159">
            <v>106989527</v>
          </cell>
          <cell r="G159" t="str">
            <v>532</v>
          </cell>
          <cell r="H159" t="str">
            <v>B8</v>
          </cell>
          <cell r="I159" t="str">
            <v>4</v>
          </cell>
          <cell r="J159" t="str">
            <v>PI01</v>
          </cell>
          <cell r="R159">
            <v>1987128</v>
          </cell>
          <cell r="S159" t="str">
            <v>106989527</v>
          </cell>
        </row>
        <row r="160">
          <cell r="F160">
            <v>106989524</v>
          </cell>
          <cell r="G160" t="str">
            <v>525</v>
          </cell>
          <cell r="H160" t="str">
            <v>B8</v>
          </cell>
          <cell r="I160" t="str">
            <v>4</v>
          </cell>
          <cell r="J160" t="str">
            <v>PI01</v>
          </cell>
          <cell r="R160">
            <v>2095832</v>
          </cell>
          <cell r="S160" t="str">
            <v>106989524</v>
          </cell>
        </row>
        <row r="161">
          <cell r="F161">
            <v>106989520</v>
          </cell>
          <cell r="G161" t="str">
            <v>525</v>
          </cell>
          <cell r="H161" t="str">
            <v>B8</v>
          </cell>
          <cell r="I161" t="str">
            <v>4</v>
          </cell>
          <cell r="J161" t="str">
            <v>PI01</v>
          </cell>
          <cell r="R161">
            <v>1883498</v>
          </cell>
          <cell r="S161" t="str">
            <v>106989520</v>
          </cell>
        </row>
        <row r="162">
          <cell r="F162">
            <v>106972667</v>
          </cell>
          <cell r="G162" t="str">
            <v>529</v>
          </cell>
          <cell r="H162" t="str">
            <v>B8</v>
          </cell>
          <cell r="I162" t="str">
            <v>4</v>
          </cell>
          <cell r="J162" t="str">
            <v>YPI5</v>
          </cell>
          <cell r="R162">
            <v>2045301</v>
          </cell>
          <cell r="S162" t="str">
            <v>106972667</v>
          </cell>
        </row>
        <row r="163">
          <cell r="F163">
            <v>106989536</v>
          </cell>
          <cell r="G163" t="str">
            <v>313</v>
          </cell>
          <cell r="H163" t="str">
            <v>B8</v>
          </cell>
          <cell r="I163" t="str">
            <v>4</v>
          </cell>
          <cell r="J163" t="str">
            <v>PI01</v>
          </cell>
          <cell r="R163">
            <v>2103674</v>
          </cell>
          <cell r="S163" t="str">
            <v>106989536</v>
          </cell>
        </row>
        <row r="164">
          <cell r="F164">
            <v>106989535</v>
          </cell>
          <cell r="G164" t="str">
            <v>313</v>
          </cell>
          <cell r="H164" t="str">
            <v>B8</v>
          </cell>
          <cell r="I164" t="str">
            <v>4</v>
          </cell>
          <cell r="J164" t="str">
            <v>PI01</v>
          </cell>
          <cell r="R164">
            <v>3008031</v>
          </cell>
          <cell r="S164" t="str">
            <v>106989535</v>
          </cell>
        </row>
        <row r="165">
          <cell r="F165">
            <v>106989533</v>
          </cell>
          <cell r="G165" t="str">
            <v>313</v>
          </cell>
          <cell r="H165" t="str">
            <v>B8</v>
          </cell>
          <cell r="I165" t="str">
            <v>4</v>
          </cell>
          <cell r="J165" t="str">
            <v>PI01</v>
          </cell>
          <cell r="R165">
            <v>1883496</v>
          </cell>
          <cell r="S165" t="str">
            <v>106989533</v>
          </cell>
        </row>
        <row r="166">
          <cell r="F166">
            <v>106989516</v>
          </cell>
          <cell r="G166" t="str">
            <v>525</v>
          </cell>
          <cell r="H166" t="str">
            <v>B8</v>
          </cell>
          <cell r="I166" t="str">
            <v>4</v>
          </cell>
          <cell r="J166" t="str">
            <v>PI01</v>
          </cell>
          <cell r="R166">
            <v>2039125</v>
          </cell>
          <cell r="S166" t="str">
            <v>106989516</v>
          </cell>
        </row>
        <row r="167">
          <cell r="F167">
            <v>106989525</v>
          </cell>
          <cell r="G167" t="str">
            <v>525</v>
          </cell>
          <cell r="H167" t="str">
            <v>B8</v>
          </cell>
          <cell r="I167" t="str">
            <v>4</v>
          </cell>
          <cell r="J167" t="str">
            <v>PI01</v>
          </cell>
          <cell r="R167">
            <v>1899804</v>
          </cell>
          <cell r="S167" t="str">
            <v>106989525</v>
          </cell>
        </row>
        <row r="168">
          <cell r="F168">
            <v>106989515</v>
          </cell>
          <cell r="G168" t="str">
            <v>525</v>
          </cell>
          <cell r="H168" t="str">
            <v>B8</v>
          </cell>
          <cell r="I168" t="str">
            <v>4</v>
          </cell>
          <cell r="J168" t="str">
            <v>PI01</v>
          </cell>
          <cell r="R168">
            <v>1964991</v>
          </cell>
          <cell r="S168" t="str">
            <v>106989515</v>
          </cell>
        </row>
        <row r="169">
          <cell r="F169">
            <v>106989514</v>
          </cell>
          <cell r="G169" t="str">
            <v>529</v>
          </cell>
          <cell r="H169" t="str">
            <v>B8</v>
          </cell>
          <cell r="I169" t="str">
            <v>4</v>
          </cell>
          <cell r="J169" t="str">
            <v>PI01</v>
          </cell>
          <cell r="R169">
            <v>1977179</v>
          </cell>
          <cell r="S169" t="str">
            <v>106989514</v>
          </cell>
        </row>
        <row r="170">
          <cell r="F170">
            <v>106989521</v>
          </cell>
          <cell r="G170" t="str">
            <v>532</v>
          </cell>
          <cell r="H170" t="str">
            <v>B8</v>
          </cell>
          <cell r="I170" t="str">
            <v>4</v>
          </cell>
          <cell r="J170" t="str">
            <v>PI01</v>
          </cell>
          <cell r="R170">
            <v>2067199</v>
          </cell>
          <cell r="S170" t="str">
            <v>106989521</v>
          </cell>
        </row>
        <row r="171">
          <cell r="F171">
            <v>106989522</v>
          </cell>
          <cell r="G171" t="str">
            <v>525</v>
          </cell>
          <cell r="H171" t="str">
            <v>B8</v>
          </cell>
          <cell r="I171" t="str">
            <v>4</v>
          </cell>
          <cell r="J171" t="str">
            <v>PI01</v>
          </cell>
          <cell r="R171">
            <v>2099623</v>
          </cell>
          <cell r="S171" t="str">
            <v>106989522</v>
          </cell>
        </row>
        <row r="172">
          <cell r="F172">
            <v>106989518</v>
          </cell>
          <cell r="G172" t="str">
            <v>525</v>
          </cell>
          <cell r="H172" t="str">
            <v>B8</v>
          </cell>
          <cell r="I172" t="str">
            <v>4</v>
          </cell>
          <cell r="J172" t="str">
            <v>PI01</v>
          </cell>
          <cell r="R172">
            <v>2103675</v>
          </cell>
          <cell r="S172" t="str">
            <v>106989518</v>
          </cell>
        </row>
        <row r="173">
          <cell r="F173">
            <v>106989513</v>
          </cell>
          <cell r="G173" t="str">
            <v>529</v>
          </cell>
          <cell r="H173" t="str">
            <v>B8</v>
          </cell>
          <cell r="I173" t="str">
            <v>4</v>
          </cell>
          <cell r="J173" t="str">
            <v>PI01</v>
          </cell>
          <cell r="R173">
            <v>1712624</v>
          </cell>
          <cell r="S173" t="str">
            <v>106989513</v>
          </cell>
        </row>
        <row r="174">
          <cell r="F174">
            <v>106989511</v>
          </cell>
          <cell r="G174" t="str">
            <v>525</v>
          </cell>
          <cell r="H174" t="str">
            <v>B8</v>
          </cell>
          <cell r="I174" t="str">
            <v>4</v>
          </cell>
          <cell r="J174" t="str">
            <v>PI01</v>
          </cell>
          <cell r="R174">
            <v>1838601</v>
          </cell>
          <cell r="S174" t="str">
            <v>106989511</v>
          </cell>
        </row>
        <row r="175">
          <cell r="F175">
            <v>106989534</v>
          </cell>
          <cell r="G175" t="str">
            <v>313</v>
          </cell>
          <cell r="H175" t="str">
            <v>B8</v>
          </cell>
          <cell r="I175" t="str">
            <v>4</v>
          </cell>
          <cell r="J175" t="str">
            <v>PI01</v>
          </cell>
          <cell r="R175">
            <v>2040334</v>
          </cell>
          <cell r="S175" t="str">
            <v>106989534</v>
          </cell>
        </row>
        <row r="176">
          <cell r="F176">
            <v>106987897</v>
          </cell>
          <cell r="G176" t="str">
            <v>529</v>
          </cell>
          <cell r="H176" t="str">
            <v>B8</v>
          </cell>
          <cell r="I176" t="str">
            <v>4</v>
          </cell>
          <cell r="J176" t="str">
            <v>YPI5</v>
          </cell>
          <cell r="R176">
            <v>1617831</v>
          </cell>
          <cell r="S176" t="str">
            <v>106987897</v>
          </cell>
        </row>
        <row r="177">
          <cell r="F177">
            <v>2969885013</v>
          </cell>
          <cell r="G177" t="str">
            <v>313</v>
          </cell>
          <cell r="H177" t="str">
            <v>B8</v>
          </cell>
          <cell r="I177" t="str">
            <v>4</v>
          </cell>
          <cell r="J177" t="str">
            <v>LA</v>
          </cell>
          <cell r="R177">
            <v>1733904</v>
          </cell>
          <cell r="S177" t="str">
            <v/>
          </cell>
        </row>
        <row r="178">
          <cell r="F178">
            <v>106989646</v>
          </cell>
          <cell r="G178" t="str">
            <v>313</v>
          </cell>
          <cell r="H178" t="str">
            <v>B8</v>
          </cell>
          <cell r="I178" t="str">
            <v>4</v>
          </cell>
          <cell r="J178" t="str">
            <v>PI01</v>
          </cell>
          <cell r="R178">
            <v>1822396</v>
          </cell>
          <cell r="S178" t="str">
            <v>106989646</v>
          </cell>
        </row>
        <row r="179">
          <cell r="F179">
            <v>106989647</v>
          </cell>
          <cell r="G179" t="str">
            <v>313</v>
          </cell>
          <cell r="H179" t="str">
            <v>B8</v>
          </cell>
          <cell r="I179" t="str">
            <v>4</v>
          </cell>
          <cell r="J179" t="str">
            <v>PI01</v>
          </cell>
          <cell r="R179">
            <v>1822396</v>
          </cell>
          <cell r="S179" t="str">
            <v>106989647</v>
          </cell>
        </row>
        <row r="180">
          <cell r="F180">
            <v>106989653</v>
          </cell>
          <cell r="G180" t="str">
            <v>313</v>
          </cell>
          <cell r="H180" t="str">
            <v>B8</v>
          </cell>
          <cell r="I180" t="str">
            <v>4</v>
          </cell>
          <cell r="J180" t="str">
            <v>PI01</v>
          </cell>
          <cell r="R180">
            <v>1001474</v>
          </cell>
          <cell r="S180" t="str">
            <v>106989653</v>
          </cell>
        </row>
        <row r="181">
          <cell r="F181">
            <v>106989652</v>
          </cell>
          <cell r="G181" t="str">
            <v>313</v>
          </cell>
          <cell r="H181" t="str">
            <v>B8</v>
          </cell>
          <cell r="I181" t="str">
            <v>4</v>
          </cell>
          <cell r="J181" t="str">
            <v>PI01</v>
          </cell>
          <cell r="R181">
            <v>1001508</v>
          </cell>
          <cell r="S181" t="str">
            <v>106989652</v>
          </cell>
        </row>
        <row r="182">
          <cell r="F182">
            <v>106989650</v>
          </cell>
          <cell r="G182" t="str">
            <v>313</v>
          </cell>
          <cell r="H182" t="str">
            <v>B8</v>
          </cell>
          <cell r="I182" t="str">
            <v>4</v>
          </cell>
          <cell r="J182" t="str">
            <v>PI01</v>
          </cell>
          <cell r="R182">
            <v>1964990</v>
          </cell>
          <cell r="S182" t="str">
            <v>106989650</v>
          </cell>
        </row>
        <row r="183">
          <cell r="F183">
            <v>106989641</v>
          </cell>
          <cell r="G183" t="str">
            <v>525</v>
          </cell>
          <cell r="H183" t="str">
            <v>B8</v>
          </cell>
          <cell r="I183" t="str">
            <v>4</v>
          </cell>
          <cell r="J183" t="str">
            <v>PI01</v>
          </cell>
          <cell r="R183">
            <v>1791748</v>
          </cell>
          <cell r="S183" t="str">
            <v>106989641</v>
          </cell>
        </row>
        <row r="184">
          <cell r="F184">
            <v>106989644</v>
          </cell>
          <cell r="G184" t="str">
            <v>313</v>
          </cell>
          <cell r="H184" t="str">
            <v>B8</v>
          </cell>
          <cell r="I184" t="str">
            <v>4</v>
          </cell>
          <cell r="J184" t="str">
            <v>PI01</v>
          </cell>
          <cell r="R184">
            <v>1600412</v>
          </cell>
          <cell r="S184" t="str">
            <v>106989644</v>
          </cell>
        </row>
        <row r="185">
          <cell r="F185">
            <v>106989642</v>
          </cell>
          <cell r="G185" t="str">
            <v>525</v>
          </cell>
          <cell r="H185" t="str">
            <v>B8</v>
          </cell>
          <cell r="I185" t="str">
            <v>4</v>
          </cell>
          <cell r="J185" t="str">
            <v>PI01</v>
          </cell>
          <cell r="R185">
            <v>1611496</v>
          </cell>
          <cell r="S185" t="str">
            <v>106989642</v>
          </cell>
        </row>
        <row r="186">
          <cell r="F186">
            <v>106989636</v>
          </cell>
          <cell r="G186" t="str">
            <v>525</v>
          </cell>
          <cell r="H186" t="str">
            <v>B8</v>
          </cell>
          <cell r="I186" t="str">
            <v>4</v>
          </cell>
          <cell r="J186" t="str">
            <v>PI01</v>
          </cell>
          <cell r="R186">
            <v>1645653</v>
          </cell>
          <cell r="S186" t="str">
            <v>106989636</v>
          </cell>
        </row>
        <row r="187">
          <cell r="F187">
            <v>106989649</v>
          </cell>
          <cell r="G187" t="str">
            <v>313</v>
          </cell>
          <cell r="H187" t="str">
            <v>B8</v>
          </cell>
          <cell r="I187" t="str">
            <v>4</v>
          </cell>
          <cell r="J187" t="str">
            <v>PI01</v>
          </cell>
          <cell r="R187">
            <v>1624243</v>
          </cell>
          <cell r="S187" t="str">
            <v>106989649</v>
          </cell>
        </row>
        <row r="188">
          <cell r="F188">
            <v>106989648</v>
          </cell>
          <cell r="G188" t="str">
            <v>313</v>
          </cell>
          <cell r="H188" t="str">
            <v>B8</v>
          </cell>
          <cell r="I188" t="str">
            <v>4</v>
          </cell>
          <cell r="J188" t="str">
            <v>PI01</v>
          </cell>
          <cell r="R188">
            <v>1624232</v>
          </cell>
          <cell r="S188" t="str">
            <v>106989648</v>
          </cell>
        </row>
        <row r="189">
          <cell r="F189">
            <v>106989645</v>
          </cell>
          <cell r="G189" t="str">
            <v>313</v>
          </cell>
          <cell r="H189" t="str">
            <v>B8</v>
          </cell>
          <cell r="I189" t="str">
            <v>4</v>
          </cell>
          <cell r="J189" t="str">
            <v>PI01</v>
          </cell>
          <cell r="R189">
            <v>1791746</v>
          </cell>
          <cell r="S189" t="str">
            <v>106989645</v>
          </cell>
        </row>
        <row r="190">
          <cell r="F190">
            <v>106989639</v>
          </cell>
          <cell r="G190" t="str">
            <v>529</v>
          </cell>
          <cell r="H190" t="str">
            <v>B8</v>
          </cell>
          <cell r="I190" t="str">
            <v>4</v>
          </cell>
          <cell r="J190" t="str">
            <v>PI01</v>
          </cell>
          <cell r="R190">
            <v>1867925</v>
          </cell>
          <cell r="S190" t="str">
            <v>106989639</v>
          </cell>
        </row>
        <row r="191">
          <cell r="F191">
            <v>106989643</v>
          </cell>
          <cell r="G191" t="str">
            <v>529</v>
          </cell>
          <cell r="H191" t="str">
            <v>B8</v>
          </cell>
          <cell r="I191" t="str">
            <v>4</v>
          </cell>
          <cell r="J191" t="str">
            <v>PI01</v>
          </cell>
          <cell r="R191">
            <v>1006395</v>
          </cell>
          <cell r="S191" t="str">
            <v>106989643</v>
          </cell>
        </row>
        <row r="192">
          <cell r="F192">
            <v>106989637</v>
          </cell>
          <cell r="G192" t="str">
            <v>525</v>
          </cell>
          <cell r="H192" t="str">
            <v>B8</v>
          </cell>
          <cell r="I192" t="str">
            <v>4</v>
          </cell>
          <cell r="J192" t="str">
            <v>PI01</v>
          </cell>
          <cell r="R192">
            <v>1676696</v>
          </cell>
          <cell r="S192" t="str">
            <v>106989637</v>
          </cell>
        </row>
        <row r="193">
          <cell r="F193">
            <v>106989651</v>
          </cell>
          <cell r="G193" t="str">
            <v>313</v>
          </cell>
          <cell r="H193" t="str">
            <v>B8</v>
          </cell>
          <cell r="I193" t="str">
            <v>4</v>
          </cell>
          <cell r="J193" t="str">
            <v>PI01</v>
          </cell>
          <cell r="R193">
            <v>1528368</v>
          </cell>
          <cell r="S193" t="str">
            <v>106989651</v>
          </cell>
        </row>
        <row r="194">
          <cell r="F194">
            <v>106989640</v>
          </cell>
          <cell r="G194" t="str">
            <v>525</v>
          </cell>
          <cell r="H194" t="str">
            <v>B8</v>
          </cell>
          <cell r="I194" t="str">
            <v>4</v>
          </cell>
          <cell r="J194" t="str">
            <v>PI01</v>
          </cell>
          <cell r="R194">
            <v>1964660</v>
          </cell>
          <cell r="S194" t="str">
            <v>106989640</v>
          </cell>
        </row>
        <row r="195">
          <cell r="F195">
            <v>106989635</v>
          </cell>
          <cell r="G195" t="str">
            <v>525</v>
          </cell>
          <cell r="H195" t="str">
            <v>B8</v>
          </cell>
          <cell r="I195" t="str">
            <v>4</v>
          </cell>
          <cell r="J195" t="str">
            <v>PI01</v>
          </cell>
          <cell r="R195">
            <v>1975655</v>
          </cell>
          <cell r="S195" t="str">
            <v>106989635</v>
          </cell>
        </row>
        <row r="196">
          <cell r="F196">
            <v>106989638</v>
          </cell>
          <cell r="G196" t="str">
            <v>525</v>
          </cell>
          <cell r="H196" t="str">
            <v>B8</v>
          </cell>
          <cell r="I196" t="str">
            <v>4</v>
          </cell>
          <cell r="J196" t="str">
            <v>PI01</v>
          </cell>
          <cell r="R196">
            <v>1794719</v>
          </cell>
          <cell r="S196" t="str">
            <v>106989638</v>
          </cell>
        </row>
        <row r="197">
          <cell r="F197">
            <v>106989039</v>
          </cell>
          <cell r="G197" t="str">
            <v>525</v>
          </cell>
          <cell r="H197" t="str">
            <v>B8</v>
          </cell>
          <cell r="I197" t="str">
            <v>4</v>
          </cell>
          <cell r="J197" t="str">
            <v>PI01</v>
          </cell>
          <cell r="R197">
            <v>3000070</v>
          </cell>
          <cell r="S197" t="str">
            <v>106989039</v>
          </cell>
        </row>
        <row r="198">
          <cell r="F198">
            <v>106989029</v>
          </cell>
          <cell r="G198" t="str">
            <v>529</v>
          </cell>
          <cell r="H198" t="str">
            <v>B8</v>
          </cell>
          <cell r="I198" t="str">
            <v>4</v>
          </cell>
          <cell r="J198" t="str">
            <v>PI01</v>
          </cell>
          <cell r="R198">
            <v>1738220</v>
          </cell>
          <cell r="S198" t="str">
            <v>106989029</v>
          </cell>
        </row>
        <row r="199">
          <cell r="F199">
            <v>106989031</v>
          </cell>
          <cell r="G199" t="str">
            <v>525</v>
          </cell>
          <cell r="H199" t="str">
            <v>B8</v>
          </cell>
          <cell r="I199" t="str">
            <v>4</v>
          </cell>
          <cell r="J199" t="str">
            <v>PI01</v>
          </cell>
          <cell r="R199">
            <v>1733906</v>
          </cell>
          <cell r="S199" t="str">
            <v>106989031</v>
          </cell>
        </row>
        <row r="200">
          <cell r="F200">
            <v>106989042</v>
          </cell>
          <cell r="G200" t="str">
            <v>525</v>
          </cell>
          <cell r="H200" t="str">
            <v>B8</v>
          </cell>
          <cell r="I200" t="str">
            <v>4</v>
          </cell>
          <cell r="J200" t="str">
            <v>PI01</v>
          </cell>
          <cell r="R200">
            <v>1122395</v>
          </cell>
          <cell r="S200" t="str">
            <v>106989042</v>
          </cell>
        </row>
        <row r="201">
          <cell r="F201">
            <v>106989037</v>
          </cell>
          <cell r="G201" t="str">
            <v>525</v>
          </cell>
          <cell r="H201" t="str">
            <v>B8</v>
          </cell>
          <cell r="I201" t="str">
            <v>4</v>
          </cell>
          <cell r="J201" t="str">
            <v>PI01</v>
          </cell>
          <cell r="R201">
            <v>2082716</v>
          </cell>
          <cell r="S201" t="str">
            <v>106989037</v>
          </cell>
        </row>
        <row r="202">
          <cell r="F202">
            <v>106989044</v>
          </cell>
          <cell r="G202" t="str">
            <v>525</v>
          </cell>
          <cell r="H202" t="str">
            <v>B8</v>
          </cell>
          <cell r="I202" t="str">
            <v>4</v>
          </cell>
          <cell r="J202" t="str">
            <v>PI01</v>
          </cell>
          <cell r="R202">
            <v>2072477</v>
          </cell>
          <cell r="S202" t="str">
            <v>106989044</v>
          </cell>
        </row>
        <row r="203">
          <cell r="F203">
            <v>106989050</v>
          </cell>
          <cell r="G203" t="str">
            <v>313</v>
          </cell>
          <cell r="H203" t="str">
            <v>B8</v>
          </cell>
          <cell r="I203" t="str">
            <v>4</v>
          </cell>
          <cell r="J203" t="str">
            <v>PI01</v>
          </cell>
          <cell r="R203">
            <v>1868305</v>
          </cell>
          <cell r="S203" t="str">
            <v>106989050</v>
          </cell>
        </row>
        <row r="204">
          <cell r="F204">
            <v>106990856</v>
          </cell>
          <cell r="G204" t="str">
            <v>313</v>
          </cell>
          <cell r="H204" t="str">
            <v>B8</v>
          </cell>
          <cell r="I204" t="str">
            <v>4</v>
          </cell>
          <cell r="J204" t="str">
            <v>PI01</v>
          </cell>
          <cell r="R204">
            <v>2072475</v>
          </cell>
          <cell r="S204" t="str">
            <v>106990856</v>
          </cell>
        </row>
        <row r="205">
          <cell r="F205">
            <v>106989032</v>
          </cell>
          <cell r="G205" t="str">
            <v>529</v>
          </cell>
          <cell r="H205" t="str">
            <v>B8</v>
          </cell>
          <cell r="I205" t="str">
            <v>4</v>
          </cell>
          <cell r="J205" t="str">
            <v>PI01</v>
          </cell>
          <cell r="R205">
            <v>1945298</v>
          </cell>
          <cell r="S205" t="str">
            <v>106989032</v>
          </cell>
        </row>
        <row r="206">
          <cell r="F206">
            <v>106989054</v>
          </cell>
          <cell r="G206" t="str">
            <v>313</v>
          </cell>
          <cell r="H206" t="str">
            <v>B8</v>
          </cell>
          <cell r="I206" t="str">
            <v>4</v>
          </cell>
          <cell r="J206" t="str">
            <v>PI01</v>
          </cell>
          <cell r="R206">
            <v>2045460</v>
          </cell>
          <cell r="S206" t="str">
            <v>106989054</v>
          </cell>
        </row>
        <row r="207">
          <cell r="F207">
            <v>106989036</v>
          </cell>
          <cell r="G207" t="str">
            <v>525</v>
          </cell>
          <cell r="H207" t="str">
            <v>B8</v>
          </cell>
          <cell r="I207" t="str">
            <v>4</v>
          </cell>
          <cell r="J207" t="str">
            <v>PI01</v>
          </cell>
          <cell r="R207">
            <v>2082702</v>
          </cell>
          <cell r="S207" t="str">
            <v>106989036</v>
          </cell>
        </row>
        <row r="208">
          <cell r="F208">
            <v>106989033</v>
          </cell>
          <cell r="G208" t="str">
            <v>529</v>
          </cell>
          <cell r="H208" t="str">
            <v>B8</v>
          </cell>
          <cell r="I208" t="str">
            <v>4</v>
          </cell>
          <cell r="J208" t="str">
            <v>PI01</v>
          </cell>
          <cell r="R208">
            <v>1997811</v>
          </cell>
          <cell r="S208" t="str">
            <v>106989033</v>
          </cell>
        </row>
        <row r="209">
          <cell r="F209">
            <v>106989047</v>
          </cell>
          <cell r="G209" t="str">
            <v>313</v>
          </cell>
          <cell r="H209" t="str">
            <v>B8</v>
          </cell>
          <cell r="I209" t="str">
            <v>4</v>
          </cell>
          <cell r="J209" t="str">
            <v>PI01</v>
          </cell>
          <cell r="R209">
            <v>1093110</v>
          </cell>
          <cell r="S209" t="str">
            <v>106989047</v>
          </cell>
        </row>
        <row r="210">
          <cell r="F210">
            <v>106987869</v>
          </cell>
          <cell r="G210" t="str">
            <v>313</v>
          </cell>
          <cell r="H210" t="str">
            <v>B8</v>
          </cell>
          <cell r="I210" t="str">
            <v>4</v>
          </cell>
          <cell r="J210" t="str">
            <v>YPI5</v>
          </cell>
          <cell r="R210">
            <v>1616895</v>
          </cell>
          <cell r="S210" t="str">
            <v>106987869</v>
          </cell>
        </row>
        <row r="211">
          <cell r="F211">
            <v>106990970</v>
          </cell>
          <cell r="G211" t="str">
            <v>313</v>
          </cell>
          <cell r="H211" t="str">
            <v>B8</v>
          </cell>
          <cell r="I211" t="str">
            <v>4</v>
          </cell>
          <cell r="J211" t="str">
            <v>PI01</v>
          </cell>
          <cell r="R211">
            <v>1997217</v>
          </cell>
          <cell r="S211" t="str">
            <v>106990970</v>
          </cell>
        </row>
        <row r="212">
          <cell r="F212">
            <v>106989045</v>
          </cell>
          <cell r="G212" t="str">
            <v>313</v>
          </cell>
          <cell r="H212" t="str">
            <v>B8</v>
          </cell>
          <cell r="I212" t="str">
            <v>4</v>
          </cell>
          <cell r="J212" t="str">
            <v>PI01</v>
          </cell>
          <cell r="R212">
            <v>1645647</v>
          </cell>
          <cell r="S212" t="str">
            <v>106989045</v>
          </cell>
        </row>
        <row r="213">
          <cell r="F213">
            <v>2962855430</v>
          </cell>
          <cell r="G213" t="str">
            <v>527</v>
          </cell>
          <cell r="H213" t="str">
            <v>C1</v>
          </cell>
          <cell r="I213" t="str">
            <v>4</v>
          </cell>
          <cell r="J213" t="str">
            <v>LA</v>
          </cell>
          <cell r="R213">
            <v>1349005</v>
          </cell>
          <cell r="S213" t="str">
            <v>ECM,</v>
          </cell>
        </row>
        <row r="214">
          <cell r="F214">
            <v>106989030</v>
          </cell>
          <cell r="G214" t="str">
            <v>527</v>
          </cell>
          <cell r="H214" t="str">
            <v>B8</v>
          </cell>
          <cell r="I214" t="str">
            <v>4</v>
          </cell>
          <cell r="J214" t="str">
            <v>YPI3</v>
          </cell>
          <cell r="R214">
            <v>1551842</v>
          </cell>
          <cell r="S214" t="str">
            <v>106989030</v>
          </cell>
        </row>
        <row r="215">
          <cell r="F215">
            <v>106989049</v>
          </cell>
          <cell r="G215" t="str">
            <v>313</v>
          </cell>
          <cell r="H215" t="str">
            <v>B8</v>
          </cell>
          <cell r="I215" t="str">
            <v>4</v>
          </cell>
          <cell r="J215" t="str">
            <v>PI01</v>
          </cell>
          <cell r="R215">
            <v>1828694</v>
          </cell>
          <cell r="S215" t="str">
            <v>106989049</v>
          </cell>
        </row>
        <row r="216">
          <cell r="F216">
            <v>106989052</v>
          </cell>
          <cell r="G216" t="str">
            <v>313</v>
          </cell>
          <cell r="H216" t="str">
            <v>B8</v>
          </cell>
          <cell r="I216" t="str">
            <v>4</v>
          </cell>
          <cell r="J216" t="str">
            <v>PI01</v>
          </cell>
          <cell r="R216">
            <v>1762556</v>
          </cell>
          <cell r="S216" t="str">
            <v>106989052</v>
          </cell>
        </row>
        <row r="217">
          <cell r="F217">
            <v>106989053</v>
          </cell>
          <cell r="G217" t="str">
            <v>313</v>
          </cell>
          <cell r="H217" t="str">
            <v>B8</v>
          </cell>
          <cell r="I217" t="str">
            <v>4</v>
          </cell>
          <cell r="J217" t="str">
            <v>PI01</v>
          </cell>
          <cell r="R217">
            <v>3008890</v>
          </cell>
          <cell r="S217" t="str">
            <v>106989053</v>
          </cell>
        </row>
        <row r="218">
          <cell r="F218">
            <v>106989055</v>
          </cell>
          <cell r="G218" t="str">
            <v>313</v>
          </cell>
          <cell r="H218" t="str">
            <v>B8</v>
          </cell>
          <cell r="I218" t="str">
            <v>4</v>
          </cell>
          <cell r="J218" t="str">
            <v>PI01</v>
          </cell>
          <cell r="R218">
            <v>2033700</v>
          </cell>
          <cell r="S218" t="str">
            <v>106989055</v>
          </cell>
        </row>
        <row r="219">
          <cell r="F219">
            <v>106989035</v>
          </cell>
          <cell r="G219" t="str">
            <v>525</v>
          </cell>
          <cell r="H219" t="str">
            <v>B8</v>
          </cell>
          <cell r="I219" t="str">
            <v>4</v>
          </cell>
          <cell r="J219" t="str">
            <v>PI01</v>
          </cell>
          <cell r="R219">
            <v>2052867</v>
          </cell>
          <cell r="S219" t="str">
            <v>106989035</v>
          </cell>
        </row>
        <row r="220">
          <cell r="F220">
            <v>106988244</v>
          </cell>
          <cell r="G220" t="str">
            <v>527</v>
          </cell>
          <cell r="H220" t="str">
            <v>C1</v>
          </cell>
          <cell r="I220" t="str">
            <v>4</v>
          </cell>
          <cell r="J220" t="str">
            <v>YPI3</v>
          </cell>
          <cell r="R220">
            <v>1264319</v>
          </cell>
          <cell r="S220" t="str">
            <v>ECM,106988244</v>
          </cell>
        </row>
        <row r="221">
          <cell r="F221">
            <v>106989040</v>
          </cell>
          <cell r="G221" t="str">
            <v>527</v>
          </cell>
          <cell r="H221" t="str">
            <v>B8</v>
          </cell>
          <cell r="I221" t="str">
            <v>4</v>
          </cell>
          <cell r="J221" t="str">
            <v>YPI3</v>
          </cell>
          <cell r="R221">
            <v>3000076</v>
          </cell>
          <cell r="S221" t="str">
            <v>106989040</v>
          </cell>
        </row>
        <row r="222">
          <cell r="F222">
            <v>106989038</v>
          </cell>
          <cell r="G222" t="str">
            <v>525</v>
          </cell>
          <cell r="H222" t="str">
            <v>B8</v>
          </cell>
          <cell r="I222" t="str">
            <v>4</v>
          </cell>
          <cell r="J222" t="str">
            <v>PI01</v>
          </cell>
          <cell r="R222">
            <v>2082718</v>
          </cell>
          <cell r="S222" t="str">
            <v>106989038</v>
          </cell>
        </row>
        <row r="223">
          <cell r="F223">
            <v>106989034</v>
          </cell>
          <cell r="G223" t="str">
            <v>525</v>
          </cell>
          <cell r="H223" t="str">
            <v>B8</v>
          </cell>
          <cell r="I223" t="str">
            <v>4</v>
          </cell>
          <cell r="J223" t="str">
            <v>PI01</v>
          </cell>
          <cell r="R223">
            <v>2073603</v>
          </cell>
          <cell r="S223" t="str">
            <v>106989034</v>
          </cell>
        </row>
        <row r="224">
          <cell r="F224">
            <v>106989051</v>
          </cell>
          <cell r="G224" t="str">
            <v>313</v>
          </cell>
          <cell r="H224" t="str">
            <v>B8</v>
          </cell>
          <cell r="I224" t="str">
            <v>4</v>
          </cell>
          <cell r="J224" t="str">
            <v>PI01</v>
          </cell>
          <cell r="R224">
            <v>2003363</v>
          </cell>
          <cell r="S224" t="str">
            <v>106989051</v>
          </cell>
        </row>
        <row r="225">
          <cell r="F225">
            <v>106989043</v>
          </cell>
          <cell r="G225" t="str">
            <v>525</v>
          </cell>
          <cell r="H225" t="str">
            <v>B8</v>
          </cell>
          <cell r="I225" t="str">
            <v>4</v>
          </cell>
          <cell r="J225" t="str">
            <v>PI01</v>
          </cell>
          <cell r="R225">
            <v>1695842</v>
          </cell>
          <cell r="S225" t="str">
            <v>106989043</v>
          </cell>
        </row>
        <row r="226">
          <cell r="F226">
            <v>106989041</v>
          </cell>
          <cell r="G226" t="str">
            <v>525</v>
          </cell>
          <cell r="H226" t="str">
            <v>B8</v>
          </cell>
          <cell r="I226" t="str">
            <v>4</v>
          </cell>
          <cell r="J226" t="str">
            <v>PI01</v>
          </cell>
          <cell r="R226">
            <v>1953064</v>
          </cell>
          <cell r="S226" t="str">
            <v>106989041</v>
          </cell>
        </row>
        <row r="227">
          <cell r="F227">
            <v>106990857</v>
          </cell>
          <cell r="G227" t="str">
            <v>313</v>
          </cell>
          <cell r="H227" t="str">
            <v>B8</v>
          </cell>
          <cell r="I227" t="str">
            <v>4</v>
          </cell>
          <cell r="J227" t="str">
            <v>PI01</v>
          </cell>
          <cell r="R227">
            <v>2099622</v>
          </cell>
          <cell r="S227" t="str">
            <v>106990857</v>
          </cell>
        </row>
        <row r="228">
          <cell r="F228">
            <v>106972664</v>
          </cell>
          <cell r="G228" t="str">
            <v>527</v>
          </cell>
          <cell r="H228" t="str">
            <v>B8</v>
          </cell>
          <cell r="I228" t="str">
            <v>4</v>
          </cell>
          <cell r="J228" t="str">
            <v>YPI5</v>
          </cell>
          <cell r="R228">
            <v>2015112</v>
          </cell>
          <cell r="S228" t="str">
            <v>106972664</v>
          </cell>
        </row>
        <row r="229">
          <cell r="F229">
            <v>106968976</v>
          </cell>
          <cell r="G229" t="str">
            <v>527</v>
          </cell>
          <cell r="H229" t="str">
            <v>B8</v>
          </cell>
          <cell r="I229" t="str">
            <v>4</v>
          </cell>
          <cell r="J229" t="str">
            <v>YPI3</v>
          </cell>
          <cell r="R229">
            <v>1847114</v>
          </cell>
          <cell r="S229" t="str">
            <v>106968976</v>
          </cell>
        </row>
        <row r="230">
          <cell r="F230">
            <v>106989046</v>
          </cell>
          <cell r="G230" t="str">
            <v>313</v>
          </cell>
          <cell r="H230" t="str">
            <v>B8</v>
          </cell>
          <cell r="I230" t="str">
            <v>4</v>
          </cell>
          <cell r="J230" t="str">
            <v>PI01</v>
          </cell>
          <cell r="R230">
            <v>1645650</v>
          </cell>
          <cell r="S230" t="str">
            <v>106989046</v>
          </cell>
        </row>
        <row r="231">
          <cell r="F231">
            <v>2964332591</v>
          </cell>
          <cell r="G231" t="str">
            <v>525</v>
          </cell>
          <cell r="H231" t="str">
            <v>C1</v>
          </cell>
          <cell r="I231" t="str">
            <v>4</v>
          </cell>
          <cell r="J231" t="str">
            <v>LA</v>
          </cell>
          <cell r="R231">
            <v>2045462</v>
          </cell>
          <cell r="S231" t="str">
            <v>ECM,</v>
          </cell>
        </row>
        <row r="232">
          <cell r="F232">
            <v>106990971</v>
          </cell>
          <cell r="G232" t="str">
            <v>530</v>
          </cell>
          <cell r="H232" t="str">
            <v>B8</v>
          </cell>
          <cell r="I232" t="str">
            <v>4</v>
          </cell>
          <cell r="J232" t="str">
            <v>PI01</v>
          </cell>
          <cell r="R232">
            <v>1412212</v>
          </cell>
          <cell r="S232" t="str">
            <v>106990971</v>
          </cell>
        </row>
        <row r="233">
          <cell r="F233">
            <v>106990546</v>
          </cell>
          <cell r="G233" t="str">
            <v>313</v>
          </cell>
          <cell r="H233" t="str">
            <v>B8</v>
          </cell>
          <cell r="I233" t="str">
            <v>4</v>
          </cell>
          <cell r="J233" t="str">
            <v>PI01</v>
          </cell>
          <cell r="R233">
            <v>1840837</v>
          </cell>
          <cell r="S233" t="str">
            <v>106990546</v>
          </cell>
        </row>
        <row r="234">
          <cell r="F234">
            <v>106990549</v>
          </cell>
          <cell r="G234" t="str">
            <v>313</v>
          </cell>
          <cell r="H234" t="str">
            <v>B8</v>
          </cell>
          <cell r="I234" t="str">
            <v>4</v>
          </cell>
          <cell r="J234" t="str">
            <v>PI01</v>
          </cell>
          <cell r="R234">
            <v>1794723</v>
          </cell>
          <cell r="S234" t="str">
            <v>106990549</v>
          </cell>
        </row>
        <row r="235">
          <cell r="F235">
            <v>106990545</v>
          </cell>
          <cell r="G235" t="str">
            <v>313</v>
          </cell>
          <cell r="H235" t="str">
            <v>B8</v>
          </cell>
          <cell r="I235" t="str">
            <v>4</v>
          </cell>
          <cell r="J235" t="str">
            <v>PI01</v>
          </cell>
          <cell r="R235">
            <v>1964663</v>
          </cell>
          <cell r="S235" t="str">
            <v>106990545</v>
          </cell>
        </row>
        <row r="236">
          <cell r="F236">
            <v>106990548</v>
          </cell>
          <cell r="G236" t="str">
            <v>313</v>
          </cell>
          <cell r="H236" t="str">
            <v>B8</v>
          </cell>
          <cell r="I236" t="str">
            <v>4</v>
          </cell>
          <cell r="J236" t="str">
            <v>PI01</v>
          </cell>
          <cell r="R236">
            <v>1655112</v>
          </cell>
          <cell r="S236" t="str">
            <v>106990548</v>
          </cell>
        </row>
        <row r="237">
          <cell r="F237">
            <v>106990547</v>
          </cell>
          <cell r="G237" t="str">
            <v>313</v>
          </cell>
          <cell r="H237" t="str">
            <v>B8</v>
          </cell>
          <cell r="I237" t="str">
            <v>4</v>
          </cell>
          <cell r="J237" t="str">
            <v>PI01</v>
          </cell>
          <cell r="R237">
            <v>2003372</v>
          </cell>
          <cell r="S237" t="str">
            <v>106990547</v>
          </cell>
        </row>
        <row r="238">
          <cell r="F238">
            <v>106990963</v>
          </cell>
          <cell r="G238" t="str">
            <v>313</v>
          </cell>
          <cell r="H238" t="str">
            <v>B8</v>
          </cell>
          <cell r="I238" t="str">
            <v>4</v>
          </cell>
          <cell r="J238" t="str">
            <v>PI01</v>
          </cell>
          <cell r="R238">
            <v>1844902</v>
          </cell>
          <cell r="S238" t="str">
            <v>106990963</v>
          </cell>
        </row>
        <row r="239">
          <cell r="F239">
            <v>106990964</v>
          </cell>
          <cell r="G239" t="str">
            <v>313</v>
          </cell>
          <cell r="H239" t="str">
            <v>B8</v>
          </cell>
          <cell r="I239" t="str">
            <v>4</v>
          </cell>
          <cell r="J239" t="str">
            <v>PI01</v>
          </cell>
          <cell r="R239">
            <v>1843856</v>
          </cell>
          <cell r="S239" t="str">
            <v>106990964</v>
          </cell>
        </row>
        <row r="240">
          <cell r="F240">
            <v>106988246</v>
          </cell>
          <cell r="G240" t="str">
            <v>525</v>
          </cell>
          <cell r="H240" t="str">
            <v>C1</v>
          </cell>
          <cell r="I240" t="str">
            <v>4</v>
          </cell>
          <cell r="J240" t="str">
            <v>YPI5</v>
          </cell>
          <cell r="R240">
            <v>2017299</v>
          </cell>
          <cell r="S240" t="str">
            <v>ECM,106988246</v>
          </cell>
        </row>
        <row r="241">
          <cell r="F241">
            <v>106989942</v>
          </cell>
          <cell r="G241" t="str">
            <v>525</v>
          </cell>
          <cell r="H241" t="str">
            <v>B8</v>
          </cell>
          <cell r="I241" t="str">
            <v>4</v>
          </cell>
          <cell r="J241" t="str">
            <v>PI01</v>
          </cell>
          <cell r="R241">
            <v>1770841</v>
          </cell>
          <cell r="S241" t="str">
            <v>106989942</v>
          </cell>
        </row>
        <row r="242">
          <cell r="F242">
            <v>106989943</v>
          </cell>
          <cell r="G242" t="str">
            <v>529</v>
          </cell>
          <cell r="H242" t="str">
            <v>B8</v>
          </cell>
          <cell r="I242" t="str">
            <v>4</v>
          </cell>
          <cell r="J242" t="str">
            <v>PI01</v>
          </cell>
          <cell r="R242">
            <v>1871818</v>
          </cell>
          <cell r="S242" t="str">
            <v>106989943</v>
          </cell>
        </row>
        <row r="243">
          <cell r="F243">
            <v>106990960</v>
          </cell>
          <cell r="G243" t="str">
            <v>525</v>
          </cell>
          <cell r="H243" t="str">
            <v>B8</v>
          </cell>
          <cell r="I243" t="str">
            <v>4</v>
          </cell>
          <cell r="J243" t="str">
            <v>PI01</v>
          </cell>
          <cell r="R243">
            <v>1925422</v>
          </cell>
          <cell r="S243" t="str">
            <v>106990960</v>
          </cell>
        </row>
        <row r="244">
          <cell r="F244">
            <v>106990965</v>
          </cell>
          <cell r="G244" t="str">
            <v>313</v>
          </cell>
          <cell r="H244" t="str">
            <v>B8</v>
          </cell>
          <cell r="I244" t="str">
            <v>4</v>
          </cell>
          <cell r="J244" t="str">
            <v>PI01</v>
          </cell>
          <cell r="R244">
            <v>1122398</v>
          </cell>
          <cell r="S244" t="str">
            <v>106990965</v>
          </cell>
        </row>
        <row r="245">
          <cell r="F245">
            <v>106989954</v>
          </cell>
          <cell r="G245" t="str">
            <v>529</v>
          </cell>
          <cell r="H245" t="str">
            <v>B8</v>
          </cell>
          <cell r="I245" t="str">
            <v>4</v>
          </cell>
          <cell r="J245" t="str">
            <v>PI01</v>
          </cell>
          <cell r="R245">
            <v>1985097</v>
          </cell>
          <cell r="S245" t="str">
            <v>106989954</v>
          </cell>
        </row>
        <row r="246">
          <cell r="F246">
            <v>106989950</v>
          </cell>
          <cell r="G246" t="str">
            <v>527</v>
          </cell>
          <cell r="H246" t="str">
            <v>B8</v>
          </cell>
          <cell r="I246" t="str">
            <v>4</v>
          </cell>
          <cell r="J246" t="str">
            <v>YPI3</v>
          </cell>
          <cell r="R246">
            <v>1674316</v>
          </cell>
          <cell r="S246" t="str">
            <v>106989950</v>
          </cell>
        </row>
        <row r="247">
          <cell r="F247">
            <v>106990959</v>
          </cell>
          <cell r="G247" t="str">
            <v>525</v>
          </cell>
          <cell r="H247" t="str">
            <v>B8</v>
          </cell>
          <cell r="I247" t="str">
            <v>4</v>
          </cell>
          <cell r="J247" t="str">
            <v>PI01</v>
          </cell>
          <cell r="R247">
            <v>1376531</v>
          </cell>
          <cell r="S247" t="str">
            <v>106990959</v>
          </cell>
        </row>
        <row r="248">
          <cell r="F248">
            <v>106989949</v>
          </cell>
          <cell r="G248" t="str">
            <v>527</v>
          </cell>
          <cell r="H248" t="str">
            <v>B8</v>
          </cell>
          <cell r="I248" t="str">
            <v>4</v>
          </cell>
          <cell r="J248" t="str">
            <v>YPI3</v>
          </cell>
          <cell r="R248">
            <v>1674314</v>
          </cell>
          <cell r="S248" t="str">
            <v>106989949</v>
          </cell>
        </row>
        <row r="249">
          <cell r="F249">
            <v>106990957</v>
          </cell>
          <cell r="G249" t="str">
            <v>525</v>
          </cell>
          <cell r="H249" t="str">
            <v>B8</v>
          </cell>
          <cell r="I249" t="str">
            <v>4</v>
          </cell>
          <cell r="J249" t="str">
            <v>PI01</v>
          </cell>
          <cell r="R249">
            <v>2082713</v>
          </cell>
          <cell r="S249" t="str">
            <v>106990957</v>
          </cell>
        </row>
        <row r="250">
          <cell r="F250">
            <v>106989953</v>
          </cell>
          <cell r="G250" t="str">
            <v>520</v>
          </cell>
          <cell r="H250" t="str">
            <v>B8</v>
          </cell>
          <cell r="I250" t="str">
            <v>4</v>
          </cell>
          <cell r="J250" t="str">
            <v>PI01</v>
          </cell>
          <cell r="R250">
            <v>1397317</v>
          </cell>
          <cell r="S250" t="str">
            <v>106989953</v>
          </cell>
        </row>
        <row r="251">
          <cell r="F251">
            <v>106989941</v>
          </cell>
          <cell r="G251" t="str">
            <v>525</v>
          </cell>
          <cell r="H251" t="str">
            <v>B8</v>
          </cell>
          <cell r="I251" t="str">
            <v>4</v>
          </cell>
          <cell r="J251" t="str">
            <v>PI01</v>
          </cell>
          <cell r="R251">
            <v>2072192</v>
          </cell>
          <cell r="S251" t="str">
            <v>106989941</v>
          </cell>
        </row>
        <row r="252">
          <cell r="F252">
            <v>106990956</v>
          </cell>
          <cell r="G252" t="str">
            <v>525</v>
          </cell>
          <cell r="H252" t="str">
            <v>B8</v>
          </cell>
          <cell r="I252" t="str">
            <v>4</v>
          </cell>
          <cell r="J252" t="str">
            <v>PI01</v>
          </cell>
          <cell r="R252">
            <v>2082711</v>
          </cell>
          <cell r="S252" t="str">
            <v>106990956</v>
          </cell>
        </row>
        <row r="253">
          <cell r="F253">
            <v>106989955</v>
          </cell>
          <cell r="G253" t="str">
            <v>525</v>
          </cell>
          <cell r="H253" t="str">
            <v>B8</v>
          </cell>
          <cell r="I253" t="str">
            <v>4</v>
          </cell>
          <cell r="J253" t="str">
            <v>PI01</v>
          </cell>
          <cell r="R253">
            <v>3008891</v>
          </cell>
          <cell r="S253" t="str">
            <v>106989955</v>
          </cell>
        </row>
        <row r="254">
          <cell r="F254">
            <v>106989947</v>
          </cell>
          <cell r="G254" t="str">
            <v>528</v>
          </cell>
          <cell r="H254" t="str">
            <v>B8</v>
          </cell>
          <cell r="I254" t="str">
            <v>4</v>
          </cell>
          <cell r="J254" t="str">
            <v>YPI3</v>
          </cell>
          <cell r="R254">
            <v>2071767</v>
          </cell>
          <cell r="S254" t="str">
            <v>106989947</v>
          </cell>
        </row>
        <row r="255">
          <cell r="F255">
            <v>106990961</v>
          </cell>
          <cell r="G255" t="str">
            <v>527</v>
          </cell>
          <cell r="H255" t="str">
            <v>B8</v>
          </cell>
          <cell r="I255" t="str">
            <v>4</v>
          </cell>
          <cell r="J255" t="str">
            <v>YPI3</v>
          </cell>
          <cell r="R255">
            <v>1610510</v>
          </cell>
          <cell r="S255" t="str">
            <v>106990961</v>
          </cell>
        </row>
        <row r="256">
          <cell r="F256">
            <v>106989952</v>
          </cell>
          <cell r="G256" t="str">
            <v>527</v>
          </cell>
          <cell r="H256" t="str">
            <v>B8</v>
          </cell>
          <cell r="I256" t="str">
            <v>4</v>
          </cell>
          <cell r="J256" t="str">
            <v>YPI3</v>
          </cell>
          <cell r="R256">
            <v>1610510</v>
          </cell>
          <cell r="S256" t="str">
            <v>106989952</v>
          </cell>
        </row>
        <row r="257">
          <cell r="F257">
            <v>106989944</v>
          </cell>
          <cell r="G257" t="str">
            <v>528</v>
          </cell>
          <cell r="H257" t="str">
            <v>B8</v>
          </cell>
          <cell r="I257" t="str">
            <v>4</v>
          </cell>
          <cell r="J257" t="str">
            <v>YPI3</v>
          </cell>
          <cell r="R257">
            <v>1017214</v>
          </cell>
          <cell r="S257" t="str">
            <v>106989944</v>
          </cell>
        </row>
        <row r="258">
          <cell r="F258">
            <v>106990962</v>
          </cell>
          <cell r="G258" t="str">
            <v>525</v>
          </cell>
          <cell r="H258" t="str">
            <v>B8</v>
          </cell>
          <cell r="I258" t="str">
            <v>4</v>
          </cell>
          <cell r="J258" t="str">
            <v>PI01</v>
          </cell>
          <cell r="R258">
            <v>1043394</v>
          </cell>
          <cell r="S258" t="str">
            <v>106990962</v>
          </cell>
        </row>
        <row r="259">
          <cell r="F259">
            <v>106989940</v>
          </cell>
          <cell r="G259" t="str">
            <v>528</v>
          </cell>
          <cell r="H259" t="str">
            <v>B8</v>
          </cell>
          <cell r="I259" t="str">
            <v>4</v>
          </cell>
          <cell r="J259" t="str">
            <v>YPI3</v>
          </cell>
          <cell r="R259">
            <v>1342297</v>
          </cell>
          <cell r="S259" t="str">
            <v>106989940</v>
          </cell>
        </row>
        <row r="260">
          <cell r="F260">
            <v>106989948</v>
          </cell>
          <cell r="G260" t="str">
            <v>527</v>
          </cell>
          <cell r="H260" t="str">
            <v>B8</v>
          </cell>
          <cell r="I260" t="str">
            <v>4</v>
          </cell>
          <cell r="J260" t="str">
            <v>YPI3</v>
          </cell>
          <cell r="R260">
            <v>1602375</v>
          </cell>
          <cell r="S260" t="str">
            <v>106989948</v>
          </cell>
        </row>
        <row r="261">
          <cell r="F261">
            <v>106990958</v>
          </cell>
          <cell r="G261" t="str">
            <v>528</v>
          </cell>
          <cell r="H261" t="str">
            <v>B8</v>
          </cell>
          <cell r="I261" t="str">
            <v>4</v>
          </cell>
          <cell r="J261" t="str">
            <v>YPI3</v>
          </cell>
          <cell r="R261">
            <v>1945307</v>
          </cell>
          <cell r="S261" t="str">
            <v>106990958</v>
          </cell>
        </row>
        <row r="262">
          <cell r="F262">
            <v>106989951</v>
          </cell>
          <cell r="G262" t="str">
            <v>525</v>
          </cell>
          <cell r="H262" t="str">
            <v>B8</v>
          </cell>
          <cell r="I262" t="str">
            <v>4</v>
          </cell>
          <cell r="J262" t="str">
            <v>PI01</v>
          </cell>
          <cell r="R262">
            <v>1608706</v>
          </cell>
          <cell r="S262" t="str">
            <v>106989951</v>
          </cell>
        </row>
        <row r="263">
          <cell r="F263">
            <v>106989946</v>
          </cell>
          <cell r="G263" t="str">
            <v>525</v>
          </cell>
          <cell r="H263" t="str">
            <v>B8</v>
          </cell>
          <cell r="I263" t="str">
            <v>4</v>
          </cell>
          <cell r="J263" t="str">
            <v>PI01</v>
          </cell>
          <cell r="R263">
            <v>1289197</v>
          </cell>
          <cell r="S263" t="str">
            <v>106989946</v>
          </cell>
        </row>
        <row r="264">
          <cell r="F264">
            <v>106989945</v>
          </cell>
          <cell r="G264" t="str">
            <v>525</v>
          </cell>
          <cell r="H264" t="str">
            <v>B8</v>
          </cell>
          <cell r="I264" t="str">
            <v>4</v>
          </cell>
          <cell r="J264" t="str">
            <v>PI01</v>
          </cell>
          <cell r="R264">
            <v>1457226</v>
          </cell>
          <cell r="S264" t="str">
            <v>106989945</v>
          </cell>
        </row>
        <row r="265">
          <cell r="F265">
            <v>106990863</v>
          </cell>
          <cell r="G265" t="str">
            <v>525</v>
          </cell>
          <cell r="H265" t="str">
            <v>B8</v>
          </cell>
          <cell r="I265" t="str">
            <v>4</v>
          </cell>
          <cell r="J265" t="str">
            <v>PI01</v>
          </cell>
          <cell r="R265">
            <v>1838638</v>
          </cell>
          <cell r="S265" t="str">
            <v>106990863</v>
          </cell>
        </row>
        <row r="266">
          <cell r="F266">
            <v>106990864</v>
          </cell>
          <cell r="G266" t="str">
            <v>525</v>
          </cell>
          <cell r="H266" t="str">
            <v>B8</v>
          </cell>
          <cell r="I266" t="str">
            <v>4</v>
          </cell>
          <cell r="J266" t="str">
            <v>PI01</v>
          </cell>
          <cell r="R266">
            <v>1945451</v>
          </cell>
          <cell r="S266" t="str">
            <v>106990864</v>
          </cell>
        </row>
        <row r="267">
          <cell r="F267">
            <v>106990862</v>
          </cell>
          <cell r="G267" t="str">
            <v>529</v>
          </cell>
          <cell r="H267" t="str">
            <v>B8</v>
          </cell>
          <cell r="I267" t="str">
            <v>4</v>
          </cell>
          <cell r="J267" t="str">
            <v>PI01</v>
          </cell>
          <cell r="R267">
            <v>1944611</v>
          </cell>
          <cell r="S267" t="str">
            <v>106990862</v>
          </cell>
        </row>
        <row r="268">
          <cell r="F268">
            <v>106987867</v>
          </cell>
          <cell r="G268" t="str">
            <v>529</v>
          </cell>
          <cell r="H268" t="str">
            <v>B8</v>
          </cell>
          <cell r="I268" t="str">
            <v>4</v>
          </cell>
          <cell r="J268" t="str">
            <v>YPI5</v>
          </cell>
          <cell r="R268">
            <v>1498542</v>
          </cell>
          <cell r="S268" t="str">
            <v>106987867</v>
          </cell>
        </row>
        <row r="269">
          <cell r="F269">
            <v>106990786</v>
          </cell>
          <cell r="G269" t="str">
            <v>313</v>
          </cell>
          <cell r="H269" t="str">
            <v>B8</v>
          </cell>
          <cell r="I269" t="str">
            <v>4</v>
          </cell>
          <cell r="J269" t="str">
            <v>PI01</v>
          </cell>
          <cell r="R269">
            <v>1745907</v>
          </cell>
          <cell r="S269" t="str">
            <v>106990786</v>
          </cell>
        </row>
        <row r="270">
          <cell r="F270">
            <v>106990784</v>
          </cell>
          <cell r="G270" t="str">
            <v>313</v>
          </cell>
          <cell r="H270" t="str">
            <v>B8</v>
          </cell>
          <cell r="I270" t="str">
            <v>4</v>
          </cell>
          <cell r="J270" t="str">
            <v>PI01</v>
          </cell>
          <cell r="R270">
            <v>1616895</v>
          </cell>
          <cell r="S270" t="str">
            <v>106990784</v>
          </cell>
        </row>
        <row r="271">
          <cell r="F271">
            <v>106990785</v>
          </cell>
          <cell r="G271" t="str">
            <v>313</v>
          </cell>
          <cell r="H271" t="str">
            <v>B8</v>
          </cell>
          <cell r="I271" t="str">
            <v>4</v>
          </cell>
          <cell r="J271" t="str">
            <v>PI01</v>
          </cell>
          <cell r="R271">
            <v>1745903</v>
          </cell>
          <cell r="S271" t="str">
            <v>106990785</v>
          </cell>
        </row>
        <row r="272">
          <cell r="F272">
            <v>106990778</v>
          </cell>
          <cell r="G272" t="str">
            <v>529</v>
          </cell>
          <cell r="H272" t="str">
            <v>B8</v>
          </cell>
          <cell r="I272" t="str">
            <v>4</v>
          </cell>
          <cell r="J272" t="str">
            <v>PI01</v>
          </cell>
          <cell r="R272">
            <v>1643854</v>
          </cell>
          <cell r="S272" t="str">
            <v>106990778</v>
          </cell>
        </row>
        <row r="273">
          <cell r="F273">
            <v>106990777</v>
          </cell>
          <cell r="G273" t="str">
            <v>529</v>
          </cell>
          <cell r="H273" t="str">
            <v>B8</v>
          </cell>
          <cell r="I273" t="str">
            <v>4</v>
          </cell>
          <cell r="J273" t="str">
            <v>PI01</v>
          </cell>
          <cell r="R273">
            <v>1624202</v>
          </cell>
          <cell r="S273" t="str">
            <v>106990777</v>
          </cell>
        </row>
        <row r="274">
          <cell r="F274">
            <v>106990779</v>
          </cell>
          <cell r="G274" t="str">
            <v>529</v>
          </cell>
          <cell r="H274" t="str">
            <v>B8</v>
          </cell>
          <cell r="I274" t="str">
            <v>4</v>
          </cell>
          <cell r="J274" t="str">
            <v>PI01</v>
          </cell>
          <cell r="R274">
            <v>1551602</v>
          </cell>
          <cell r="S274" t="str">
            <v>106990779</v>
          </cell>
        </row>
        <row r="275">
          <cell r="F275">
            <v>106990781</v>
          </cell>
          <cell r="G275" t="str">
            <v>529</v>
          </cell>
          <cell r="H275" t="str">
            <v>B8</v>
          </cell>
          <cell r="I275" t="str">
            <v>4</v>
          </cell>
          <cell r="J275" t="str">
            <v>PI01</v>
          </cell>
          <cell r="R275">
            <v>1304805</v>
          </cell>
          <cell r="S275" t="str">
            <v>106990781</v>
          </cell>
        </row>
        <row r="276">
          <cell r="F276">
            <v>106990780</v>
          </cell>
          <cell r="G276" t="str">
            <v>529</v>
          </cell>
          <cell r="H276" t="str">
            <v>B8</v>
          </cell>
          <cell r="I276" t="str">
            <v>4</v>
          </cell>
          <cell r="J276" t="str">
            <v>PI01</v>
          </cell>
          <cell r="R276">
            <v>1365935</v>
          </cell>
          <cell r="S276" t="str">
            <v>106990780</v>
          </cell>
        </row>
        <row r="277">
          <cell r="F277">
            <v>106990783</v>
          </cell>
          <cell r="G277" t="str">
            <v>313</v>
          </cell>
          <cell r="H277" t="str">
            <v>B8</v>
          </cell>
          <cell r="I277" t="str">
            <v>4</v>
          </cell>
          <cell r="J277" t="str">
            <v>PI01</v>
          </cell>
          <cell r="R277">
            <v>1749909</v>
          </cell>
          <cell r="S277" t="str">
            <v>106990783</v>
          </cell>
        </row>
        <row r="278">
          <cell r="F278">
            <v>106989048</v>
          </cell>
          <cell r="G278" t="str">
            <v>313</v>
          </cell>
          <cell r="H278" t="str">
            <v>B8</v>
          </cell>
          <cell r="I278" t="str">
            <v>4</v>
          </cell>
          <cell r="J278" t="str">
            <v>PI01</v>
          </cell>
          <cell r="R278">
            <v>1122399</v>
          </cell>
          <cell r="S278" t="str">
            <v>106989048</v>
          </cell>
        </row>
        <row r="279">
          <cell r="F279">
            <v>106990787</v>
          </cell>
          <cell r="G279" t="str">
            <v>527</v>
          </cell>
          <cell r="H279" t="str">
            <v>B8</v>
          </cell>
          <cell r="I279" t="str">
            <v>4</v>
          </cell>
          <cell r="J279" t="str">
            <v>YPI3</v>
          </cell>
          <cell r="R279">
            <v>1233608</v>
          </cell>
          <cell r="S279" t="str">
            <v>106990787</v>
          </cell>
        </row>
        <row r="280">
          <cell r="F280">
            <v>106990782</v>
          </cell>
          <cell r="G280" t="str">
            <v>529</v>
          </cell>
          <cell r="H280" t="str">
            <v>B8</v>
          </cell>
          <cell r="I280" t="str">
            <v>4</v>
          </cell>
          <cell r="J280" t="str">
            <v>PI01</v>
          </cell>
          <cell r="R280">
            <v>1643857</v>
          </cell>
          <cell r="S280" t="str">
            <v>106990782</v>
          </cell>
        </row>
        <row r="281">
          <cell r="R281" t="str">
            <v/>
          </cell>
          <cell r="S281" t="str">
            <v/>
          </cell>
        </row>
        <row r="282">
          <cell r="R282" t="str">
            <v/>
          </cell>
          <cell r="S282" t="str">
            <v/>
          </cell>
        </row>
        <row r="283">
          <cell r="R283" t="str">
            <v/>
          </cell>
          <cell r="S283" t="str">
            <v/>
          </cell>
        </row>
        <row r="284">
          <cell r="R284" t="str">
            <v/>
          </cell>
          <cell r="S284" t="str">
            <v/>
          </cell>
        </row>
        <row r="285">
          <cell r="R285" t="str">
            <v/>
          </cell>
          <cell r="S285" t="str">
            <v/>
          </cell>
        </row>
        <row r="286">
          <cell r="R286" t="str">
            <v/>
          </cell>
          <cell r="S286" t="str">
            <v/>
          </cell>
        </row>
        <row r="287">
          <cell r="R287" t="str">
            <v/>
          </cell>
          <cell r="S287" t="str">
            <v/>
          </cell>
        </row>
        <row r="288">
          <cell r="R288" t="str">
            <v/>
          </cell>
          <cell r="S288" t="str">
            <v/>
          </cell>
        </row>
        <row r="289">
          <cell r="R289" t="str">
            <v/>
          </cell>
          <cell r="S289" t="str">
            <v/>
          </cell>
        </row>
        <row r="290">
          <cell r="R290" t="str">
            <v/>
          </cell>
          <cell r="S290" t="str">
            <v/>
          </cell>
        </row>
        <row r="291">
          <cell r="R291" t="str">
            <v/>
          </cell>
          <cell r="S291" t="str">
            <v/>
          </cell>
        </row>
        <row r="292">
          <cell r="R292" t="str">
            <v/>
          </cell>
          <cell r="S292" t="str">
            <v/>
          </cell>
        </row>
        <row r="293">
          <cell r="R293" t="str">
            <v/>
          </cell>
          <cell r="S293" t="str">
            <v/>
          </cell>
        </row>
        <row r="294">
          <cell r="R294" t="str">
            <v/>
          </cell>
          <cell r="S294" t="str">
            <v/>
          </cell>
        </row>
        <row r="295">
          <cell r="R295" t="str">
            <v/>
          </cell>
          <cell r="S295" t="str">
            <v/>
          </cell>
        </row>
        <row r="296">
          <cell r="R296" t="str">
            <v/>
          </cell>
          <cell r="S296" t="str">
            <v/>
          </cell>
        </row>
        <row r="297">
          <cell r="R297" t="str">
            <v/>
          </cell>
          <cell r="S297" t="str">
            <v/>
          </cell>
        </row>
        <row r="298">
          <cell r="R298" t="str">
            <v/>
          </cell>
          <cell r="S298" t="str">
            <v/>
          </cell>
        </row>
        <row r="299">
          <cell r="R299" t="str">
            <v/>
          </cell>
          <cell r="S299" t="str">
            <v/>
          </cell>
        </row>
        <row r="300">
          <cell r="R300" t="str">
            <v/>
          </cell>
          <cell r="S300" t="str">
            <v/>
          </cell>
        </row>
        <row r="301">
          <cell r="R301" t="str">
            <v/>
          </cell>
          <cell r="S301" t="str">
            <v/>
          </cell>
        </row>
        <row r="302">
          <cell r="R302" t="str">
            <v/>
          </cell>
          <cell r="S302" t="str">
            <v/>
          </cell>
        </row>
        <row r="303">
          <cell r="R303" t="str">
            <v/>
          </cell>
          <cell r="S303" t="str">
            <v/>
          </cell>
        </row>
        <row r="304">
          <cell r="R304" t="str">
            <v/>
          </cell>
          <cell r="S304" t="str">
            <v/>
          </cell>
        </row>
        <row r="305">
          <cell r="R305" t="str">
            <v/>
          </cell>
          <cell r="S305" t="str">
            <v/>
          </cell>
        </row>
        <row r="306">
          <cell r="R306" t="str">
            <v/>
          </cell>
          <cell r="S306" t="str">
            <v/>
          </cell>
        </row>
        <row r="307">
          <cell r="R307" t="str">
            <v/>
          </cell>
          <cell r="S307" t="str">
            <v/>
          </cell>
        </row>
        <row r="308">
          <cell r="R308" t="str">
            <v/>
          </cell>
          <cell r="S308" t="str">
            <v/>
          </cell>
        </row>
        <row r="309">
          <cell r="R309" t="str">
            <v/>
          </cell>
          <cell r="S309" t="str">
            <v/>
          </cell>
        </row>
        <row r="310">
          <cell r="R310" t="str">
            <v/>
          </cell>
          <cell r="S310" t="str">
            <v/>
          </cell>
        </row>
        <row r="311">
          <cell r="R311" t="str">
            <v/>
          </cell>
          <cell r="S311" t="str">
            <v/>
          </cell>
        </row>
        <row r="312">
          <cell r="R312" t="str">
            <v/>
          </cell>
          <cell r="S312" t="str">
            <v/>
          </cell>
        </row>
        <row r="313">
          <cell r="R313" t="str">
            <v/>
          </cell>
          <cell r="S313" t="str">
            <v/>
          </cell>
        </row>
        <row r="314">
          <cell r="R314" t="str">
            <v/>
          </cell>
          <cell r="S314" t="str">
            <v/>
          </cell>
        </row>
        <row r="315">
          <cell r="R315" t="str">
            <v/>
          </cell>
          <cell r="S315" t="str">
            <v/>
          </cell>
        </row>
        <row r="316">
          <cell r="R316" t="str">
            <v/>
          </cell>
          <cell r="S316" t="str">
            <v/>
          </cell>
        </row>
        <row r="317">
          <cell r="R317" t="str">
            <v/>
          </cell>
          <cell r="S317" t="str">
            <v/>
          </cell>
        </row>
        <row r="318">
          <cell r="R318" t="str">
            <v/>
          </cell>
          <cell r="S318" t="str">
            <v/>
          </cell>
        </row>
        <row r="319">
          <cell r="R319" t="str">
            <v/>
          </cell>
          <cell r="S319" t="str">
            <v/>
          </cell>
        </row>
        <row r="320">
          <cell r="R320" t="str">
            <v/>
          </cell>
          <cell r="S320" t="str">
            <v/>
          </cell>
        </row>
        <row r="321">
          <cell r="R321" t="str">
            <v/>
          </cell>
          <cell r="S321" t="str">
            <v/>
          </cell>
        </row>
        <row r="322">
          <cell r="R322" t="str">
            <v/>
          </cell>
          <cell r="S322" t="str">
            <v/>
          </cell>
        </row>
        <row r="323">
          <cell r="R323" t="str">
            <v/>
          </cell>
          <cell r="S323" t="str">
            <v/>
          </cell>
        </row>
        <row r="324">
          <cell r="R324" t="str">
            <v/>
          </cell>
          <cell r="S324" t="str">
            <v/>
          </cell>
        </row>
        <row r="325">
          <cell r="R325" t="str">
            <v/>
          </cell>
          <cell r="S325" t="str">
            <v/>
          </cell>
        </row>
        <row r="326">
          <cell r="R326" t="str">
            <v/>
          </cell>
          <cell r="S326" t="str">
            <v/>
          </cell>
        </row>
        <row r="327">
          <cell r="R327" t="str">
            <v/>
          </cell>
          <cell r="S327" t="str">
            <v/>
          </cell>
        </row>
        <row r="328">
          <cell r="R328" t="str">
            <v/>
          </cell>
          <cell r="S328" t="str">
            <v/>
          </cell>
        </row>
        <row r="329">
          <cell r="R329" t="str">
            <v/>
          </cell>
          <cell r="S329" t="str">
            <v/>
          </cell>
        </row>
        <row r="330">
          <cell r="R330" t="str">
            <v/>
          </cell>
          <cell r="S330" t="str">
            <v/>
          </cell>
        </row>
        <row r="331">
          <cell r="R331" t="str">
            <v/>
          </cell>
          <cell r="S331" t="str">
            <v/>
          </cell>
        </row>
        <row r="332">
          <cell r="R332" t="str">
            <v/>
          </cell>
          <cell r="S332" t="str">
            <v/>
          </cell>
        </row>
        <row r="333">
          <cell r="R333" t="str">
            <v/>
          </cell>
          <cell r="S333" t="str">
            <v/>
          </cell>
        </row>
        <row r="334">
          <cell r="R334" t="str">
            <v/>
          </cell>
          <cell r="S334" t="str">
            <v/>
          </cell>
        </row>
        <row r="335">
          <cell r="R335" t="str">
            <v/>
          </cell>
          <cell r="S335" t="str">
            <v/>
          </cell>
        </row>
        <row r="336">
          <cell r="R336" t="str">
            <v/>
          </cell>
          <cell r="S336" t="str">
            <v/>
          </cell>
        </row>
        <row r="337">
          <cell r="R337" t="str">
            <v/>
          </cell>
          <cell r="S337" t="str">
            <v/>
          </cell>
        </row>
        <row r="338">
          <cell r="R338" t="str">
            <v/>
          </cell>
          <cell r="S338" t="str">
            <v/>
          </cell>
        </row>
        <row r="339">
          <cell r="R339" t="str">
            <v/>
          </cell>
          <cell r="S339" t="str">
            <v/>
          </cell>
        </row>
        <row r="340">
          <cell r="R340" t="str">
            <v/>
          </cell>
          <cell r="S340" t="str">
            <v/>
          </cell>
        </row>
        <row r="341">
          <cell r="R341" t="str">
            <v/>
          </cell>
          <cell r="S341" t="str">
            <v/>
          </cell>
        </row>
        <row r="342">
          <cell r="R342" t="str">
            <v/>
          </cell>
          <cell r="S342" t="str">
            <v/>
          </cell>
        </row>
        <row r="343">
          <cell r="R343" t="str">
            <v/>
          </cell>
          <cell r="S343" t="str">
            <v/>
          </cell>
        </row>
        <row r="344">
          <cell r="R344" t="str">
            <v/>
          </cell>
          <cell r="S344" t="str">
            <v/>
          </cell>
        </row>
        <row r="345">
          <cell r="R345" t="str">
            <v/>
          </cell>
          <cell r="S345" t="str">
            <v/>
          </cell>
        </row>
        <row r="346">
          <cell r="R346" t="str">
            <v/>
          </cell>
          <cell r="S346" t="str">
            <v/>
          </cell>
        </row>
        <row r="347">
          <cell r="R347" t="str">
            <v/>
          </cell>
          <cell r="S347" t="str">
            <v/>
          </cell>
        </row>
        <row r="348">
          <cell r="R348" t="str">
            <v/>
          </cell>
          <cell r="S348" t="str">
            <v/>
          </cell>
        </row>
        <row r="349">
          <cell r="R349" t="str">
            <v/>
          </cell>
          <cell r="S349" t="str">
            <v/>
          </cell>
        </row>
        <row r="350">
          <cell r="R350" t="str">
            <v/>
          </cell>
          <cell r="S350" t="str">
            <v/>
          </cell>
        </row>
        <row r="351">
          <cell r="R351" t="str">
            <v/>
          </cell>
          <cell r="S351" t="str">
            <v/>
          </cell>
        </row>
        <row r="352">
          <cell r="R352" t="str">
            <v/>
          </cell>
          <cell r="S352" t="str">
            <v/>
          </cell>
        </row>
        <row r="353">
          <cell r="R353" t="str">
            <v/>
          </cell>
          <cell r="S353" t="str">
            <v/>
          </cell>
        </row>
        <row r="354">
          <cell r="R354" t="str">
            <v/>
          </cell>
          <cell r="S354" t="str">
            <v/>
          </cell>
        </row>
      </sheetData>
      <sheetData sheetId="7"/>
      <sheetData sheetId="8">
        <row r="13">
          <cell r="F13" t="str">
            <v>Po Number</v>
          </cell>
        </row>
        <row r="14">
          <cell r="F14" t="str">
            <v>107000001</v>
          </cell>
        </row>
        <row r="15">
          <cell r="F15" t="str">
            <v>107000004</v>
          </cell>
        </row>
        <row r="16">
          <cell r="F16" t="str">
            <v>106986699</v>
          </cell>
        </row>
        <row r="17">
          <cell r="F17" t="str">
            <v>106990985</v>
          </cell>
        </row>
        <row r="18">
          <cell r="F18" t="str">
            <v>106990972</v>
          </cell>
        </row>
        <row r="19">
          <cell r="F19" t="str">
            <v>106991033</v>
          </cell>
        </row>
        <row r="20">
          <cell r="F20" t="str">
            <v>106990631</v>
          </cell>
        </row>
        <row r="21">
          <cell r="F21" t="str">
            <v>106999083</v>
          </cell>
        </row>
        <row r="22">
          <cell r="F22" t="str">
            <v>106999084</v>
          </cell>
        </row>
        <row r="23">
          <cell r="F23" t="str">
            <v>107000005</v>
          </cell>
        </row>
        <row r="24">
          <cell r="F24" t="str">
            <v>106999085</v>
          </cell>
        </row>
        <row r="25">
          <cell r="F25" t="str">
            <v>106994980</v>
          </cell>
        </row>
        <row r="26">
          <cell r="F26" t="str">
            <v>106989654</v>
          </cell>
        </row>
        <row r="27">
          <cell r="F27" t="str">
            <v>106985980</v>
          </cell>
        </row>
        <row r="28">
          <cell r="F28" t="str">
            <v>106988156</v>
          </cell>
        </row>
        <row r="29">
          <cell r="F29" t="str">
            <v>106988230</v>
          </cell>
        </row>
        <row r="30">
          <cell r="F30" t="str">
            <v>106990537</v>
          </cell>
        </row>
        <row r="31">
          <cell r="F31" t="str">
            <v>106990544</v>
          </cell>
        </row>
        <row r="32">
          <cell r="F32" t="str">
            <v>106990529</v>
          </cell>
        </row>
        <row r="33">
          <cell r="F33" t="str">
            <v>106984950</v>
          </cell>
        </row>
        <row r="34">
          <cell r="F34" t="str">
            <v>106990530</v>
          </cell>
        </row>
        <row r="35">
          <cell r="F35" t="str">
            <v>106988165</v>
          </cell>
        </row>
        <row r="36">
          <cell r="F36" t="str">
            <v>106990533</v>
          </cell>
        </row>
        <row r="37">
          <cell r="F37" t="str">
            <v>106990536</v>
          </cell>
        </row>
        <row r="38">
          <cell r="F38" t="str">
            <v>106990543</v>
          </cell>
        </row>
        <row r="39">
          <cell r="F39" t="str">
            <v>106957936</v>
          </cell>
        </row>
        <row r="40">
          <cell r="F40" t="str">
            <v>106968984</v>
          </cell>
        </row>
        <row r="41">
          <cell r="F41" t="str">
            <v>106968983</v>
          </cell>
        </row>
        <row r="42">
          <cell r="F42" t="str">
            <v>106988424</v>
          </cell>
        </row>
        <row r="43">
          <cell r="F43" t="str">
            <v>106988186</v>
          </cell>
        </row>
        <row r="44">
          <cell r="F44" t="str">
            <v>106988197</v>
          </cell>
        </row>
        <row r="45">
          <cell r="F45" t="str">
            <v>106985910</v>
          </cell>
        </row>
        <row r="46">
          <cell r="F46" t="str">
            <v>106988203</v>
          </cell>
        </row>
        <row r="47">
          <cell r="F47" t="str">
            <v>106991457</v>
          </cell>
        </row>
        <row r="48">
          <cell r="F48" t="str">
            <v>106985915</v>
          </cell>
        </row>
        <row r="49">
          <cell r="F49" t="str">
            <v>106989952</v>
          </cell>
        </row>
        <row r="50">
          <cell r="F50" t="str">
            <v>106998225</v>
          </cell>
        </row>
        <row r="51">
          <cell r="F51" t="str">
            <v>106998226</v>
          </cell>
        </row>
        <row r="52">
          <cell r="F52" t="str">
            <v>106998229</v>
          </cell>
        </row>
        <row r="53">
          <cell r="F53" t="str">
            <v>106998612</v>
          </cell>
        </row>
        <row r="54">
          <cell r="F54" t="str">
            <v>106998787</v>
          </cell>
        </row>
        <row r="55">
          <cell r="F55" t="str">
            <v>106998227</v>
          </cell>
        </row>
        <row r="56">
          <cell r="F56" t="str">
            <v>106998231</v>
          </cell>
        </row>
        <row r="57">
          <cell r="F57" t="str">
            <v>106999871</v>
          </cell>
        </row>
        <row r="58">
          <cell r="F58" t="str">
            <v>106985578</v>
          </cell>
        </row>
        <row r="59">
          <cell r="F59" t="str">
            <v>106993052</v>
          </cell>
        </row>
        <row r="60">
          <cell r="F60" t="str">
            <v>106993053</v>
          </cell>
        </row>
        <row r="61">
          <cell r="F61" t="str">
            <v>106999870</v>
          </cell>
        </row>
        <row r="62">
          <cell r="F62" t="str">
            <v>106987802</v>
          </cell>
        </row>
        <row r="63">
          <cell r="F63" t="str">
            <v>106994723</v>
          </cell>
        </row>
        <row r="64">
          <cell r="F64" t="str">
            <v>106985577</v>
          </cell>
        </row>
        <row r="65">
          <cell r="F65" t="str">
            <v>106986596</v>
          </cell>
        </row>
        <row r="66">
          <cell r="F66" t="str">
            <v>106990972</v>
          </cell>
        </row>
        <row r="67">
          <cell r="F67" t="str">
            <v>106986699</v>
          </cell>
        </row>
        <row r="68">
          <cell r="F68" t="str">
            <v>107000001</v>
          </cell>
        </row>
        <row r="69">
          <cell r="F69" t="str">
            <v>106990985</v>
          </cell>
        </row>
        <row r="70">
          <cell r="F70" t="str">
            <v>106990631</v>
          </cell>
        </row>
        <row r="71">
          <cell r="F71" t="str">
            <v>106999083</v>
          </cell>
        </row>
        <row r="72">
          <cell r="F72" t="str">
            <v>106989654</v>
          </cell>
        </row>
        <row r="73">
          <cell r="F73" t="str">
            <v>106994980</v>
          </cell>
        </row>
        <row r="74">
          <cell r="F74" t="str">
            <v>106998612</v>
          </cell>
        </row>
        <row r="75">
          <cell r="F75" t="str">
            <v>106989952</v>
          </cell>
        </row>
        <row r="76">
          <cell r="F76" t="str">
            <v>106968984</v>
          </cell>
        </row>
        <row r="77">
          <cell r="F77" t="str">
            <v>106984950</v>
          </cell>
        </row>
        <row r="78">
          <cell r="F78" t="str">
            <v>106985980</v>
          </cell>
        </row>
        <row r="79">
          <cell r="F79" t="str">
            <v>106988186</v>
          </cell>
        </row>
        <row r="80">
          <cell r="F80" t="str">
            <v>106990529</v>
          </cell>
        </row>
        <row r="81">
          <cell r="F81" t="str">
            <v>106990530</v>
          </cell>
        </row>
        <row r="82">
          <cell r="F82" t="str">
            <v>106968983</v>
          </cell>
        </row>
        <row r="83">
          <cell r="F83" t="str">
            <v>106986596</v>
          </cell>
        </row>
        <row r="84">
          <cell r="F84" t="str">
            <v>106985577</v>
          </cell>
        </row>
        <row r="85">
          <cell r="F85" t="str">
            <v>106985910</v>
          </cell>
        </row>
        <row r="86">
          <cell r="F86" t="str">
            <v>106987802</v>
          </cell>
        </row>
        <row r="87">
          <cell r="F87" t="str">
            <v>106988165</v>
          </cell>
        </row>
        <row r="88">
          <cell r="F88" t="str">
            <v>106957936</v>
          </cell>
        </row>
        <row r="89">
          <cell r="F89" t="str">
            <v>106985578</v>
          </cell>
        </row>
        <row r="90">
          <cell r="F90" t="str">
            <v>106988156</v>
          </cell>
        </row>
        <row r="91">
          <cell r="F91" t="str">
            <v>106988197</v>
          </cell>
        </row>
        <row r="92">
          <cell r="F92" t="str">
            <v>106990536</v>
          </cell>
        </row>
        <row r="93">
          <cell r="F93" t="str">
            <v>106990543</v>
          </cell>
        </row>
        <row r="94">
          <cell r="F94" t="str">
            <v>106991457</v>
          </cell>
        </row>
        <row r="95">
          <cell r="F95" t="str">
            <v>106993052</v>
          </cell>
        </row>
      </sheetData>
      <sheetData sheetId="9">
        <row r="1">
          <cell r="A1" t="str">
            <v>Component number</v>
          </cell>
          <cell r="B1" t="str">
            <v>Object description</v>
          </cell>
          <cell r="C1" t="str">
            <v>Label</v>
          </cell>
        </row>
        <row r="2">
          <cell r="A2">
            <v>1001546</v>
          </cell>
          <cell r="B2" t="str">
            <v>WIP Q-CI-5.201 P1F 2.5UN BAG</v>
          </cell>
          <cell r="C2">
            <v>1561894</v>
          </cell>
        </row>
        <row r="3">
          <cell r="A3">
            <v>1001961</v>
          </cell>
          <cell r="B3" t="str">
            <v>WIP WA-16.00 P1C 5UN BAG</v>
          </cell>
          <cell r="C3">
            <v>1561894</v>
          </cell>
        </row>
        <row r="4">
          <cell r="A4">
            <v>1007225</v>
          </cell>
          <cell r="B4" t="str">
            <v>WIP PART 1B 3.30KG 5UN BAG (811)</v>
          </cell>
          <cell r="C4">
            <v>1561894</v>
          </cell>
        </row>
        <row r="5">
          <cell r="A5">
            <v>1009573</v>
          </cell>
          <cell r="B5" t="str">
            <v>WIP PART 1B 4.50KG 10UN</v>
          </cell>
          <cell r="C5">
            <v>1561894</v>
          </cell>
        </row>
        <row r="6">
          <cell r="A6">
            <v>1012666</v>
          </cell>
          <cell r="B6" t="str">
            <v>WIP WA-55.00 P1C 10UN BAG PK</v>
          </cell>
          <cell r="C6">
            <v>1561894</v>
          </cell>
        </row>
        <row r="7">
          <cell r="A7">
            <v>1012680</v>
          </cell>
          <cell r="B7" t="str">
            <v>WIP PART 1B 2.250KG 5UN BAG (811)</v>
          </cell>
          <cell r="C7">
            <v>1561894</v>
          </cell>
        </row>
        <row r="8">
          <cell r="A8">
            <v>1013291</v>
          </cell>
          <cell r="B8" t="str">
            <v>TE/PE-14.00 P1A 3UN BAG</v>
          </cell>
          <cell r="C8">
            <v>1561894</v>
          </cell>
        </row>
        <row r="9">
          <cell r="A9">
            <v>1013393</v>
          </cell>
          <cell r="B9" t="str">
            <v>WA-11.00 P1C 4UN BAG</v>
          </cell>
          <cell r="C9">
            <v>1561894</v>
          </cell>
        </row>
        <row r="10">
          <cell r="A10">
            <v>1013578</v>
          </cell>
          <cell r="B10" t="str">
            <v>TE/LE-10.00 P1A 4UN BAG</v>
          </cell>
          <cell r="C10">
            <v>1561894</v>
          </cell>
        </row>
        <row r="11">
          <cell r="A11">
            <v>1013626</v>
          </cell>
          <cell r="B11" t="str">
            <v>CH/N-28.00 P1 1UN BAG</v>
          </cell>
          <cell r="C11">
            <v>1561894</v>
          </cell>
        </row>
        <row r="12">
          <cell r="A12">
            <v>1013773</v>
          </cell>
          <cell r="B12" t="str">
            <v>CL/D-12.00 P1A 20UN BAG</v>
          </cell>
          <cell r="C12">
            <v>1561894</v>
          </cell>
        </row>
        <row r="13">
          <cell r="A13">
            <v>1014178</v>
          </cell>
          <cell r="B13" t="str">
            <v>RA-34.00/B-34.10/CH-30.00/B-30.10 P1 5UN</v>
          </cell>
          <cell r="C13">
            <v>1561894</v>
          </cell>
        </row>
        <row r="14">
          <cell r="A14">
            <v>1014181</v>
          </cell>
          <cell r="B14" t="str">
            <v>FP-53.00/FP-145.00 P1 3UN BAG</v>
          </cell>
          <cell r="C14">
            <v>1561894</v>
          </cell>
        </row>
        <row r="15">
          <cell r="A15">
            <v>1014219</v>
          </cell>
          <cell r="B15" t="str">
            <v>TE/LE/D-15.00/15.10 P1A 4UN BAG</v>
          </cell>
          <cell r="C15">
            <v>1561894</v>
          </cell>
        </row>
        <row r="16">
          <cell r="A16">
            <v>1014582</v>
          </cell>
          <cell r="B16" t="str">
            <v>BV-1.04 P1 1UN BAG</v>
          </cell>
          <cell r="C16">
            <v>1561894</v>
          </cell>
        </row>
        <row r="17">
          <cell r="A17">
            <v>1016064</v>
          </cell>
          <cell r="B17" t="str">
            <v>ST-32.00/.10 P1 5UN BAG</v>
          </cell>
          <cell r="C17">
            <v>1561894</v>
          </cell>
        </row>
        <row r="18">
          <cell r="A18">
            <v>1022195</v>
          </cell>
          <cell r="B18" t="str">
            <v>ML-3.00 P1 4UN BAG</v>
          </cell>
          <cell r="C18">
            <v>1561894</v>
          </cell>
        </row>
        <row r="19">
          <cell r="A19">
            <v>1022224</v>
          </cell>
          <cell r="B19" t="str">
            <v>GF-92.00/GF/D-92.50 P1 4UN BAG</v>
          </cell>
          <cell r="C19">
            <v>1561894</v>
          </cell>
        </row>
        <row r="20">
          <cell r="A20">
            <v>1026601</v>
          </cell>
          <cell r="B20" t="str">
            <v>FP-145./177.00/373.20 P1 4UN BAG</v>
          </cell>
          <cell r="C20">
            <v>1561894</v>
          </cell>
        </row>
        <row r="21">
          <cell r="A21">
            <v>1026653</v>
          </cell>
          <cell r="B21" t="str">
            <v>PA/GF/D-27.501/.601 P1B 10UN BAG</v>
          </cell>
          <cell r="C21">
            <v>1561894</v>
          </cell>
        </row>
        <row r="22">
          <cell r="A22">
            <v>1032797</v>
          </cell>
          <cell r="B22" t="str">
            <v>TE/BC-1.10/.20 P1A 4UN BAG</v>
          </cell>
          <cell r="C22">
            <v>1561894</v>
          </cell>
        </row>
        <row r="23">
          <cell r="A23">
            <v>1033336</v>
          </cell>
          <cell r="B23" t="str">
            <v>WIP OR-491.001 P1D 5UN BAG</v>
          </cell>
          <cell r="C23">
            <v>1561894</v>
          </cell>
        </row>
        <row r="24">
          <cell r="A24">
            <v>1045463</v>
          </cell>
          <cell r="B24" t="str">
            <v>TE/PE-23.00/.10/.40/26.00 P1A 2UN BAG</v>
          </cell>
          <cell r="C24">
            <v>1561894</v>
          </cell>
        </row>
        <row r="25">
          <cell r="A25">
            <v>1049840</v>
          </cell>
          <cell r="B25" t="str">
            <v>FP/B-208.00 P1 2UN BAG</v>
          </cell>
          <cell r="C25">
            <v>1561894</v>
          </cell>
        </row>
        <row r="26">
          <cell r="A26">
            <v>1059118</v>
          </cell>
          <cell r="B26" t="str">
            <v>FP-177.011/373.10/PR-12.10 P1 5UN BAG</v>
          </cell>
          <cell r="C26">
            <v>1561894</v>
          </cell>
        </row>
        <row r="27">
          <cell r="A27">
            <v>1060258</v>
          </cell>
          <cell r="B27" t="str">
            <v>FP/6-210.00/.01 P1 2UN BAG</v>
          </cell>
          <cell r="C27">
            <v>1561894</v>
          </cell>
        </row>
        <row r="28">
          <cell r="A28">
            <v>1060892</v>
          </cell>
          <cell r="B28" t="str">
            <v>WIP WA-55.00 P1C 8UN PK</v>
          </cell>
          <cell r="C28">
            <v>1561894</v>
          </cell>
        </row>
        <row r="29">
          <cell r="A29">
            <v>1061052</v>
          </cell>
          <cell r="B29" t="str">
            <v>WIP FP-189.10 KY P1A 5UN</v>
          </cell>
          <cell r="C29">
            <v>1561894</v>
          </cell>
        </row>
        <row r="30">
          <cell r="A30">
            <v>1062249</v>
          </cell>
          <cell r="B30" t="str">
            <v>CH/AP/A-1.10/CH/AP/V-1.40 P1 6UN BAG</v>
          </cell>
          <cell r="C30">
            <v>1561894</v>
          </cell>
        </row>
        <row r="31">
          <cell r="A31">
            <v>1063395</v>
          </cell>
          <cell r="B31" t="str">
            <v>FP-167.00 P1D 5UN BAG</v>
          </cell>
          <cell r="C31">
            <v>1561894</v>
          </cell>
        </row>
        <row r="32">
          <cell r="A32">
            <v>1072696</v>
          </cell>
          <cell r="B32" t="str">
            <v>OR/PA/A-14.10 P1 6UN BAG</v>
          </cell>
          <cell r="C32">
            <v>1561894</v>
          </cell>
        </row>
        <row r="33">
          <cell r="A33">
            <v>1073205</v>
          </cell>
          <cell r="B33" t="str">
            <v>CH/AP/A-1.30 P1 6UN BAG</v>
          </cell>
          <cell r="C33">
            <v>1561894</v>
          </cell>
        </row>
        <row r="34">
          <cell r="A34">
            <v>1073297</v>
          </cell>
          <cell r="B34" t="str">
            <v>AP/ST/A-4.00 P1 6UN BAG</v>
          </cell>
          <cell r="C34">
            <v>1561894</v>
          </cell>
        </row>
        <row r="35">
          <cell r="A35">
            <v>1085896</v>
          </cell>
          <cell r="B35" t="str">
            <v>FP-123.20/FP/D-123.60 P1 5UN BAG</v>
          </cell>
          <cell r="C35">
            <v>1561894</v>
          </cell>
        </row>
        <row r="36">
          <cell r="A36">
            <v>1090425</v>
          </cell>
          <cell r="B36" t="str">
            <v>OR/D-611.001/LE-446.101 P1B 10UN BAG</v>
          </cell>
          <cell r="C36">
            <v>1561894</v>
          </cell>
        </row>
        <row r="37">
          <cell r="A37">
            <v>1092196</v>
          </cell>
          <cell r="B37" t="str">
            <v>PA/GF/N-31.00 P1 2UN BAG</v>
          </cell>
          <cell r="C37">
            <v>1561894</v>
          </cell>
        </row>
        <row r="38">
          <cell r="A38">
            <v>1093109</v>
          </cell>
          <cell r="B38" t="str">
            <v>FP/V-225.01/297.00/.01 P1G 3UN BAG</v>
          </cell>
          <cell r="C38">
            <v>1561894</v>
          </cell>
        </row>
        <row r="39">
          <cell r="A39">
            <v>1096397</v>
          </cell>
          <cell r="B39" t="str">
            <v>WIP PART 1B 0.712KG 2UN BAG (811)</v>
          </cell>
          <cell r="C39">
            <v>1561894</v>
          </cell>
        </row>
        <row r="40">
          <cell r="A40">
            <v>1106014</v>
          </cell>
          <cell r="B40" t="str">
            <v>FP/N-255.00 P1 2UN BAG</v>
          </cell>
          <cell r="C40">
            <v>1561894</v>
          </cell>
        </row>
        <row r="41">
          <cell r="A41">
            <v>1115807</v>
          </cell>
          <cell r="B41" t="str">
            <v>AP/BC/N-5.00/5.10 P1 5UN BAG</v>
          </cell>
          <cell r="C41">
            <v>1561894</v>
          </cell>
        </row>
        <row r="42">
          <cell r="A42">
            <v>1117302</v>
          </cell>
          <cell r="B42" t="str">
            <v>OR/N-823.00 P1 6UN BAG</v>
          </cell>
          <cell r="C42">
            <v>1561894</v>
          </cell>
        </row>
        <row r="43">
          <cell r="A43">
            <v>1118343</v>
          </cell>
          <cell r="B43" t="str">
            <v>PE/N-84.00 P1 7UN BAG</v>
          </cell>
          <cell r="C43">
            <v>1561894</v>
          </cell>
        </row>
        <row r="44">
          <cell r="A44">
            <v>1120921</v>
          </cell>
          <cell r="B44" t="str">
            <v>MFI CITRIC ACID 20KG BAG</v>
          </cell>
          <cell r="C44">
            <v>1561894</v>
          </cell>
        </row>
        <row r="45">
          <cell r="A45">
            <v>1121804</v>
          </cell>
          <cell r="B45" t="str">
            <v>CH/B/V-44.202PE/B/V68/91.002 P1G 8UN BAG</v>
          </cell>
          <cell r="C45">
            <v>1561894</v>
          </cell>
        </row>
        <row r="46">
          <cell r="A46">
            <v>1122398</v>
          </cell>
          <cell r="B46" t="str">
            <v>WIP WA/M-35.10 P1A 5UN BAG</v>
          </cell>
          <cell r="C46">
            <v>1561894</v>
          </cell>
        </row>
        <row r="47">
          <cell r="A47">
            <v>1129802</v>
          </cell>
          <cell r="B47" t="str">
            <v>WIP PART 1B 3.600KG 8UN (811)</v>
          </cell>
          <cell r="C47">
            <v>1561894</v>
          </cell>
        </row>
        <row r="48">
          <cell r="A48">
            <v>1132304</v>
          </cell>
          <cell r="B48" t="str">
            <v>TE/LE-82.10/TE/PE-28.10 P1 3UN BAG</v>
          </cell>
          <cell r="C48">
            <v>1561894</v>
          </cell>
        </row>
        <row r="49">
          <cell r="A49">
            <v>1132405</v>
          </cell>
          <cell r="B49" t="str">
            <v>AC/OR-1.00/1.10 P1 3UN BAG</v>
          </cell>
          <cell r="C49">
            <v>1561894</v>
          </cell>
        </row>
        <row r="50">
          <cell r="A50">
            <v>1132600</v>
          </cell>
          <cell r="B50" t="str">
            <v>BCU-2.00 P1 4UN BAG</v>
          </cell>
          <cell r="C50">
            <v>1561894</v>
          </cell>
        </row>
        <row r="51">
          <cell r="A51">
            <v>1140904</v>
          </cell>
          <cell r="B51" t="str">
            <v>OR/MN-9.00 P1A 1UN BAG</v>
          </cell>
          <cell r="C51">
            <v>1561894</v>
          </cell>
        </row>
        <row r="52">
          <cell r="A52">
            <v>1147321</v>
          </cell>
          <cell r="B52" t="str">
            <v>HB-2.00/HB/D-2.50/2.51 P1 5UN BAG</v>
          </cell>
          <cell r="C52">
            <v>1561894</v>
          </cell>
        </row>
        <row r="53">
          <cell r="A53">
            <v>1147704</v>
          </cell>
          <cell r="B53" t="str">
            <v>FP/N-146.10 P1 3UN BAG</v>
          </cell>
          <cell r="C53">
            <v>1561894</v>
          </cell>
        </row>
        <row r="54">
          <cell r="A54">
            <v>1148903</v>
          </cell>
          <cell r="B54" t="str">
            <v>TE/PE/D-27.50/HB/D-36.50 P1 3UN BAG</v>
          </cell>
          <cell r="C54">
            <v>1561894</v>
          </cell>
        </row>
        <row r="55">
          <cell r="A55">
            <v>1150705</v>
          </cell>
          <cell r="B55" t="str">
            <v>CH/N-61.00 P1 1UN BAG</v>
          </cell>
          <cell r="C55">
            <v>1561894</v>
          </cell>
        </row>
        <row r="56">
          <cell r="A56">
            <v>1150706</v>
          </cell>
          <cell r="B56" t="str">
            <v>PE/N-93.00 P1 10UN BAG</v>
          </cell>
          <cell r="C56">
            <v>1561894</v>
          </cell>
        </row>
        <row r="57">
          <cell r="A57">
            <v>1154302</v>
          </cell>
          <cell r="B57" t="str">
            <v>WA/M-119.00 P1C 10UN BAG PK</v>
          </cell>
          <cell r="C57">
            <v>1561894</v>
          </cell>
        </row>
        <row r="58">
          <cell r="A58">
            <v>1159624</v>
          </cell>
          <cell r="B58" t="str">
            <v>WIP FL-6.00 KY P1 1UN</v>
          </cell>
          <cell r="C58">
            <v>1561894</v>
          </cell>
        </row>
        <row r="59">
          <cell r="A59">
            <v>1160104</v>
          </cell>
          <cell r="B59" t="str">
            <v>FP/Q/V-144.60/FP/Q-144.50 P1J 5UN BAG</v>
          </cell>
          <cell r="C59">
            <v>1561894</v>
          </cell>
        </row>
        <row r="60">
          <cell r="A60">
            <v>1161422</v>
          </cell>
          <cell r="B60" t="str">
            <v>FV/A/D-56.501/.601FV/D-55.50 P1B 8UN BAG</v>
          </cell>
          <cell r="C60">
            <v>1561894</v>
          </cell>
        </row>
        <row r="61">
          <cell r="A61">
            <v>1163032</v>
          </cell>
          <cell r="B61" t="str">
            <v>BL/BE-1.00 P1A 3UN BAG</v>
          </cell>
          <cell r="C61">
            <v>1561894</v>
          </cell>
        </row>
        <row r="62">
          <cell r="A62">
            <v>1165906</v>
          </cell>
          <cell r="B62" t="str">
            <v>GEN CITRIC ACID 2.5UN BAG</v>
          </cell>
          <cell r="C62">
            <v>1561894</v>
          </cell>
        </row>
        <row r="63">
          <cell r="A63">
            <v>1165909</v>
          </cell>
          <cell r="B63" t="str">
            <v>8/LE-257.00 P1 20KG BAG</v>
          </cell>
          <cell r="C63">
            <v>1561894</v>
          </cell>
        </row>
        <row r="64">
          <cell r="A64">
            <v>1166507</v>
          </cell>
          <cell r="B64" t="str">
            <v>4/TW-75.00 20KG BAG</v>
          </cell>
          <cell r="C64">
            <v>1561894</v>
          </cell>
        </row>
        <row r="65">
          <cell r="A65">
            <v>1166801</v>
          </cell>
          <cell r="B65" t="str">
            <v>FV/D/V-57.501 P1B 5UN BAG</v>
          </cell>
          <cell r="C65">
            <v>1561894</v>
          </cell>
        </row>
        <row r="66">
          <cell r="A66">
            <v>1169755</v>
          </cell>
          <cell r="B66" t="str">
            <v>PR-12.11 P1 3UN BAG</v>
          </cell>
          <cell r="C66">
            <v>1561894</v>
          </cell>
        </row>
        <row r="67">
          <cell r="A67">
            <v>1173559</v>
          </cell>
          <cell r="B67" t="str">
            <v>TW/4-90.00/101.00/104.00 P1 1UN BAG</v>
          </cell>
          <cell r="C67">
            <v>1561894</v>
          </cell>
        </row>
        <row r="68">
          <cell r="A68">
            <v>1177620</v>
          </cell>
          <cell r="B68" t="str">
            <v>LE/GF/Q-1.00/LE/GF/V-1.10 P1J 20UN BAG</v>
          </cell>
          <cell r="C68">
            <v>1561894</v>
          </cell>
        </row>
        <row r="69">
          <cell r="A69">
            <v>1177702</v>
          </cell>
          <cell r="B69" t="str">
            <v>BC-14.00 P1 5UN BAG</v>
          </cell>
          <cell r="C69">
            <v>1561894</v>
          </cell>
        </row>
        <row r="70">
          <cell r="A70">
            <v>1180802</v>
          </cell>
          <cell r="B70" t="str">
            <v>WIP WA/LL-1.10/WA/LI/V-4.01 P1C 5UN BAG</v>
          </cell>
          <cell r="C70">
            <v>1561894</v>
          </cell>
        </row>
        <row r="71">
          <cell r="A71">
            <v>1183596</v>
          </cell>
          <cell r="B71" t="str">
            <v>OR-475.20 P1 2UN BAG</v>
          </cell>
          <cell r="C71">
            <v>1561894</v>
          </cell>
        </row>
        <row r="72">
          <cell r="A72">
            <v>1184805</v>
          </cell>
          <cell r="B72" t="str">
            <v>WIP WA/M-8.21/OR/PA-23.00 P1C 2UN BAG PK</v>
          </cell>
          <cell r="C72">
            <v>1561894</v>
          </cell>
        </row>
        <row r="73">
          <cell r="A73">
            <v>1196198</v>
          </cell>
          <cell r="B73" t="str">
            <v>FP-271.00 KP P1A 5UN BAG</v>
          </cell>
          <cell r="C73">
            <v>1561894</v>
          </cell>
        </row>
        <row r="74">
          <cell r="A74">
            <v>1197313</v>
          </cell>
          <cell r="B74" t="str">
            <v>WIP PART 1B 0.9625KG 2.5UN (811)</v>
          </cell>
          <cell r="C74">
            <v>1561894</v>
          </cell>
        </row>
        <row r="75">
          <cell r="A75">
            <v>1197608</v>
          </cell>
          <cell r="B75" t="str">
            <v>AC/N-33.00 P1 5UN BAG</v>
          </cell>
          <cell r="C75">
            <v>1561894</v>
          </cell>
        </row>
        <row r="76">
          <cell r="A76">
            <v>1197612</v>
          </cell>
          <cell r="B76" t="str">
            <v>PE-52.00 P1 4UN BAG</v>
          </cell>
          <cell r="C76">
            <v>1561894</v>
          </cell>
        </row>
        <row r="77">
          <cell r="A77">
            <v>1198631</v>
          </cell>
          <cell r="B77" t="str">
            <v>RB/B-57.10/59.00/RB/D-60.50 P1 10UN BAG</v>
          </cell>
          <cell r="C77">
            <v>1561894</v>
          </cell>
        </row>
        <row r="78">
          <cell r="A78">
            <v>1198819</v>
          </cell>
          <cell r="B78" t="str">
            <v>PE/N-103.00 P1 4UN BAG</v>
          </cell>
          <cell r="C78">
            <v>1561894</v>
          </cell>
        </row>
        <row r="79">
          <cell r="A79">
            <v>1202363</v>
          </cell>
          <cell r="B79" t="str">
            <v>FV/A/D-60.50/65.50 P1D 4UN BAG</v>
          </cell>
          <cell r="C79">
            <v>1561894</v>
          </cell>
        </row>
        <row r="80">
          <cell r="A80">
            <v>1202390</v>
          </cell>
          <cell r="B80" t="str">
            <v>OR/PF-8.00/.01OR/LL1.00/OR/MN9. P1A 2U B</v>
          </cell>
          <cell r="C80">
            <v>1561894</v>
          </cell>
        </row>
        <row r="81">
          <cell r="A81">
            <v>1208305</v>
          </cell>
          <cell r="B81" t="str">
            <v>OR/N-944.00 P1 3UN BAG</v>
          </cell>
          <cell r="C81">
            <v>1561894</v>
          </cell>
        </row>
        <row r="82">
          <cell r="A82">
            <v>1208597</v>
          </cell>
          <cell r="B82" t="str">
            <v>MA/6-57.00 P1 3.333UN BAG</v>
          </cell>
          <cell r="C82">
            <v>1561894</v>
          </cell>
        </row>
        <row r="83">
          <cell r="A83">
            <v>1221937</v>
          </cell>
          <cell r="B83" t="str">
            <v>WIP PART 1B 0.385KG 1UN BAG</v>
          </cell>
          <cell r="C83">
            <v>1561894</v>
          </cell>
        </row>
        <row r="84">
          <cell r="A84">
            <v>1225502</v>
          </cell>
          <cell r="B84" t="str">
            <v>DC/LI-1538.69 P1E 5UN BAG</v>
          </cell>
          <cell r="C84">
            <v>1561894</v>
          </cell>
        </row>
        <row r="85">
          <cell r="A85">
            <v>1229996</v>
          </cell>
          <cell r="B85" t="str">
            <v>OR/N-967.00 P1 2UN BAG</v>
          </cell>
          <cell r="C85">
            <v>1561894</v>
          </cell>
        </row>
        <row r="86">
          <cell r="A86">
            <v>1231047</v>
          </cell>
          <cell r="B86" t="str">
            <v>OR/D-639.50 P1 2UN BAG</v>
          </cell>
          <cell r="C86">
            <v>1561894</v>
          </cell>
        </row>
        <row r="87">
          <cell r="A87">
            <v>1231322</v>
          </cell>
          <cell r="B87" t="str">
            <v>PE-34.00 P1 3.76 UN BAG</v>
          </cell>
          <cell r="C87">
            <v>1561894</v>
          </cell>
        </row>
        <row r="88">
          <cell r="A88">
            <v>1233611</v>
          </cell>
          <cell r="B88" t="str">
            <v>WIP WA/RA/M4./5.0//AP/M-3.0//LI/M-4. P1C</v>
          </cell>
          <cell r="C88">
            <v>1561894</v>
          </cell>
        </row>
        <row r="89">
          <cell r="A89">
            <v>1241103</v>
          </cell>
          <cell r="B89" t="str">
            <v>AP/N-276.00 P1 6UN BAG</v>
          </cell>
          <cell r="C89">
            <v>1561894</v>
          </cell>
        </row>
        <row r="90">
          <cell r="A90">
            <v>1242045</v>
          </cell>
          <cell r="B90" t="str">
            <v>RA/OR/D-1.50 P1 2UN BAG</v>
          </cell>
          <cell r="C90">
            <v>1561894</v>
          </cell>
        </row>
        <row r="91">
          <cell r="A91">
            <v>1242106</v>
          </cell>
          <cell r="B91" t="str">
            <v>FP/B/Q-144.70/CB/BC/B-1.00 P1J 10UN BAG</v>
          </cell>
          <cell r="C91">
            <v>1561894</v>
          </cell>
        </row>
        <row r="92">
          <cell r="A92">
            <v>1242596</v>
          </cell>
          <cell r="B92" t="str">
            <v>LE/GF/Q-1.30 P1J 20UN BAG</v>
          </cell>
          <cell r="C92">
            <v>1561894</v>
          </cell>
        </row>
        <row r="93">
          <cell r="A93">
            <v>1243388</v>
          </cell>
          <cell r="B93" t="str">
            <v>OR-454.00 P1 4UN BAG</v>
          </cell>
          <cell r="C93">
            <v>1561894</v>
          </cell>
        </row>
        <row r="94">
          <cell r="A94">
            <v>1244018</v>
          </cell>
          <cell r="B94" t="str">
            <v>OR/PA-23.00 P1D 4UN BAG</v>
          </cell>
          <cell r="C94">
            <v>1561894</v>
          </cell>
        </row>
        <row r="95">
          <cell r="A95">
            <v>1244020</v>
          </cell>
          <cell r="B95" t="str">
            <v>AP/PR-8.00/-18.00/GR/KW-1.00 P1D 4UN BAG</v>
          </cell>
          <cell r="C95">
            <v>1561894</v>
          </cell>
        </row>
        <row r="96">
          <cell r="A96">
            <v>1250924</v>
          </cell>
          <cell r="B96" t="str">
            <v>AC/N-45.00 P1 4UN BAG</v>
          </cell>
          <cell r="C96">
            <v>1561894</v>
          </cell>
        </row>
        <row r="97">
          <cell r="A97">
            <v>1252419</v>
          </cell>
          <cell r="B97" t="str">
            <v>AP/N-284.00 P1 1UN BAG</v>
          </cell>
          <cell r="C97">
            <v>1561894</v>
          </cell>
        </row>
        <row r="98">
          <cell r="A98">
            <v>1254916</v>
          </cell>
          <cell r="B98" t="str">
            <v>WIP OR/D-56.711/.801/OR-56.911 P1B 5U BG</v>
          </cell>
          <cell r="C98">
            <v>1561894</v>
          </cell>
        </row>
        <row r="99">
          <cell r="A99">
            <v>1262910</v>
          </cell>
          <cell r="B99" t="str">
            <v>AP/J-293.00 P1 4UN BAG</v>
          </cell>
          <cell r="C99">
            <v>1561894</v>
          </cell>
        </row>
        <row r="100">
          <cell r="A100">
            <v>1267931</v>
          </cell>
          <cell r="B100" t="str">
            <v>TW/4-104.00 P1 2.5UN BAG</v>
          </cell>
          <cell r="C100">
            <v>1561894</v>
          </cell>
        </row>
        <row r="101">
          <cell r="A101">
            <v>1280215</v>
          </cell>
          <cell r="B101" t="str">
            <v>OR/D-1018.50/OR/BE-4.00 P1 2.5UN BAG</v>
          </cell>
          <cell r="C101">
            <v>1561894</v>
          </cell>
        </row>
        <row r="102">
          <cell r="A102">
            <v>1280230</v>
          </cell>
          <cell r="B102" t="str">
            <v>WIP PART 1B  0.89KG 2.5UN</v>
          </cell>
          <cell r="C102">
            <v>1561894</v>
          </cell>
        </row>
        <row r="103">
          <cell r="A103">
            <v>1285998</v>
          </cell>
          <cell r="B103" t="str">
            <v>LE-257.01/LE/B-257.12 P1 5UN BAG</v>
          </cell>
          <cell r="C103">
            <v>1561894</v>
          </cell>
        </row>
        <row r="104">
          <cell r="A104">
            <v>1293259</v>
          </cell>
          <cell r="B104" t="str">
            <v>RA/N-73.10 P1 5UN BAG</v>
          </cell>
          <cell r="C104">
            <v>1561894</v>
          </cell>
        </row>
        <row r="105">
          <cell r="A105">
            <v>1302300</v>
          </cell>
          <cell r="B105" t="str">
            <v>WIP PART 1B 0.620KG 2UN (811)</v>
          </cell>
          <cell r="C105">
            <v>1561894</v>
          </cell>
        </row>
        <row r="106">
          <cell r="A106">
            <v>1303319</v>
          </cell>
          <cell r="B106" t="str">
            <v>PE/N-92.00 P1 4UN BAG</v>
          </cell>
          <cell r="C106">
            <v>1561894</v>
          </cell>
        </row>
        <row r="107">
          <cell r="A107">
            <v>1303834</v>
          </cell>
          <cell r="B107" t="str">
            <v>OR/D-572.90 P1 2UN BAG</v>
          </cell>
          <cell r="C107">
            <v>1561894</v>
          </cell>
        </row>
        <row r="108">
          <cell r="A108">
            <v>1306096</v>
          </cell>
          <cell r="B108" t="str">
            <v>FP/N-146.30 P1 2.5UN BAG</v>
          </cell>
          <cell r="C108">
            <v>1561894</v>
          </cell>
        </row>
        <row r="109">
          <cell r="A109">
            <v>1306534</v>
          </cell>
          <cell r="B109" t="str">
            <v>OR-1025.10/.20/OR-1084.10 P1 8UN BAG</v>
          </cell>
          <cell r="C109">
            <v>1561894</v>
          </cell>
        </row>
        <row r="110">
          <cell r="A110">
            <v>1307121</v>
          </cell>
          <cell r="B110" t="str">
            <v>WIP WA-55.00 P1C 5UN BAG</v>
          </cell>
          <cell r="C110">
            <v>1561894</v>
          </cell>
        </row>
        <row r="111">
          <cell r="A111">
            <v>1307324</v>
          </cell>
          <cell r="B111" t="str">
            <v>WIP PART 1B 4.020KG 6UN BAG (811)</v>
          </cell>
          <cell r="C111">
            <v>1561894</v>
          </cell>
        </row>
        <row r="112">
          <cell r="A112">
            <v>1307335</v>
          </cell>
          <cell r="B112" t="str">
            <v>TW/4-101.00 P1 2UN BAG</v>
          </cell>
          <cell r="C112">
            <v>1561894</v>
          </cell>
        </row>
        <row r="113">
          <cell r="A113">
            <v>1308455</v>
          </cell>
          <cell r="B113" t="str">
            <v>WA/PR/G-1.00/WA/PR/M-1.10 P1 4UN BAG</v>
          </cell>
          <cell r="C113">
            <v>1561894</v>
          </cell>
        </row>
        <row r="114">
          <cell r="A114">
            <v>1308801</v>
          </cell>
          <cell r="B114" t="str">
            <v>PA/GF/B-25.303/4 -25.313/4 P1B 20UN BAG</v>
          </cell>
          <cell r="C114">
            <v>1561894</v>
          </cell>
        </row>
        <row r="115">
          <cell r="A115">
            <v>1309396</v>
          </cell>
          <cell r="B115" t="str">
            <v>WA/LE/G-17.00/WA/LE/M-17.10 P1 4UN BAG</v>
          </cell>
          <cell r="C115">
            <v>1561894</v>
          </cell>
        </row>
        <row r="116">
          <cell r="A116">
            <v>1310905</v>
          </cell>
          <cell r="B116" t="str">
            <v>OR/V-988.10 P1 2.5UN BAG</v>
          </cell>
          <cell r="C116">
            <v>1561894</v>
          </cell>
        </row>
        <row r="117">
          <cell r="A117">
            <v>1310923</v>
          </cell>
          <cell r="B117" t="str">
            <v>FP/V-287.40 P1 2UN BAG</v>
          </cell>
          <cell r="C117">
            <v>1561894</v>
          </cell>
        </row>
        <row r="118">
          <cell r="A118">
            <v>1310992</v>
          </cell>
          <cell r="B118" t="str">
            <v>WIP PART 1B 2.700KG (811) 6UN</v>
          </cell>
          <cell r="C118">
            <v>1561894</v>
          </cell>
        </row>
        <row r="119">
          <cell r="A119">
            <v>1312696</v>
          </cell>
          <cell r="B119" t="str">
            <v>WIP PART 1B 1.335KG 5UN (S-811)</v>
          </cell>
          <cell r="C119">
            <v>1561894</v>
          </cell>
        </row>
        <row r="120">
          <cell r="A120">
            <v>1314518</v>
          </cell>
          <cell r="B120" t="str">
            <v>AP/N-284.00 P1 1.038UN BAG</v>
          </cell>
          <cell r="C120">
            <v>1561894</v>
          </cell>
        </row>
        <row r="121">
          <cell r="A121">
            <v>1315624</v>
          </cell>
          <cell r="B121" t="str">
            <v>OR/B-900.10 P1 4UN BAG</v>
          </cell>
          <cell r="C121">
            <v>1561894</v>
          </cell>
        </row>
        <row r="122">
          <cell r="A122">
            <v>1320936</v>
          </cell>
          <cell r="B122" t="str">
            <v>GR/J-182.00 P1 1UN BAG</v>
          </cell>
          <cell r="C122">
            <v>1561894</v>
          </cell>
        </row>
        <row r="123">
          <cell r="A123">
            <v>1322163</v>
          </cell>
          <cell r="B123" t="str">
            <v>PART 1B 2.7KG (811) 5UN BAG</v>
          </cell>
          <cell r="C123">
            <v>1561894</v>
          </cell>
        </row>
        <row r="124">
          <cell r="A124">
            <v>1323603</v>
          </cell>
          <cell r="B124" t="str">
            <v>TE/PE/D-29.50 P1 2UN BAG</v>
          </cell>
          <cell r="C124">
            <v>1561894</v>
          </cell>
        </row>
        <row r="125">
          <cell r="A125">
            <v>1323619</v>
          </cell>
          <cell r="B125" t="str">
            <v>OR-1063.00 P1 5UN BAG</v>
          </cell>
          <cell r="C125">
            <v>1561894</v>
          </cell>
        </row>
        <row r="126">
          <cell r="A126">
            <v>1324629</v>
          </cell>
          <cell r="B126" t="str">
            <v>FP/MK/N-3.00 P1 1UN BAG</v>
          </cell>
          <cell r="C126">
            <v>1561894</v>
          </cell>
        </row>
        <row r="127">
          <cell r="A127">
            <v>1326701</v>
          </cell>
          <cell r="B127" t="str">
            <v>PA/GR/J-2.00 P1 2UN BAG</v>
          </cell>
          <cell r="C127">
            <v>1561894</v>
          </cell>
        </row>
        <row r="128">
          <cell r="A128">
            <v>1327326</v>
          </cell>
          <cell r="B128" t="str">
            <v>WIP PART 1B 1.925KG 5UN BAG (S-811)</v>
          </cell>
          <cell r="C128">
            <v>1561894</v>
          </cell>
        </row>
        <row r="129">
          <cell r="A129">
            <v>1329136</v>
          </cell>
          <cell r="B129" t="str">
            <v>WIP PART1B 1.3475KG 3.5UN BAG</v>
          </cell>
          <cell r="C129">
            <v>1561894</v>
          </cell>
        </row>
        <row r="130">
          <cell r="A130">
            <v>1336924</v>
          </cell>
          <cell r="B130" t="str">
            <v>BL/GR/N-1.00 P1 5UN BAG</v>
          </cell>
          <cell r="C130">
            <v>1561894</v>
          </cell>
        </row>
        <row r="131">
          <cell r="A131">
            <v>1340314</v>
          </cell>
          <cell r="B131" t="str">
            <v>LL/G-143./CB/G-20/GF/G-241.00 P1 5UN BAG</v>
          </cell>
          <cell r="C131">
            <v>1561894</v>
          </cell>
        </row>
        <row r="132">
          <cell r="A132">
            <v>1340416</v>
          </cell>
          <cell r="B132" t="str">
            <v>TE/AP-11.00/.10/.20 P1 2UN BAG</v>
          </cell>
          <cell r="C132">
            <v>1561894</v>
          </cell>
        </row>
        <row r="133">
          <cell r="A133">
            <v>1341601</v>
          </cell>
          <cell r="B133" t="str">
            <v>LE-442.001 P1B 8UN BAG</v>
          </cell>
          <cell r="C133">
            <v>1561894</v>
          </cell>
        </row>
        <row r="134">
          <cell r="A134">
            <v>1342418</v>
          </cell>
          <cell r="B134" t="str">
            <v>AP/PR/V-4.40/4.41 P1 4UN BAG</v>
          </cell>
          <cell r="C134">
            <v>1561894</v>
          </cell>
        </row>
        <row r="135">
          <cell r="A135">
            <v>1344802</v>
          </cell>
          <cell r="B135" t="str">
            <v>WIP PART 1B 3.360KG 8UN  BAG (811)</v>
          </cell>
          <cell r="C135">
            <v>1561894</v>
          </cell>
        </row>
        <row r="136">
          <cell r="A136">
            <v>1347110</v>
          </cell>
          <cell r="B136" t="str">
            <v>WIP WA/PE/M-2.00 P1C 10UN</v>
          </cell>
          <cell r="C136">
            <v>1561894</v>
          </cell>
        </row>
        <row r="137">
          <cell r="A137">
            <v>1347608</v>
          </cell>
          <cell r="B137" t="str">
            <v>WIP PART 1B 3.800KG 5UN BAG (811)</v>
          </cell>
          <cell r="C137">
            <v>1561894</v>
          </cell>
        </row>
        <row r="138">
          <cell r="A138">
            <v>1348713</v>
          </cell>
          <cell r="B138" t="str">
            <v>MN-100.001 P1B 10UN BAG</v>
          </cell>
          <cell r="C138">
            <v>1561894</v>
          </cell>
        </row>
        <row r="139">
          <cell r="A139">
            <v>1349537</v>
          </cell>
          <cell r="B139" t="str">
            <v>LL-143.01/CB-20.01 P1 1UN BAG</v>
          </cell>
          <cell r="C139">
            <v>1561894</v>
          </cell>
        </row>
        <row r="140">
          <cell r="A140">
            <v>1351629</v>
          </cell>
          <cell r="B140" t="str">
            <v>OR-639.10 P1 2UN BAG</v>
          </cell>
          <cell r="C140">
            <v>1561894</v>
          </cell>
        </row>
        <row r="141">
          <cell r="A141">
            <v>1351725</v>
          </cell>
          <cell r="B141" t="str">
            <v>WIP PART 1B 4.2KG 10UN BAG (811)</v>
          </cell>
          <cell r="C141">
            <v>1561894</v>
          </cell>
        </row>
        <row r="142">
          <cell r="A142">
            <v>1352618</v>
          </cell>
          <cell r="B142" t="str">
            <v>LI/RA-1.00 P1D 4UN BAG</v>
          </cell>
          <cell r="C142">
            <v>1561894</v>
          </cell>
        </row>
        <row r="143">
          <cell r="A143">
            <v>1352656</v>
          </cell>
          <cell r="B143" t="str">
            <v>WIP PART P1B 0.95KG 2UN BAG (811)</v>
          </cell>
          <cell r="C143">
            <v>1561894</v>
          </cell>
        </row>
        <row r="144">
          <cell r="A144">
            <v>1352894</v>
          </cell>
          <cell r="B144" t="str">
            <v>PA-94.10 P1 2UN BAG</v>
          </cell>
          <cell r="C144">
            <v>1561894</v>
          </cell>
        </row>
        <row r="145">
          <cell r="A145">
            <v>1353426</v>
          </cell>
          <cell r="B145" t="str">
            <v>WA/M-35.10 P1A 5UN BAG</v>
          </cell>
          <cell r="C145">
            <v>1561894</v>
          </cell>
        </row>
        <row r="146">
          <cell r="A146">
            <v>1357734</v>
          </cell>
          <cell r="B146" t="str">
            <v>WIP PART 1B 2.100KG 5UN BAG (811)</v>
          </cell>
          <cell r="C146">
            <v>1561894</v>
          </cell>
        </row>
        <row r="147">
          <cell r="A147">
            <v>1357740</v>
          </cell>
          <cell r="B147" t="str">
            <v>OR-395.112/ OR-1127.001 P1B 4UN BAG</v>
          </cell>
          <cell r="C147">
            <v>1561894</v>
          </cell>
        </row>
        <row r="148">
          <cell r="A148">
            <v>1357763</v>
          </cell>
          <cell r="B148" t="str">
            <v>TE/LE-59.303/TE/PE-29.103 P1B 2UN BAG</v>
          </cell>
          <cell r="C148">
            <v>1561894</v>
          </cell>
        </row>
        <row r="149">
          <cell r="A149">
            <v>1357852</v>
          </cell>
          <cell r="B149" t="str">
            <v>BT/LE-75.101 P1B 1UN BAG</v>
          </cell>
          <cell r="C149">
            <v>1561894</v>
          </cell>
        </row>
        <row r="150">
          <cell r="A150">
            <v>1358007</v>
          </cell>
          <cell r="B150" t="str">
            <v>OR-1100.001/1092.001/.003/.0 P1B 1UN BAG</v>
          </cell>
          <cell r="C150">
            <v>1561894</v>
          </cell>
        </row>
        <row r="151">
          <cell r="A151">
            <v>1358036</v>
          </cell>
          <cell r="B151" t="str">
            <v>LI-85.001 P1B 10UN BAG</v>
          </cell>
          <cell r="C151">
            <v>1561894</v>
          </cell>
        </row>
        <row r="152">
          <cell r="A152">
            <v>1359836</v>
          </cell>
          <cell r="B152" t="str">
            <v>WIP PART 1B 0.51KG 2UN (S-811)</v>
          </cell>
          <cell r="C152">
            <v>1561894</v>
          </cell>
        </row>
        <row r="153">
          <cell r="A153">
            <v>1359913</v>
          </cell>
          <cell r="B153" t="str">
            <v>OR-1100.001/1092.001 P1B 10UN BAG</v>
          </cell>
          <cell r="C153">
            <v>1561894</v>
          </cell>
        </row>
        <row r="154">
          <cell r="A154">
            <v>1360515</v>
          </cell>
          <cell r="B154" t="str">
            <v>WIP PART 1B 0.62KG 2UN BAG (811)</v>
          </cell>
          <cell r="C154">
            <v>1561894</v>
          </cell>
        </row>
        <row r="155">
          <cell r="A155">
            <v>1360638</v>
          </cell>
          <cell r="B155" t="str">
            <v>OR-991.002 P1B 30UN BAG</v>
          </cell>
          <cell r="C155">
            <v>1561894</v>
          </cell>
        </row>
        <row r="156">
          <cell r="A156">
            <v>1360647</v>
          </cell>
          <cell r="B156" t="str">
            <v>WIP PART 1B 2.035KG 5UN BAG (811)</v>
          </cell>
          <cell r="C156">
            <v>1561894</v>
          </cell>
        </row>
        <row r="157">
          <cell r="A157">
            <v>1360731</v>
          </cell>
          <cell r="B157" t="str">
            <v>AP/N-132.10 P1 4UN BAG</v>
          </cell>
          <cell r="C157">
            <v>1561894</v>
          </cell>
        </row>
        <row r="158">
          <cell r="A158">
            <v>1368255</v>
          </cell>
          <cell r="B158" t="str">
            <v>WIP PART 1B 2.40KG 4UN BAG (811)</v>
          </cell>
          <cell r="C158">
            <v>1561894</v>
          </cell>
        </row>
        <row r="159">
          <cell r="A159">
            <v>1372241</v>
          </cell>
          <cell r="B159" t="str">
            <v>BC/B-53.00 P1 3UN BAG</v>
          </cell>
          <cell r="C159">
            <v>1561894</v>
          </cell>
        </row>
        <row r="160">
          <cell r="A160">
            <v>1376321</v>
          </cell>
          <cell r="B160" t="str">
            <v>RA/OR/D-3.50 P1 2UN BAG</v>
          </cell>
          <cell r="C160">
            <v>1561894</v>
          </cell>
        </row>
        <row r="161">
          <cell r="A161">
            <v>1377234</v>
          </cell>
          <cell r="B161" t="str">
            <v>FP/B-371.20 P1 5UN BAG</v>
          </cell>
          <cell r="C161">
            <v>1561894</v>
          </cell>
        </row>
        <row r="162">
          <cell r="A162">
            <v>1379418</v>
          </cell>
          <cell r="B162" t="str">
            <v>WIP PART 1B 3.60KG 8UN (811)</v>
          </cell>
          <cell r="C162">
            <v>1561894</v>
          </cell>
        </row>
        <row r="163">
          <cell r="A163">
            <v>1384395</v>
          </cell>
          <cell r="B163" t="str">
            <v>OR-1124.00  P1 3UN BAG</v>
          </cell>
          <cell r="C163">
            <v>1561894</v>
          </cell>
        </row>
        <row r="164">
          <cell r="A164">
            <v>1384595</v>
          </cell>
          <cell r="B164" t="str">
            <v>GA/6-103.00 P1 2UN BAG</v>
          </cell>
          <cell r="C164">
            <v>1561894</v>
          </cell>
        </row>
        <row r="165">
          <cell r="A165">
            <v>1387949</v>
          </cell>
          <cell r="B165" t="str">
            <v>PRJ 0001321 P1 4UN BAG</v>
          </cell>
          <cell r="C165">
            <v>1561894</v>
          </cell>
        </row>
        <row r="166">
          <cell r="A166">
            <v>1391216</v>
          </cell>
          <cell r="B166" t="str">
            <v>PE/G-140.00 P1 2UN BAG</v>
          </cell>
          <cell r="C166">
            <v>1561894</v>
          </cell>
        </row>
        <row r="167">
          <cell r="A167">
            <v>1394915</v>
          </cell>
          <cell r="B167" t="str">
            <v>PART 1B 4.50KG 10UN (811) BAG</v>
          </cell>
          <cell r="C167">
            <v>1561894</v>
          </cell>
        </row>
        <row r="168">
          <cell r="A168">
            <v>1395716</v>
          </cell>
          <cell r="B168" t="str">
            <v>WIP PART 1B (S-811) 1.968KG 8UN BAG</v>
          </cell>
          <cell r="C168">
            <v>1561894</v>
          </cell>
        </row>
        <row r="169">
          <cell r="A169">
            <v>1395923</v>
          </cell>
          <cell r="B169" t="str">
            <v>WIP FP/N/V-409.001/.011 P1B 8UN BAG</v>
          </cell>
          <cell r="C169">
            <v>1561894</v>
          </cell>
        </row>
        <row r="170">
          <cell r="A170">
            <v>1395926</v>
          </cell>
          <cell r="B170" t="str">
            <v>FP/N/V-409.00/.01 P1 4UN BAG</v>
          </cell>
          <cell r="C170">
            <v>1561894</v>
          </cell>
        </row>
        <row r="171">
          <cell r="A171">
            <v>1397702</v>
          </cell>
          <cell r="B171" t="str">
            <v>AP-356.00 P1 2UN BAG</v>
          </cell>
          <cell r="C171">
            <v>1561894</v>
          </cell>
        </row>
        <row r="172">
          <cell r="A172">
            <v>1397998</v>
          </cell>
          <cell r="B172" t="str">
            <v>GEN CITRIC ACID P1 0.250KG BAG</v>
          </cell>
          <cell r="C172">
            <v>1561894</v>
          </cell>
        </row>
        <row r="173">
          <cell r="A173">
            <v>1398002</v>
          </cell>
          <cell r="B173" t="str">
            <v>GEN POTASSIUM SORBATE P1B 0.250KG BAG</v>
          </cell>
          <cell r="C173">
            <v>1561894</v>
          </cell>
        </row>
        <row r="174">
          <cell r="A174">
            <v>1399172</v>
          </cell>
          <cell r="B174" t="str">
            <v>LE/LL/B-1.00 P1 2.5UN BAG</v>
          </cell>
          <cell r="C174">
            <v>1561894</v>
          </cell>
        </row>
        <row r="175">
          <cell r="A175">
            <v>1399175</v>
          </cell>
          <cell r="B175" t="str">
            <v>AP/MT/B-3.00/ST/B-115.00 P1 5UN BAG</v>
          </cell>
          <cell r="C175">
            <v>1561894</v>
          </cell>
        </row>
        <row r="176">
          <cell r="A176">
            <v>1399324</v>
          </cell>
          <cell r="B176" t="str">
            <v>WIP PART 1B 0.385KG 1UN BAG (811)</v>
          </cell>
          <cell r="C176">
            <v>1561894</v>
          </cell>
        </row>
        <row r="177">
          <cell r="A177">
            <v>1399524</v>
          </cell>
          <cell r="B177" t="str">
            <v>GA/6-103.00 P1 1UN BAG</v>
          </cell>
          <cell r="C177">
            <v>1561894</v>
          </cell>
        </row>
        <row r="178">
          <cell r="A178">
            <v>1402959</v>
          </cell>
          <cell r="B178" t="str">
            <v>AP/KW/N-4.00 P1 1.5UN BAG</v>
          </cell>
          <cell r="C178">
            <v>1561894</v>
          </cell>
        </row>
        <row r="179">
          <cell r="A179">
            <v>1403858</v>
          </cell>
          <cell r="B179" t="str">
            <v>PE/N-143.00 P1 10UN BAG</v>
          </cell>
          <cell r="C179">
            <v>1561894</v>
          </cell>
        </row>
        <row r="180">
          <cell r="A180">
            <v>1403923</v>
          </cell>
          <cell r="B180" t="str">
            <v>FP/B-393.00 P1 4UN BAG</v>
          </cell>
          <cell r="C180">
            <v>1561894</v>
          </cell>
        </row>
        <row r="181">
          <cell r="A181">
            <v>1404104</v>
          </cell>
          <cell r="B181" t="str">
            <v>RA/BC-2.00 P1 5UN BAG</v>
          </cell>
          <cell r="C181">
            <v>1561894</v>
          </cell>
        </row>
        <row r="182">
          <cell r="A182">
            <v>1405099</v>
          </cell>
          <cell r="B182" t="str">
            <v>OR/D-943.505 P1B 8UN BAG</v>
          </cell>
          <cell r="C182">
            <v>1561894</v>
          </cell>
        </row>
        <row r="183">
          <cell r="A183">
            <v>1405797</v>
          </cell>
          <cell r="B183" t="str">
            <v>MN/SI-2.00/AP/MT-6.00 P1D 4UN BAG</v>
          </cell>
          <cell r="C183">
            <v>1561894</v>
          </cell>
        </row>
        <row r="184">
          <cell r="A184">
            <v>1409820</v>
          </cell>
          <cell r="B184" t="str">
            <v>CH/N-80.00 P1 2UN BAG</v>
          </cell>
          <cell r="C184">
            <v>1561894</v>
          </cell>
        </row>
        <row r="185">
          <cell r="A185">
            <v>1410414</v>
          </cell>
          <cell r="B185" t="str">
            <v>OR/N-1155.00 P1 3UN BAG</v>
          </cell>
          <cell r="C185">
            <v>1561894</v>
          </cell>
        </row>
        <row r="186">
          <cell r="A186">
            <v>1410420</v>
          </cell>
          <cell r="B186" t="str">
            <v>CH/N-84.00 P1 2UN BAG</v>
          </cell>
          <cell r="C186">
            <v>1561894</v>
          </cell>
        </row>
        <row r="187">
          <cell r="A187">
            <v>1410618</v>
          </cell>
          <cell r="B187" t="str">
            <v>AC/OR-1.11 P1 3UN BAG</v>
          </cell>
          <cell r="C187">
            <v>1561894</v>
          </cell>
        </row>
        <row r="188">
          <cell r="A188">
            <v>1410622</v>
          </cell>
          <cell r="B188" t="str">
            <v>AP/J-361.00 P1 4UN BAG</v>
          </cell>
          <cell r="C188">
            <v>1561894</v>
          </cell>
        </row>
        <row r="189">
          <cell r="A189">
            <v>1413517</v>
          </cell>
          <cell r="B189" t="str">
            <v>AP/N-360.002 P1B 7.2UN BAG</v>
          </cell>
          <cell r="C189">
            <v>1561894</v>
          </cell>
        </row>
        <row r="190">
          <cell r="A190">
            <v>1414132</v>
          </cell>
          <cell r="B190" t="str">
            <v>WIP WA/M-147.00 P1A 1UN PK</v>
          </cell>
          <cell r="C190">
            <v>1561894</v>
          </cell>
        </row>
        <row r="191">
          <cell r="A191">
            <v>1416615</v>
          </cell>
          <cell r="B191" t="str">
            <v>FP/B-371.21 P1 5UN BAG</v>
          </cell>
          <cell r="C191">
            <v>1561894</v>
          </cell>
        </row>
        <row r="192">
          <cell r="A192">
            <v>1417397</v>
          </cell>
          <cell r="B192" t="str">
            <v>PE/V-149.00/ PE/G/V-149.02 P1 4UN BAG</v>
          </cell>
          <cell r="C192">
            <v>1561894</v>
          </cell>
        </row>
        <row r="193">
          <cell r="A193">
            <v>1417405</v>
          </cell>
          <cell r="B193" t="str">
            <v>AP-368.00/AP/G-368.02 P1 4UN BAG</v>
          </cell>
          <cell r="C193">
            <v>1561894</v>
          </cell>
        </row>
        <row r="194">
          <cell r="A194">
            <v>1417439</v>
          </cell>
          <cell r="B194" t="str">
            <v>GEN POTASSIUM SORBATE 25KG BAG IL</v>
          </cell>
          <cell r="C194">
            <v>1561894</v>
          </cell>
        </row>
        <row r="195">
          <cell r="A195">
            <v>1418564</v>
          </cell>
          <cell r="B195" t="str">
            <v>TE/LE-125.00 P1A 3UN BAG</v>
          </cell>
          <cell r="C195">
            <v>1561894</v>
          </cell>
        </row>
        <row r="196">
          <cell r="A196">
            <v>1420006</v>
          </cell>
          <cell r="B196" t="str">
            <v>WIP CL/D-12.00 P1A 5UN BAG</v>
          </cell>
          <cell r="C196">
            <v>1561894</v>
          </cell>
        </row>
        <row r="197">
          <cell r="A197">
            <v>1421153</v>
          </cell>
          <cell r="B197" t="str">
            <v>TW/B/4-57.30 P1 0.5UN BAG</v>
          </cell>
          <cell r="C197">
            <v>1561894</v>
          </cell>
        </row>
        <row r="198">
          <cell r="A198">
            <v>1421334</v>
          </cell>
          <cell r="B198" t="str">
            <v>WIP PART 1B (811) 0.787KG 2.5UN</v>
          </cell>
          <cell r="C198">
            <v>1561894</v>
          </cell>
        </row>
        <row r="199">
          <cell r="A199">
            <v>1423673</v>
          </cell>
          <cell r="B199" t="str">
            <v>GR-203.00 P1 5UN BAG</v>
          </cell>
          <cell r="C199">
            <v>1561894</v>
          </cell>
        </row>
        <row r="200">
          <cell r="A200">
            <v>1423823</v>
          </cell>
          <cell r="B200" t="str">
            <v>OR-1172.00 P1 2UN BAG</v>
          </cell>
          <cell r="C200">
            <v>1561894</v>
          </cell>
        </row>
        <row r="201">
          <cell r="A201">
            <v>1425199</v>
          </cell>
          <cell r="B201" t="str">
            <v>FP/B-426.001  P1B 10UN BAG</v>
          </cell>
          <cell r="C201">
            <v>1561894</v>
          </cell>
        </row>
        <row r="202">
          <cell r="A202">
            <v>1425201</v>
          </cell>
          <cell r="B202" t="str">
            <v>FP/B-426.00 P1 10UN BAG</v>
          </cell>
          <cell r="C202">
            <v>1561894</v>
          </cell>
        </row>
        <row r="203">
          <cell r="A203">
            <v>1425734</v>
          </cell>
          <cell r="B203" t="str">
            <v>LL/V-161.001 P1B 8UN BAG</v>
          </cell>
          <cell r="C203">
            <v>1561894</v>
          </cell>
        </row>
        <row r="204">
          <cell r="A204">
            <v>1428052</v>
          </cell>
          <cell r="B204" t="str">
            <v>FP/B/Q-144.700 P1J 5UN BAG</v>
          </cell>
          <cell r="C204">
            <v>1561894</v>
          </cell>
        </row>
        <row r="205">
          <cell r="A205">
            <v>1428061</v>
          </cell>
          <cell r="B205" t="str">
            <v>WIP MN/N-116.00 P1 1UN BAG</v>
          </cell>
          <cell r="C205">
            <v>1561894</v>
          </cell>
        </row>
        <row r="206">
          <cell r="A206">
            <v>1428200</v>
          </cell>
          <cell r="B206" t="str">
            <v>AP/N-372.00 10UN BAG</v>
          </cell>
          <cell r="C206">
            <v>1561894</v>
          </cell>
        </row>
        <row r="207">
          <cell r="A207">
            <v>1428245</v>
          </cell>
          <cell r="B207" t="str">
            <v>TE/LE-125.00 P1A 4UN BAG</v>
          </cell>
          <cell r="C207">
            <v>1561894</v>
          </cell>
        </row>
        <row r="208">
          <cell r="A208">
            <v>1429937</v>
          </cell>
          <cell r="B208" t="str">
            <v>PART 1B 6.4KG 16UN BAG (811)</v>
          </cell>
          <cell r="C208">
            <v>1561894</v>
          </cell>
        </row>
        <row r="209">
          <cell r="A209">
            <v>1433217</v>
          </cell>
          <cell r="B209" t="str">
            <v>OR-1172.00/.10 P1 4UN BAG</v>
          </cell>
          <cell r="C209">
            <v>1561894</v>
          </cell>
        </row>
        <row r="210">
          <cell r="A210">
            <v>1433662</v>
          </cell>
          <cell r="B210" t="str">
            <v>AP-95.30 P1 4UN BAG</v>
          </cell>
          <cell r="C210">
            <v>1561894</v>
          </cell>
        </row>
        <row r="211">
          <cell r="A211">
            <v>1434753</v>
          </cell>
          <cell r="B211" t="str">
            <v>OR/B-1162.001 P1 8UN BAG</v>
          </cell>
          <cell r="C211">
            <v>1561894</v>
          </cell>
        </row>
        <row r="212">
          <cell r="A212">
            <v>1437016</v>
          </cell>
          <cell r="B212" t="str">
            <v>OR/D-943.501 P1B 8UN BAG</v>
          </cell>
          <cell r="C212">
            <v>1561894</v>
          </cell>
        </row>
        <row r="213">
          <cell r="A213">
            <v>1437696</v>
          </cell>
          <cell r="B213" t="str">
            <v>WIP P1B 2.7KG 6UN BAG (811)</v>
          </cell>
          <cell r="C213">
            <v>1561894</v>
          </cell>
        </row>
        <row r="214">
          <cell r="A214">
            <v>1438147</v>
          </cell>
          <cell r="B214" t="str">
            <v>AP/CH/N-5.00 P1 1UN BAG</v>
          </cell>
          <cell r="C214">
            <v>1561894</v>
          </cell>
        </row>
        <row r="215">
          <cell r="A215">
            <v>1439002</v>
          </cell>
          <cell r="B215" t="str">
            <v>OR/AP/N-9.00 P1 3UN BAG</v>
          </cell>
          <cell r="C215">
            <v>1561894</v>
          </cell>
        </row>
        <row r="216">
          <cell r="A216">
            <v>1439139</v>
          </cell>
          <cell r="B216" t="str">
            <v>HB-28.00 P1A 1UN BAG</v>
          </cell>
          <cell r="C216">
            <v>1561894</v>
          </cell>
        </row>
        <row r="217">
          <cell r="A217">
            <v>1440227</v>
          </cell>
          <cell r="B217" t="str">
            <v>FP/B-426.00/FP-426.10 P1 5UN BAG</v>
          </cell>
          <cell r="C217">
            <v>1561894</v>
          </cell>
        </row>
        <row r="218">
          <cell r="A218">
            <v>1441296</v>
          </cell>
          <cell r="B218" t="str">
            <v>GA-62.003  P1B 12UN  BAG</v>
          </cell>
          <cell r="C218">
            <v>1561894</v>
          </cell>
        </row>
        <row r="219">
          <cell r="A219">
            <v>1442344</v>
          </cell>
          <cell r="B219" t="str">
            <v>OR/PF-17.00 P1 2UN BAG</v>
          </cell>
          <cell r="C219">
            <v>1561894</v>
          </cell>
        </row>
        <row r="220">
          <cell r="A220">
            <v>1442549</v>
          </cell>
          <cell r="B220" t="str">
            <v>OR-454.02/ FP-10.14 P1 4UN BAG</v>
          </cell>
          <cell r="C220">
            <v>1561894</v>
          </cell>
        </row>
        <row r="221">
          <cell r="A221">
            <v>1444821</v>
          </cell>
          <cell r="B221" t="str">
            <v>WIP PART 1B 5.36KG 8UN BAG (811)</v>
          </cell>
          <cell r="C221">
            <v>1561894</v>
          </cell>
        </row>
        <row r="222">
          <cell r="A222">
            <v>1444911</v>
          </cell>
          <cell r="B222" t="str">
            <v>ST/B/G-163.00 P1 2UN BAG</v>
          </cell>
          <cell r="C222">
            <v>1561894</v>
          </cell>
        </row>
        <row r="223">
          <cell r="A223">
            <v>1444927</v>
          </cell>
          <cell r="B223" t="str">
            <v>PE/AP/J-17.00 P1 4UN BAG</v>
          </cell>
          <cell r="C223">
            <v>1561894</v>
          </cell>
        </row>
        <row r="224">
          <cell r="A224">
            <v>1444933</v>
          </cell>
          <cell r="B224" t="str">
            <v>CH/AP/J-5.00 P1 3UN BAG</v>
          </cell>
          <cell r="C224">
            <v>1561894</v>
          </cell>
        </row>
        <row r="225">
          <cell r="A225">
            <v>1445031</v>
          </cell>
          <cell r="B225" t="str">
            <v>WIP P1B 2.442KG 6UN BAG (811)</v>
          </cell>
          <cell r="C225">
            <v>1561894</v>
          </cell>
        </row>
        <row r="226">
          <cell r="A226">
            <v>1445041</v>
          </cell>
          <cell r="B226" t="str">
            <v>OR-1195.00 P1 8 UN BAG</v>
          </cell>
          <cell r="C226">
            <v>1561894</v>
          </cell>
        </row>
        <row r="227">
          <cell r="A227">
            <v>1445049</v>
          </cell>
          <cell r="B227" t="str">
            <v>WIP WA/RA/M4./5.0//AP/M-3.0//LI/M-4. P1C</v>
          </cell>
          <cell r="C227">
            <v>1561894</v>
          </cell>
        </row>
        <row r="228">
          <cell r="A228">
            <v>1447639</v>
          </cell>
          <cell r="B228" t="str">
            <v>WIP P1B 3.12KG 4UN BAG (S-811)</v>
          </cell>
          <cell r="C228">
            <v>1561894</v>
          </cell>
        </row>
        <row r="229">
          <cell r="A229">
            <v>1451727</v>
          </cell>
          <cell r="B229" t="str">
            <v>WA/M-8.21/OR/PA-23.00 P1C 8UN BAG PK UR</v>
          </cell>
          <cell r="C229">
            <v>1561894</v>
          </cell>
        </row>
        <row r="230">
          <cell r="A230">
            <v>1458863</v>
          </cell>
          <cell r="B230" t="str">
            <v>AP/BC/N-16.00 P1 3UN BAG</v>
          </cell>
          <cell r="C230">
            <v>1561894</v>
          </cell>
        </row>
        <row r="231">
          <cell r="A231">
            <v>1458886</v>
          </cell>
          <cell r="B231" t="str">
            <v>PE/PF-1.00 P1D 4UN BAG</v>
          </cell>
          <cell r="C231">
            <v>1561894</v>
          </cell>
        </row>
        <row r="232">
          <cell r="A232">
            <v>1459616</v>
          </cell>
          <cell r="B232" t="str">
            <v>AP/N-360.002 P1B 8UN BAG</v>
          </cell>
          <cell r="C232">
            <v>1561894</v>
          </cell>
        </row>
        <row r="233">
          <cell r="A233">
            <v>1459665</v>
          </cell>
          <cell r="B233" t="str">
            <v>TE/GF/D-8.50 P1D 3UN BAG</v>
          </cell>
          <cell r="C233">
            <v>1561894</v>
          </cell>
        </row>
        <row r="234">
          <cell r="A234">
            <v>1459817</v>
          </cell>
          <cell r="B234" t="str">
            <v>WIP PART 1B 3.7175KG 2.5UN BAG (811)</v>
          </cell>
          <cell r="C234">
            <v>1561894</v>
          </cell>
        </row>
        <row r="235">
          <cell r="A235">
            <v>1459938</v>
          </cell>
          <cell r="B235" t="str">
            <v>WIP PART 1B 2.28 KG 3UN (811)</v>
          </cell>
          <cell r="C235">
            <v>1561894</v>
          </cell>
        </row>
        <row r="236">
          <cell r="A236">
            <v>1460787</v>
          </cell>
          <cell r="B236" t="str">
            <v>PE/N-92.01 P1 8UN BAG</v>
          </cell>
          <cell r="C236">
            <v>1561894</v>
          </cell>
        </row>
        <row r="237">
          <cell r="A237">
            <v>1462035</v>
          </cell>
          <cell r="B237" t="str">
            <v>PE/N-375.00 P1 10UN BAG</v>
          </cell>
          <cell r="C237">
            <v>1561894</v>
          </cell>
        </row>
        <row r="238">
          <cell r="A238">
            <v>1462124</v>
          </cell>
          <cell r="B238" t="str">
            <v>PE/G-149.10 P1 4UN BAG</v>
          </cell>
          <cell r="C238">
            <v>1561894</v>
          </cell>
        </row>
        <row r="239">
          <cell r="A239">
            <v>1462129</v>
          </cell>
          <cell r="B239" t="str">
            <v>LL/G-143.00 P1 5UN BAG</v>
          </cell>
          <cell r="C239">
            <v>1561894</v>
          </cell>
        </row>
        <row r="240">
          <cell r="A240">
            <v>1462364</v>
          </cell>
          <cell r="B240" t="str">
            <v>FP/V-287.60 P1 2UN BAG</v>
          </cell>
          <cell r="C240">
            <v>1561894</v>
          </cell>
        </row>
        <row r="241">
          <cell r="A241">
            <v>1462937</v>
          </cell>
          <cell r="B241" t="str">
            <v>FP-344.30/.32 P1A 1UN BAG</v>
          </cell>
          <cell r="C241">
            <v>1561894</v>
          </cell>
        </row>
        <row r="242">
          <cell r="A242">
            <v>1462948</v>
          </cell>
          <cell r="B242" t="str">
            <v>CH/GR/N-1.00 P1 1UN BAG</v>
          </cell>
          <cell r="C242">
            <v>1561894</v>
          </cell>
        </row>
        <row r="243">
          <cell r="A243">
            <v>1463825</v>
          </cell>
          <cell r="B243" t="str">
            <v>TW/4-104.0010 P1B 5UN BAG</v>
          </cell>
          <cell r="C243">
            <v>1561894</v>
          </cell>
        </row>
        <row r="244">
          <cell r="A244">
            <v>1465308</v>
          </cell>
          <cell r="B244" t="str">
            <v>WIP PART P1B 5.40KG 3UN BAG (811)</v>
          </cell>
          <cell r="C244">
            <v>1561894</v>
          </cell>
        </row>
        <row r="245">
          <cell r="A245">
            <v>1465314</v>
          </cell>
          <cell r="B245" t="str">
            <v>AP-407.00 P1 4UN BAG</v>
          </cell>
          <cell r="C245">
            <v>1561894</v>
          </cell>
        </row>
        <row r="246">
          <cell r="A246">
            <v>1465374</v>
          </cell>
          <cell r="B246" t="str">
            <v>HB/MT/G-1.00 P1 7.5UN BAG</v>
          </cell>
          <cell r="C246">
            <v>1561894</v>
          </cell>
        </row>
        <row r="247">
          <cell r="A247">
            <v>1466009</v>
          </cell>
          <cell r="B247" t="str">
            <v>MN/GV/G-1.00 P1 7UN BAG</v>
          </cell>
          <cell r="C247">
            <v>1561894</v>
          </cell>
        </row>
        <row r="248">
          <cell r="A248">
            <v>1471521</v>
          </cell>
          <cell r="B248" t="str">
            <v>OR-395.103 P1B 4UN  BAG</v>
          </cell>
          <cell r="C248">
            <v>1561894</v>
          </cell>
        </row>
        <row r="249">
          <cell r="A249">
            <v>1472660</v>
          </cell>
          <cell r="B249" t="str">
            <v>OR-1217.008 PART 1B 10UN BAG</v>
          </cell>
          <cell r="C249">
            <v>1561894</v>
          </cell>
        </row>
        <row r="250">
          <cell r="A250">
            <v>1472813</v>
          </cell>
          <cell r="B250" t="str">
            <v>WIP P1B 1.6KG 5UN BAG (811)</v>
          </cell>
          <cell r="C250">
            <v>1561894</v>
          </cell>
        </row>
        <row r="251">
          <cell r="A251">
            <v>1475940</v>
          </cell>
          <cell r="B251" t="str">
            <v>PE/N-383.00 P1 3UN BAG</v>
          </cell>
          <cell r="C251">
            <v>1561894</v>
          </cell>
        </row>
        <row r="252">
          <cell r="A252">
            <v>1476516</v>
          </cell>
          <cell r="B252" t="str">
            <v>WIP WA/M-154.00 P1C 5UN BAG</v>
          </cell>
          <cell r="C252">
            <v>1561894</v>
          </cell>
        </row>
        <row r="253">
          <cell r="A253">
            <v>1481102</v>
          </cell>
          <cell r="B253" t="str">
            <v>WIP OR-1229.00 P1 1UN BAG</v>
          </cell>
          <cell r="C253">
            <v>1561894</v>
          </cell>
        </row>
        <row r="254">
          <cell r="A254">
            <v>1481201</v>
          </cell>
          <cell r="B254" t="str">
            <v>BT/LE/4-63.101 P1B 8UN BAG</v>
          </cell>
          <cell r="C254">
            <v>1561894</v>
          </cell>
        </row>
        <row r="255">
          <cell r="A255">
            <v>1481756</v>
          </cell>
          <cell r="B255" t="str">
            <v>WIP PART 1B 1.92KG 6UN BAG</v>
          </cell>
          <cell r="C255">
            <v>1561894</v>
          </cell>
        </row>
        <row r="256">
          <cell r="A256">
            <v>1483913</v>
          </cell>
          <cell r="B256" t="str">
            <v>TE/LL/B-5.00 P1 8UN BAG</v>
          </cell>
          <cell r="C256">
            <v>1561894</v>
          </cell>
        </row>
        <row r="257">
          <cell r="A257">
            <v>1483925</v>
          </cell>
          <cell r="B257" t="str">
            <v>LE/B/V-514.00 P1 6UN BAG</v>
          </cell>
          <cell r="C257">
            <v>1561894</v>
          </cell>
        </row>
        <row r="258">
          <cell r="A258">
            <v>1484140</v>
          </cell>
          <cell r="B258" t="str">
            <v>WIP PART 1B 3.360KG 8UN (811) BAG</v>
          </cell>
          <cell r="C258">
            <v>1561894</v>
          </cell>
        </row>
        <row r="259">
          <cell r="A259">
            <v>1489520</v>
          </cell>
          <cell r="B259" t="str">
            <v>WIP PART 1B 1.23KG 5UN BAG (S-811)</v>
          </cell>
          <cell r="C259">
            <v>1561894</v>
          </cell>
        </row>
        <row r="260">
          <cell r="A260">
            <v>1491799</v>
          </cell>
          <cell r="B260" t="str">
            <v>GF/N-281.00 P1 2UN BAG</v>
          </cell>
          <cell r="C260">
            <v>1561894</v>
          </cell>
        </row>
        <row r="261">
          <cell r="A261">
            <v>1492620</v>
          </cell>
          <cell r="B261" t="str">
            <v>ST/CH-2.00 P1 2.5UN BAG</v>
          </cell>
          <cell r="C261">
            <v>1561894</v>
          </cell>
        </row>
        <row r="262">
          <cell r="A262">
            <v>1492621</v>
          </cell>
          <cell r="B262" t="str">
            <v>ST/CH-2.00 P1A 2.5UN BAG</v>
          </cell>
          <cell r="C262">
            <v>1561894</v>
          </cell>
        </row>
        <row r="263">
          <cell r="A263">
            <v>1492631</v>
          </cell>
          <cell r="B263" t="str">
            <v>PE/CQ-1.00 P1 3UN BAG</v>
          </cell>
          <cell r="C263">
            <v>1561894</v>
          </cell>
        </row>
        <row r="264">
          <cell r="A264">
            <v>1492906</v>
          </cell>
          <cell r="B264" t="str">
            <v>AP/BC/V-9.10 P1A 3UN BAG</v>
          </cell>
          <cell r="C264">
            <v>1561894</v>
          </cell>
        </row>
        <row r="265">
          <cell r="A265">
            <v>1492993</v>
          </cell>
          <cell r="B265" t="str">
            <v>GR/CH-1.00 P1 1UN BAG</v>
          </cell>
          <cell r="C265">
            <v>1561894</v>
          </cell>
        </row>
        <row r="266">
          <cell r="A266">
            <v>1493195</v>
          </cell>
          <cell r="B266" t="str">
            <v>LL/V-120.10 P1A 3UN BAG</v>
          </cell>
          <cell r="C266">
            <v>1561894</v>
          </cell>
        </row>
        <row r="267">
          <cell r="A267">
            <v>1498509</v>
          </cell>
          <cell r="B267" t="str">
            <v>GA/2-94.00 P1 1UN BAG</v>
          </cell>
          <cell r="C267">
            <v>1561894</v>
          </cell>
        </row>
        <row r="268">
          <cell r="A268">
            <v>1500166</v>
          </cell>
          <cell r="B268" t="str">
            <v>WIP FP/V-344.601/.801 P1B 4UN</v>
          </cell>
          <cell r="C268">
            <v>1561894</v>
          </cell>
        </row>
        <row r="269">
          <cell r="A269">
            <v>1502857</v>
          </cell>
          <cell r="B269" t="str">
            <v>HB/MT/G-3.00 P1 5UN BAG</v>
          </cell>
          <cell r="C269">
            <v>1561894</v>
          </cell>
        </row>
        <row r="270">
          <cell r="A270">
            <v>1502897</v>
          </cell>
          <cell r="B270" t="str">
            <v>BC-61.001 P1B 9UN BAG</v>
          </cell>
          <cell r="C270">
            <v>1561894</v>
          </cell>
        </row>
        <row r="271">
          <cell r="A271">
            <v>1503210</v>
          </cell>
          <cell r="B271" t="str">
            <v>MN/GV/G-3.00 P1 8UN BAG</v>
          </cell>
          <cell r="C271">
            <v>1561894</v>
          </cell>
        </row>
        <row r="272">
          <cell r="A272">
            <v>1505307</v>
          </cell>
          <cell r="B272" t="str">
            <v>AC/N-45.00 P1 3.565 UN BAG</v>
          </cell>
          <cell r="C272">
            <v>1561894</v>
          </cell>
        </row>
        <row r="273">
          <cell r="A273">
            <v>1505375</v>
          </cell>
          <cell r="B273" t="str">
            <v>OR/BE/B-5.00 P1 2.5UN BAG</v>
          </cell>
          <cell r="C273">
            <v>1561894</v>
          </cell>
        </row>
        <row r="274">
          <cell r="A274">
            <v>1507920</v>
          </cell>
          <cell r="B274" t="str">
            <v>PR/G-40.00 P1 2UN BAG</v>
          </cell>
          <cell r="C274">
            <v>1561894</v>
          </cell>
        </row>
        <row r="275">
          <cell r="A275">
            <v>1508033</v>
          </cell>
          <cell r="B275" t="str">
            <v>AP/G-470.00 P1 2UN BAG</v>
          </cell>
          <cell r="C275">
            <v>1561894</v>
          </cell>
        </row>
        <row r="276">
          <cell r="A276">
            <v>1510041</v>
          </cell>
          <cell r="B276" t="str">
            <v>MA/6-57.10 P1 3.333UN BAG</v>
          </cell>
          <cell r="C276">
            <v>1561894</v>
          </cell>
        </row>
        <row r="277">
          <cell r="A277">
            <v>1514003</v>
          </cell>
          <cell r="B277" t="str">
            <v>WIP LL/G-175.00 P1 7UN BAG</v>
          </cell>
          <cell r="C277">
            <v>1561894</v>
          </cell>
        </row>
        <row r="278">
          <cell r="A278">
            <v>1515220</v>
          </cell>
          <cell r="B278" t="str">
            <v>LE/HB/G-2.00 P1 5UN BAG</v>
          </cell>
          <cell r="C278">
            <v>1561894</v>
          </cell>
        </row>
        <row r="279">
          <cell r="A279">
            <v>1516994</v>
          </cell>
          <cell r="B279" t="str">
            <v>WIP PART 1B 0.615KG 2.5UN BAG (S-811)</v>
          </cell>
          <cell r="C279">
            <v>1561894</v>
          </cell>
        </row>
        <row r="280">
          <cell r="A280">
            <v>1516995</v>
          </cell>
          <cell r="B280" t="str">
            <v>BT/OR-2.00/BT/OR//D-2.50 P1 2.5UN BAG</v>
          </cell>
          <cell r="C280">
            <v>1561894</v>
          </cell>
        </row>
        <row r="281">
          <cell r="A281">
            <v>1517119</v>
          </cell>
          <cell r="B281" t="str">
            <v>ST/HB/G-3.00 P1 5UN BAG</v>
          </cell>
          <cell r="C281">
            <v>1561894</v>
          </cell>
        </row>
        <row r="282">
          <cell r="A282">
            <v>1517122</v>
          </cell>
          <cell r="B282" t="str">
            <v>WIP P1B 3.35KG 5UN BAG (S-811)</v>
          </cell>
          <cell r="C282">
            <v>1561894</v>
          </cell>
        </row>
        <row r="283">
          <cell r="A283">
            <v>1518917</v>
          </cell>
          <cell r="B283" t="str">
            <v>BT/LE/4-69.00 P1 0.25UN BAG</v>
          </cell>
          <cell r="C283">
            <v>1561894</v>
          </cell>
        </row>
        <row r="284">
          <cell r="A284">
            <v>1519548</v>
          </cell>
          <cell r="B284" t="str">
            <v>GR/PO/N-1.00 P1 1UN BAG</v>
          </cell>
          <cell r="C284">
            <v>1561894</v>
          </cell>
        </row>
        <row r="285">
          <cell r="A285">
            <v>1523604</v>
          </cell>
          <cell r="B285" t="str">
            <v>WIP PART 1B 0.72kg 1UN (811)</v>
          </cell>
          <cell r="C285">
            <v>1561894</v>
          </cell>
        </row>
        <row r="286">
          <cell r="A286">
            <v>1524026</v>
          </cell>
          <cell r="B286" t="str">
            <v>WIP MA-108.00 P1 2.5UN BAG</v>
          </cell>
          <cell r="C286">
            <v>1561894</v>
          </cell>
        </row>
        <row r="287">
          <cell r="A287">
            <v>1524998</v>
          </cell>
          <cell r="B287" t="str">
            <v>BE/G-148.00/PO/GF/G-1.00 P1 8UN BAG</v>
          </cell>
          <cell r="C287">
            <v>1561894</v>
          </cell>
        </row>
        <row r="288">
          <cell r="A288">
            <v>1525204</v>
          </cell>
          <cell r="B288" t="str">
            <v>PE/G-398.00 P1 5UN BAG</v>
          </cell>
          <cell r="C288">
            <v>1561894</v>
          </cell>
        </row>
        <row r="289">
          <cell r="A289">
            <v>1525223</v>
          </cell>
          <cell r="B289" t="str">
            <v>GF/D-291.60 P1 4UN BAG</v>
          </cell>
          <cell r="C289">
            <v>1561894</v>
          </cell>
        </row>
        <row r="290">
          <cell r="A290">
            <v>1525325</v>
          </cell>
          <cell r="B290" t="str">
            <v>PL-4.00 P1 1UN BAG</v>
          </cell>
          <cell r="C290">
            <v>1561894</v>
          </cell>
        </row>
        <row r="291">
          <cell r="A291">
            <v>1525815</v>
          </cell>
          <cell r="B291" t="str">
            <v>CQ/OR/N-1.10 P1 5UN BAG</v>
          </cell>
          <cell r="C291">
            <v>1561894</v>
          </cell>
        </row>
        <row r="292">
          <cell r="A292">
            <v>1525996</v>
          </cell>
          <cell r="B292" t="str">
            <v>OR-1281.00 P1 1UN BAG</v>
          </cell>
          <cell r="C292">
            <v>1561894</v>
          </cell>
        </row>
        <row r="293">
          <cell r="A293">
            <v>1526859</v>
          </cell>
          <cell r="B293" t="str">
            <v>GF/N-281.00 P1 1.93UN BAG</v>
          </cell>
          <cell r="C293">
            <v>1561894</v>
          </cell>
        </row>
        <row r="294">
          <cell r="A294">
            <v>1528370</v>
          </cell>
          <cell r="B294" t="str">
            <v>BT/HB/D-10.50 P1 5UN BAG</v>
          </cell>
          <cell r="C294">
            <v>1561894</v>
          </cell>
        </row>
        <row r="295">
          <cell r="A295">
            <v>1528374</v>
          </cell>
          <cell r="B295" t="str">
            <v>ST-182.001 P1B 4UN BAG</v>
          </cell>
          <cell r="C295">
            <v>1561894</v>
          </cell>
        </row>
        <row r="296">
          <cell r="A296">
            <v>1528799</v>
          </cell>
          <cell r="B296" t="str">
            <v>CI/D-137.50 P1A 2.5UN BAG</v>
          </cell>
          <cell r="C296">
            <v>1561894</v>
          </cell>
        </row>
        <row r="297">
          <cell r="A297">
            <v>1528899</v>
          </cell>
          <cell r="B297" t="str">
            <v>GR-250.00 P1 4UN BAG</v>
          </cell>
          <cell r="C297">
            <v>1561894</v>
          </cell>
        </row>
        <row r="298">
          <cell r="A298">
            <v>1529074</v>
          </cell>
          <cell r="B298" t="str">
            <v>WIP PART 1B 6.3KG 10UN BAG (S-811)</v>
          </cell>
          <cell r="C298">
            <v>1561894</v>
          </cell>
        </row>
        <row r="299">
          <cell r="A299">
            <v>1529076</v>
          </cell>
          <cell r="B299" t="str">
            <v>GR-250.10 P1 10UN BAG</v>
          </cell>
          <cell r="C299">
            <v>1561894</v>
          </cell>
        </row>
        <row r="300">
          <cell r="A300">
            <v>1531913</v>
          </cell>
          <cell r="B300" t="str">
            <v>WIP CH/B/Q-49.60/.61 P1J 20UN BAG PK</v>
          </cell>
          <cell r="C300">
            <v>1561894</v>
          </cell>
        </row>
        <row r="301">
          <cell r="A301">
            <v>1532903</v>
          </cell>
          <cell r="B301" t="str">
            <v>LE/ST-6.00 P1 8UN BAG</v>
          </cell>
          <cell r="C301">
            <v>1561894</v>
          </cell>
        </row>
        <row r="302">
          <cell r="A302">
            <v>1534632</v>
          </cell>
          <cell r="B302" t="str">
            <v>OR/V-894.10 P1 2UN BAG</v>
          </cell>
          <cell r="C302">
            <v>1561894</v>
          </cell>
        </row>
        <row r="303">
          <cell r="A303">
            <v>1535482</v>
          </cell>
          <cell r="B303" t="str">
            <v>FP-518.00 P1 5UN BAG</v>
          </cell>
          <cell r="C303">
            <v>1561894</v>
          </cell>
        </row>
        <row r="304">
          <cell r="A304">
            <v>1536359</v>
          </cell>
          <cell r="B304" t="str">
            <v>LE/G-554.00 P1 2UN BAG</v>
          </cell>
          <cell r="C304">
            <v>1561894</v>
          </cell>
        </row>
        <row r="305">
          <cell r="A305">
            <v>1536367</v>
          </cell>
          <cell r="B305" t="str">
            <v>ST/G-184.00 P1 2UN BAG</v>
          </cell>
          <cell r="C305">
            <v>1561894</v>
          </cell>
        </row>
        <row r="306">
          <cell r="A306">
            <v>1536375</v>
          </cell>
          <cell r="B306" t="str">
            <v>AP/G-457.00 P1 3UN BAG</v>
          </cell>
          <cell r="C306">
            <v>1561894</v>
          </cell>
        </row>
        <row r="307">
          <cell r="A307">
            <v>1536383</v>
          </cell>
          <cell r="B307" t="str">
            <v>CH/G-91.00/MA/G-112.00 P1 2UN BAG</v>
          </cell>
          <cell r="C307">
            <v>1561894</v>
          </cell>
        </row>
        <row r="308">
          <cell r="A308">
            <v>1539339</v>
          </cell>
          <cell r="B308" t="str">
            <v>WIP FP/D/Q-515.50 P1J 20UN PK</v>
          </cell>
          <cell r="C308">
            <v>1561894</v>
          </cell>
        </row>
        <row r="309">
          <cell r="A309">
            <v>1544940</v>
          </cell>
          <cell r="B309" t="str">
            <v>LE/FP/V-1.00  P1A 1UN BAG</v>
          </cell>
          <cell r="C309">
            <v>1561894</v>
          </cell>
        </row>
        <row r="310">
          <cell r="A310">
            <v>1545336</v>
          </cell>
          <cell r="B310" t="str">
            <v>CH/B/Q-49.61 P1L 20UN BAG</v>
          </cell>
          <cell r="C310">
            <v>1561894</v>
          </cell>
        </row>
        <row r="311">
          <cell r="A311">
            <v>1545340</v>
          </cell>
          <cell r="B311" t="str">
            <v>CH/B/Q-49.61 P1H 2.5UN BAG</v>
          </cell>
          <cell r="C311">
            <v>1561894</v>
          </cell>
        </row>
        <row r="312">
          <cell r="A312">
            <v>1549873</v>
          </cell>
          <cell r="B312" t="str">
            <v>PRJ-0290415 V1.1 P1D 4UN BAG</v>
          </cell>
          <cell r="C312">
            <v>1561894</v>
          </cell>
        </row>
        <row r="313">
          <cell r="A313">
            <v>1549879</v>
          </cell>
          <cell r="B313" t="str">
            <v>PRJ-0290415 V10.2 P1C 4UN</v>
          </cell>
          <cell r="C313">
            <v>1561894</v>
          </cell>
        </row>
        <row r="314">
          <cell r="A314">
            <v>1550507</v>
          </cell>
          <cell r="B314" t="str">
            <v>PRJ-0290415 V10.2 P1D 4UN BAG</v>
          </cell>
          <cell r="C314">
            <v>1561894</v>
          </cell>
        </row>
        <row r="315">
          <cell r="A315">
            <v>1551984</v>
          </cell>
          <cell r="B315" t="str">
            <v>TE/PE/D-47.60 P1 2UN BAG</v>
          </cell>
          <cell r="C315">
            <v>1561894</v>
          </cell>
        </row>
        <row r="316">
          <cell r="A316">
            <v>1553099</v>
          </cell>
          <cell r="B316" t="str">
            <v>CI/D-144.50 P1 0.5UN BAG</v>
          </cell>
          <cell r="C316">
            <v>1561894</v>
          </cell>
        </row>
        <row r="317">
          <cell r="A317">
            <v>1553124</v>
          </cell>
          <cell r="B317" t="str">
            <v>BC-67.001/.002/BC/D-68.501/.502 P1B 14UN</v>
          </cell>
          <cell r="C317">
            <v>1561894</v>
          </cell>
        </row>
        <row r="318">
          <cell r="A318">
            <v>1553651</v>
          </cell>
          <cell r="B318" t="str">
            <v>BE/D-136.60 P1 1UN BAG</v>
          </cell>
          <cell r="C318">
            <v>1561894</v>
          </cell>
        </row>
        <row r="319">
          <cell r="A319">
            <v>1562044</v>
          </cell>
          <cell r="B319" t="str">
            <v>GEN NIACINAMIDE 0.250KG BAG</v>
          </cell>
          <cell r="C319">
            <v>1561894</v>
          </cell>
        </row>
        <row r="320">
          <cell r="A320">
            <v>1562046</v>
          </cell>
          <cell r="B320" t="str">
            <v>GEN MALIC ACID 0.250KG BAG</v>
          </cell>
          <cell r="C320">
            <v>1561894</v>
          </cell>
        </row>
        <row r="321">
          <cell r="A321">
            <v>1562728</v>
          </cell>
          <cell r="B321" t="str">
            <v>AP/RA/N-8.002 P1B 1UN BAG</v>
          </cell>
          <cell r="C321">
            <v>1561894</v>
          </cell>
        </row>
        <row r="322">
          <cell r="A322">
            <v>1562916</v>
          </cell>
          <cell r="B322" t="str">
            <v>OR/B/Q-698.73 P1N 20UN BAG</v>
          </cell>
          <cell r="C322">
            <v>1561894</v>
          </cell>
        </row>
        <row r="323">
          <cell r="A323">
            <v>1562919</v>
          </cell>
          <cell r="B323" t="str">
            <v>OR/B/Q-698.73 P1H 2UN BAG</v>
          </cell>
          <cell r="C323">
            <v>1561894</v>
          </cell>
        </row>
        <row r="324">
          <cell r="A324">
            <v>1562923</v>
          </cell>
          <cell r="B324" t="str">
            <v>FP/B/Q-144.72 P1M 20UN BAG</v>
          </cell>
          <cell r="C324">
            <v>1561894</v>
          </cell>
        </row>
        <row r="325">
          <cell r="A325">
            <v>1562926</v>
          </cell>
          <cell r="B325" t="str">
            <v>FP/B/Q-144.72 P1L 2UN BAG</v>
          </cell>
          <cell r="C325">
            <v>1561894</v>
          </cell>
        </row>
        <row r="326">
          <cell r="A326">
            <v>1564130</v>
          </cell>
          <cell r="B326" t="str">
            <v>ST/KW-11.00/.10/12.00 P1 10UN BAG</v>
          </cell>
          <cell r="C326">
            <v>1561894</v>
          </cell>
        </row>
        <row r="327">
          <cell r="A327">
            <v>1564162</v>
          </cell>
          <cell r="B327" t="str">
            <v>RA/D/Q-96.50 P1M 20UN BAG</v>
          </cell>
          <cell r="C327">
            <v>1561894</v>
          </cell>
        </row>
        <row r="328">
          <cell r="A328">
            <v>1564164</v>
          </cell>
          <cell r="B328" t="str">
            <v>RA/D/Q-96.50 P1L 2.5UN BAG</v>
          </cell>
          <cell r="C328">
            <v>1561894</v>
          </cell>
        </row>
        <row r="329">
          <cell r="A329">
            <v>1564168</v>
          </cell>
          <cell r="B329" t="str">
            <v>FP/D/Q-515.50 P1M 20UN BAG</v>
          </cell>
          <cell r="C329">
            <v>1561894</v>
          </cell>
        </row>
        <row r="330">
          <cell r="A330">
            <v>1564170</v>
          </cell>
          <cell r="B330" t="str">
            <v>FP/D/Q-515.50 P1L 5UN BAG</v>
          </cell>
          <cell r="C330">
            <v>1561894</v>
          </cell>
        </row>
        <row r="331">
          <cell r="A331">
            <v>1565155</v>
          </cell>
          <cell r="B331" t="str">
            <v>HB/LE-2.00 P1D 4UN BAG</v>
          </cell>
          <cell r="C331">
            <v>1561894</v>
          </cell>
        </row>
        <row r="332">
          <cell r="A332">
            <v>1565161</v>
          </cell>
          <cell r="B332" t="str">
            <v>MN/BE-2.00 P1D 4UN BAG</v>
          </cell>
          <cell r="C332">
            <v>1561894</v>
          </cell>
        </row>
        <row r="333">
          <cell r="A333">
            <v>1567627</v>
          </cell>
          <cell r="B333" t="str">
            <v>GV/B/Q/V-23.001 P1B 10UN BAG</v>
          </cell>
          <cell r="C333">
            <v>1561894</v>
          </cell>
        </row>
        <row r="334">
          <cell r="A334">
            <v>1568116</v>
          </cell>
          <cell r="B334" t="str">
            <v>CH/B/Q-93.00 P1H 2UN BAG</v>
          </cell>
          <cell r="C334">
            <v>1561894</v>
          </cell>
        </row>
        <row r="335">
          <cell r="A335">
            <v>1568825</v>
          </cell>
          <cell r="B335" t="str">
            <v>BC/D-69.50/BL/D-19.50 P1 0.5UN BAG</v>
          </cell>
          <cell r="C335">
            <v>1561894</v>
          </cell>
        </row>
        <row r="336">
          <cell r="A336">
            <v>1569104</v>
          </cell>
          <cell r="B336" t="str">
            <v>MN-134.001 P1B 32.5UN BAG</v>
          </cell>
          <cell r="C336">
            <v>1561894</v>
          </cell>
        </row>
        <row r="337">
          <cell r="A337">
            <v>1572298</v>
          </cell>
          <cell r="B337" t="str">
            <v>FP/B/Q-144.72/CI/B/Q-117.10 P1 2UN BAG</v>
          </cell>
          <cell r="C337">
            <v>1561894</v>
          </cell>
        </row>
        <row r="338">
          <cell r="A338">
            <v>1572331</v>
          </cell>
          <cell r="B338" t="str">
            <v>TE/LE-125.103/106 P1B 6UN BAG</v>
          </cell>
          <cell r="C338">
            <v>1561894</v>
          </cell>
        </row>
        <row r="339">
          <cell r="A339">
            <v>1572910</v>
          </cell>
          <cell r="B339" t="str">
            <v>WIP PDE GEN ION4 P1J 20UN BAG</v>
          </cell>
          <cell r="C339">
            <v>1561894</v>
          </cell>
        </row>
        <row r="340">
          <cell r="A340">
            <v>1572945</v>
          </cell>
          <cell r="B340" t="str">
            <v>ST/KW-12.001 P1B 10UN BAG</v>
          </cell>
          <cell r="C340">
            <v>1561894</v>
          </cell>
        </row>
        <row r="341">
          <cell r="A341">
            <v>1574030</v>
          </cell>
          <cell r="B341" t="str">
            <v>BT/LE-88.002 P1B 4UN BAG</v>
          </cell>
          <cell r="C341">
            <v>1561894</v>
          </cell>
        </row>
        <row r="342">
          <cell r="A342">
            <v>1575571</v>
          </cell>
          <cell r="B342" t="str">
            <v>WIP PDE GEN ION 4 P1J 20UN BAG PK</v>
          </cell>
          <cell r="C342">
            <v>1561894</v>
          </cell>
        </row>
        <row r="343">
          <cell r="A343">
            <v>1575574</v>
          </cell>
          <cell r="B343" t="str">
            <v>CI/B/Q-117.10 P1M 10UN BAG</v>
          </cell>
          <cell r="C343">
            <v>1561894</v>
          </cell>
        </row>
        <row r="344">
          <cell r="A344">
            <v>1575576</v>
          </cell>
          <cell r="B344" t="str">
            <v>CI/B/Q-117.10 P1H 2UN BAG</v>
          </cell>
          <cell r="C344">
            <v>1561894</v>
          </cell>
        </row>
        <row r="345">
          <cell r="A345">
            <v>1579998</v>
          </cell>
          <cell r="B345" t="str">
            <v>WIP PART 1B 3.800KG 8UN (811)</v>
          </cell>
          <cell r="C345">
            <v>1561894</v>
          </cell>
        </row>
        <row r="346">
          <cell r="A346">
            <v>1581427</v>
          </cell>
          <cell r="B346" t="str">
            <v>BC/N-65.00 P1 10UN BAG</v>
          </cell>
          <cell r="C346">
            <v>1561894</v>
          </cell>
        </row>
        <row r="347">
          <cell r="A347">
            <v>1581818</v>
          </cell>
          <cell r="B347" t="str">
            <v>FL/GR-1.00 P1A 5UN BAG</v>
          </cell>
          <cell r="C347">
            <v>1561894</v>
          </cell>
        </row>
        <row r="348">
          <cell r="A348">
            <v>1583298</v>
          </cell>
          <cell r="B348" t="str">
            <v>LE/B-257.10/.12/.01 P1 2.5UN BAG</v>
          </cell>
          <cell r="C348">
            <v>1561894</v>
          </cell>
        </row>
        <row r="349">
          <cell r="A349">
            <v>1583416</v>
          </cell>
          <cell r="B349" t="str">
            <v>WIP PART 1B 2.680KG 4UN BAG (811)</v>
          </cell>
          <cell r="C349">
            <v>1561894</v>
          </cell>
        </row>
        <row r="350">
          <cell r="A350">
            <v>1583422</v>
          </cell>
          <cell r="B350" t="str">
            <v>ML/HB-2.003 P1B 9UN BAG</v>
          </cell>
          <cell r="C350">
            <v>1561894</v>
          </cell>
        </row>
        <row r="351">
          <cell r="A351">
            <v>1587830</v>
          </cell>
          <cell r="B351" t="str">
            <v>FP/P/Q-502.00 P1M 2UN BAG</v>
          </cell>
          <cell r="C351">
            <v>1561894</v>
          </cell>
        </row>
        <row r="352">
          <cell r="A352">
            <v>1589250</v>
          </cell>
          <cell r="B352" t="str">
            <v>PRJ-0290087 V68 P1B 8UN BAG</v>
          </cell>
          <cell r="C352">
            <v>1561894</v>
          </cell>
        </row>
        <row r="353">
          <cell r="A353">
            <v>1593298</v>
          </cell>
          <cell r="B353" t="str">
            <v>CH/AP-8.00 P1 2UN BAG</v>
          </cell>
          <cell r="C353">
            <v>1561894</v>
          </cell>
        </row>
        <row r="354">
          <cell r="A354">
            <v>1331198</v>
          </cell>
          <cell r="B354" t="str">
            <v>OR/B-439.213 P1,1B,3 2.5UN CTN 1 BAG</v>
          </cell>
          <cell r="C354">
            <v>1561894</v>
          </cell>
        </row>
        <row r="355">
          <cell r="A355">
            <v>1007216</v>
          </cell>
          <cell r="B355" t="str">
            <v>WIP PART 1B 0.900KG 2UN (811)</v>
          </cell>
          <cell r="C355">
            <v>1561905</v>
          </cell>
        </row>
        <row r="356">
          <cell r="A356">
            <v>1062585</v>
          </cell>
          <cell r="B356" t="str">
            <v>WIP OR/D-570.521/OR/D-572.501/2 P1B 4UN</v>
          </cell>
          <cell r="C356">
            <v>1561905</v>
          </cell>
        </row>
        <row r="357">
          <cell r="A357">
            <v>1085394</v>
          </cell>
          <cell r="B357" t="str">
            <v>WIP PART 1B 1.54KG 4UN BAG (811)</v>
          </cell>
          <cell r="C357">
            <v>1561905</v>
          </cell>
        </row>
        <row r="358">
          <cell r="A358">
            <v>1086096</v>
          </cell>
          <cell r="B358" t="str">
            <v>WIP PART 1B 1.800KG (811) 4UN BAG</v>
          </cell>
          <cell r="C358">
            <v>1561905</v>
          </cell>
        </row>
        <row r="359">
          <cell r="A359">
            <v>1247509</v>
          </cell>
          <cell r="B359" t="str">
            <v>WIP PART 1B 1.35KG 3UN BAG (811)</v>
          </cell>
          <cell r="C359">
            <v>1561905</v>
          </cell>
        </row>
        <row r="360">
          <cell r="A360">
            <v>1289120</v>
          </cell>
          <cell r="B360" t="str">
            <v>WIP PART 1B 1.0175KG 2.5UN BAG (811)</v>
          </cell>
          <cell r="C360">
            <v>1561905</v>
          </cell>
        </row>
        <row r="361">
          <cell r="A361">
            <v>1299013</v>
          </cell>
          <cell r="B361" t="str">
            <v>WIP PART 1B 1.925KG 5UN BAG</v>
          </cell>
          <cell r="C361">
            <v>1561905</v>
          </cell>
        </row>
        <row r="362">
          <cell r="A362">
            <v>1306292</v>
          </cell>
          <cell r="B362" t="str">
            <v>WIP PART 1B 0.77KG 2UN BAG (811)</v>
          </cell>
          <cell r="C362">
            <v>1561905</v>
          </cell>
        </row>
        <row r="363">
          <cell r="A363">
            <v>1319858</v>
          </cell>
          <cell r="B363" t="str">
            <v>WIP PART 1B 1.527KG (811) 1.5UN</v>
          </cell>
          <cell r="C363">
            <v>1561905</v>
          </cell>
        </row>
        <row r="364">
          <cell r="A364">
            <v>1323751</v>
          </cell>
          <cell r="B364" t="str">
            <v>WIP P1B 0.75KG 4UN BAG (811)</v>
          </cell>
          <cell r="C364">
            <v>1561905</v>
          </cell>
        </row>
        <row r="365">
          <cell r="A365">
            <v>1329333</v>
          </cell>
          <cell r="B365" t="str">
            <v>WIP PART 1B 3.3858UN 1.3035KG BAG</v>
          </cell>
          <cell r="C365">
            <v>1561905</v>
          </cell>
        </row>
        <row r="366">
          <cell r="A366">
            <v>1329424</v>
          </cell>
          <cell r="B366" t="str">
            <v>WIP PART 1B 0.670KG 1UN BAG (811)</v>
          </cell>
          <cell r="C366">
            <v>1561905</v>
          </cell>
        </row>
        <row r="367">
          <cell r="A367">
            <v>1330696</v>
          </cell>
          <cell r="B367" t="str">
            <v>WIP PART 1B 0.9625KG 2.5UN BAG (811)</v>
          </cell>
          <cell r="C367">
            <v>1561905</v>
          </cell>
        </row>
        <row r="368">
          <cell r="A368">
            <v>1342298</v>
          </cell>
          <cell r="B368" t="str">
            <v>WIP PART 1B 1.680KG (811) 4UN</v>
          </cell>
          <cell r="C368">
            <v>1561905</v>
          </cell>
        </row>
        <row r="369">
          <cell r="A369">
            <v>1344756</v>
          </cell>
          <cell r="B369" t="str">
            <v>WIP PART 1B 2.25KG 5UN BAG (811)</v>
          </cell>
          <cell r="C369">
            <v>1561905</v>
          </cell>
        </row>
        <row r="370">
          <cell r="A370">
            <v>1345446</v>
          </cell>
          <cell r="B370" t="str">
            <v>WIP PART 1B 1.125KG 2.5UN BAG (811)</v>
          </cell>
          <cell r="C370">
            <v>1561905</v>
          </cell>
        </row>
        <row r="371">
          <cell r="A371">
            <v>1351026</v>
          </cell>
          <cell r="B371" t="str">
            <v>WIP PART 1B 0.900KG 2UN BAG (811)</v>
          </cell>
          <cell r="C371">
            <v>1561905</v>
          </cell>
        </row>
        <row r="372">
          <cell r="A372">
            <v>1357734</v>
          </cell>
          <cell r="B372" t="str">
            <v>WIP PART 1B 2.100KG 5UN BAG (811)</v>
          </cell>
          <cell r="C372">
            <v>1561905</v>
          </cell>
        </row>
        <row r="373">
          <cell r="A373">
            <v>1357818</v>
          </cell>
          <cell r="B373" t="str">
            <v>WIP PART 1B 1.628KG 4UN BAG (811)</v>
          </cell>
          <cell r="C373">
            <v>1561905</v>
          </cell>
        </row>
        <row r="374">
          <cell r="A374">
            <v>1357846</v>
          </cell>
          <cell r="B374" t="str">
            <v>WIP PART 1B 0.6375KG 2.5UN BAG (811)</v>
          </cell>
          <cell r="C374">
            <v>1561905</v>
          </cell>
        </row>
        <row r="375">
          <cell r="A375">
            <v>1359826</v>
          </cell>
          <cell r="B375" t="str">
            <v>WIP PART P1B 1.80KG 1UN BAG (811)</v>
          </cell>
          <cell r="C375">
            <v>1561905</v>
          </cell>
        </row>
        <row r="376">
          <cell r="A376">
            <v>1364861</v>
          </cell>
          <cell r="B376" t="str">
            <v>WIP PART 1B 1.800KG 4UN (811) LINE 4C</v>
          </cell>
          <cell r="C376">
            <v>1561905</v>
          </cell>
        </row>
        <row r="377">
          <cell r="A377">
            <v>1364862</v>
          </cell>
          <cell r="B377" t="str">
            <v>WIP PART 1B 2.25KG 5UN BAG (811) LINE 4C</v>
          </cell>
          <cell r="C377">
            <v>1561905</v>
          </cell>
        </row>
        <row r="378">
          <cell r="A378">
            <v>1365797</v>
          </cell>
          <cell r="B378" t="str">
            <v>WIP PART 1B 2.946KG 5UN BAG (S-811)</v>
          </cell>
          <cell r="C378">
            <v>1561905</v>
          </cell>
        </row>
        <row r="379">
          <cell r="A379">
            <v>1367237</v>
          </cell>
          <cell r="B379" t="str">
            <v>WIP PART 1B 2.595KG 5UN BAG (811)</v>
          </cell>
          <cell r="C379">
            <v>1561905</v>
          </cell>
        </row>
        <row r="380">
          <cell r="A380">
            <v>1367597</v>
          </cell>
          <cell r="B380" t="str">
            <v>WIP P1B 1.35KG 3UN BAG (S-811)</v>
          </cell>
          <cell r="C380">
            <v>1561905</v>
          </cell>
        </row>
        <row r="381">
          <cell r="A381">
            <v>1369549</v>
          </cell>
          <cell r="B381" t="str">
            <v>WIP PART 1B 3.040KG 4UN BAG</v>
          </cell>
          <cell r="C381">
            <v>1561905</v>
          </cell>
        </row>
        <row r="382">
          <cell r="A382">
            <v>1379547</v>
          </cell>
          <cell r="B382" t="str">
            <v>WIP PART 1B 0.814KG 1UN BAG (811)</v>
          </cell>
          <cell r="C382">
            <v>1561905</v>
          </cell>
        </row>
        <row r="383">
          <cell r="A383">
            <v>1381403</v>
          </cell>
          <cell r="B383" t="str">
            <v>WIP PART 1B 2.076KG 4UN BAG (811)</v>
          </cell>
          <cell r="C383">
            <v>1561905</v>
          </cell>
        </row>
        <row r="384">
          <cell r="A384">
            <v>1386746</v>
          </cell>
          <cell r="B384" t="str">
            <v>WIP PART 1B 1.155KG 3UN BAG (811)</v>
          </cell>
          <cell r="C384">
            <v>1561905</v>
          </cell>
        </row>
        <row r="385">
          <cell r="A385">
            <v>1397921</v>
          </cell>
          <cell r="B385" t="str">
            <v>WIP P1B 1.628KG 4UN BAG (811)</v>
          </cell>
          <cell r="C385">
            <v>1561905</v>
          </cell>
        </row>
        <row r="386">
          <cell r="A386">
            <v>1408426</v>
          </cell>
          <cell r="B386" t="str">
            <v>WIP PART 1B 0.800KG (811) 2.5UN BAG</v>
          </cell>
          <cell r="C386">
            <v>1561905</v>
          </cell>
        </row>
        <row r="387">
          <cell r="A387">
            <v>1408430</v>
          </cell>
          <cell r="B387" t="str">
            <v>WIP PART 1B 1.280KG 4UN BAG (811)</v>
          </cell>
          <cell r="C387">
            <v>1561905</v>
          </cell>
        </row>
        <row r="388">
          <cell r="A388">
            <v>1408520</v>
          </cell>
          <cell r="B388" t="str">
            <v>WIP PART 1B 1.520KG 2UN BAG (811)</v>
          </cell>
          <cell r="C388">
            <v>1561905</v>
          </cell>
        </row>
        <row r="389">
          <cell r="A389">
            <v>1415377</v>
          </cell>
          <cell r="B389" t="str">
            <v>WIP PART 1B 1.09KG (811) 1UN BAG</v>
          </cell>
          <cell r="C389">
            <v>1561905</v>
          </cell>
        </row>
        <row r="390">
          <cell r="A390">
            <v>1417399</v>
          </cell>
          <cell r="B390" t="str">
            <v>WIP PART 1B 2.28KG 4UN BAG</v>
          </cell>
          <cell r="C390">
            <v>1561905</v>
          </cell>
        </row>
        <row r="391">
          <cell r="A391">
            <v>1423830</v>
          </cell>
          <cell r="B391" t="str">
            <v>WIP PART 1B 0.84KG (811) 2UN</v>
          </cell>
          <cell r="C391">
            <v>1561905</v>
          </cell>
        </row>
        <row r="392">
          <cell r="A392">
            <v>1428142</v>
          </cell>
          <cell r="B392" t="str">
            <v>WIP PART P1B 0.570KG 3UN BAG (811)</v>
          </cell>
          <cell r="C392">
            <v>1561905</v>
          </cell>
        </row>
        <row r="393">
          <cell r="A393">
            <v>1428231</v>
          </cell>
          <cell r="B393" t="str">
            <v>WIP PART 1B 1.26KG 3UN BAG (811)</v>
          </cell>
          <cell r="C393">
            <v>1561905</v>
          </cell>
        </row>
        <row r="394">
          <cell r="A394">
            <v>1428460</v>
          </cell>
          <cell r="B394" t="str">
            <v>WIP PART 1B 1.900KG 4UN BAG (811)</v>
          </cell>
          <cell r="C394">
            <v>1561905</v>
          </cell>
        </row>
        <row r="395">
          <cell r="A395">
            <v>1431495</v>
          </cell>
          <cell r="B395" t="str">
            <v>WIP PART 1B 3.800KG 10UN BAG (811)</v>
          </cell>
          <cell r="C395">
            <v>1561905</v>
          </cell>
        </row>
        <row r="396">
          <cell r="A396">
            <v>1434193</v>
          </cell>
          <cell r="B396" t="str">
            <v>WIP PART 1B 0.450KG 1UN (811)</v>
          </cell>
          <cell r="C396">
            <v>1561905</v>
          </cell>
        </row>
        <row r="397">
          <cell r="A397">
            <v>1435507</v>
          </cell>
          <cell r="B397" t="str">
            <v>WIP PART 1B 1.1864KG 1UN BAG</v>
          </cell>
          <cell r="C397">
            <v>1561905</v>
          </cell>
        </row>
        <row r="398">
          <cell r="A398">
            <v>1444914</v>
          </cell>
          <cell r="B398" t="str">
            <v>WIP PART 1B 0.760KG 2UN BAG</v>
          </cell>
          <cell r="C398">
            <v>1561905</v>
          </cell>
        </row>
        <row r="399">
          <cell r="A399">
            <v>1450398</v>
          </cell>
          <cell r="B399" t="str">
            <v>WIP P1B (811) 0.9625KG 2.5UN BAG</v>
          </cell>
          <cell r="C399">
            <v>1561905</v>
          </cell>
        </row>
        <row r="400">
          <cell r="A400">
            <v>1498401</v>
          </cell>
          <cell r="B400" t="str">
            <v>WIP PART 1B 0.9KG (811) 0.5UN BAG</v>
          </cell>
          <cell r="C400">
            <v>1561905</v>
          </cell>
        </row>
        <row r="401">
          <cell r="A401">
            <v>1524214</v>
          </cell>
          <cell r="B401" t="str">
            <v>WIP PART 1B 2.025KG 4.5UN BAG (811)</v>
          </cell>
          <cell r="C401">
            <v>1561905</v>
          </cell>
        </row>
        <row r="402">
          <cell r="A402">
            <v>1525802</v>
          </cell>
          <cell r="B402" t="str">
            <v>WIP PART 1B 0.5892 KG 1UN BAG (S-811)</v>
          </cell>
          <cell r="C402">
            <v>1561905</v>
          </cell>
        </row>
        <row r="403">
          <cell r="A403">
            <v>1532961</v>
          </cell>
          <cell r="B403" t="str">
            <v>WIP PART 1B 2.52KG 4UN BAG (S-811)</v>
          </cell>
          <cell r="C403">
            <v>1561905</v>
          </cell>
        </row>
        <row r="404">
          <cell r="A404">
            <v>1536373</v>
          </cell>
          <cell r="B404" t="str">
            <v>WIP PART 1B 1.14KG 3UN BAG</v>
          </cell>
          <cell r="C404">
            <v>1561905</v>
          </cell>
        </row>
        <row r="405">
          <cell r="A405">
            <v>1549413</v>
          </cell>
          <cell r="B405" t="str">
            <v>WIP P1B (811) 0.48125KG 1.25UN BAG</v>
          </cell>
          <cell r="C405">
            <v>1561905</v>
          </cell>
        </row>
        <row r="406">
          <cell r="A406">
            <v>1572215</v>
          </cell>
          <cell r="B406" t="str">
            <v>WIP PART 1B 1.500KG 6UN BAG (811)</v>
          </cell>
          <cell r="C406">
            <v>1561905</v>
          </cell>
        </row>
        <row r="407">
          <cell r="A407">
            <v>1590839</v>
          </cell>
          <cell r="B407" t="str">
            <v>WIP PART 1B 1.557KG 3UN BAG</v>
          </cell>
          <cell r="C407">
            <v>1561905</v>
          </cell>
        </row>
        <row r="408">
          <cell r="A408">
            <v>1068998</v>
          </cell>
          <cell r="B408" t="str">
            <v>DK/LE-7086.66/DC/LE-7038.69 P1E 4UN</v>
          </cell>
          <cell r="C408">
            <v>1561898</v>
          </cell>
        </row>
        <row r="409">
          <cell r="A409">
            <v>1086407</v>
          </cell>
          <cell r="B409" t="str">
            <v>DT/LE-7470.72 P1E 10UN BAG</v>
          </cell>
          <cell r="C409">
            <v>1561898</v>
          </cell>
        </row>
        <row r="410">
          <cell r="A410">
            <v>1086598</v>
          </cell>
          <cell r="B410" t="str">
            <v>DT/LE-7470.72 P1E 15UN BAG</v>
          </cell>
          <cell r="C410">
            <v>1561898</v>
          </cell>
        </row>
        <row r="411">
          <cell r="A411">
            <v>1194060</v>
          </cell>
          <cell r="B411" t="str">
            <v>DT/LE-7471.72 P1E 8UN BAG</v>
          </cell>
          <cell r="C411">
            <v>1561898</v>
          </cell>
        </row>
        <row r="412">
          <cell r="A412">
            <v>1200210</v>
          </cell>
          <cell r="B412" t="str">
            <v>DC/LE-8038.22  P1E 5UN BAG</v>
          </cell>
          <cell r="C412">
            <v>1561898</v>
          </cell>
        </row>
        <row r="413">
          <cell r="A413">
            <v>1234505</v>
          </cell>
          <cell r="B413" t="str">
            <v>DK/LI-1686.39/DK/LI-1695.39 P1E 5UN BAG</v>
          </cell>
          <cell r="C413">
            <v>1561898</v>
          </cell>
        </row>
        <row r="414">
          <cell r="A414">
            <v>1250896</v>
          </cell>
          <cell r="B414" t="str">
            <v>CL/LI-1803.00 CL/LE-9003.00 P1E 8UN BAG</v>
          </cell>
          <cell r="C414">
            <v>1561898</v>
          </cell>
        </row>
        <row r="415">
          <cell r="A415">
            <v>1551988</v>
          </cell>
          <cell r="B415" t="str">
            <v>WIP CI/D-144.50 P1C 2UN BAG</v>
          </cell>
          <cell r="C415">
            <v>1561899</v>
          </cell>
        </row>
        <row r="416">
          <cell r="A416">
            <v>1421978</v>
          </cell>
          <cell r="B416" t="str">
            <v>WIP LE/G/V-474.10 P1F 6UN BAG</v>
          </cell>
          <cell r="C416">
            <v>1561900</v>
          </cell>
        </row>
        <row r="417">
          <cell r="A417">
            <v>1564036</v>
          </cell>
          <cell r="B417" t="str">
            <v>RA/G/V-98.00/.01 P1D 12UN BAG</v>
          </cell>
          <cell r="C417">
            <v>1561900</v>
          </cell>
        </row>
        <row r="418">
          <cell r="A418">
            <v>1564045</v>
          </cell>
          <cell r="B418" t="str">
            <v>DF/G/V-15.00/.01 P1D 12UN BAG</v>
          </cell>
          <cell r="C418">
            <v>1561900</v>
          </cell>
        </row>
        <row r="419">
          <cell r="A419">
            <v>1564645</v>
          </cell>
          <cell r="B419" t="str">
            <v>WIP LE/G/V-563.00/.01 P1E 6UN BAG</v>
          </cell>
          <cell r="C419">
            <v>1561900</v>
          </cell>
        </row>
        <row r="420">
          <cell r="A420">
            <v>1579429</v>
          </cell>
          <cell r="B420" t="str">
            <v>WIP LE/G/V-563.01 P1E 3UN BAG</v>
          </cell>
          <cell r="C420">
            <v>1561900</v>
          </cell>
        </row>
        <row r="421">
          <cell r="A421">
            <v>1001192</v>
          </cell>
          <cell r="B421" t="str">
            <v>TE/LE/D-15.00 P1A 4UN CTN 1BAG</v>
          </cell>
          <cell r="C421">
            <v>1561901</v>
          </cell>
        </row>
        <row r="422">
          <cell r="A422">
            <v>1001885</v>
          </cell>
          <cell r="B422" t="str">
            <v>TE/PE-14.00 P1A 3UN CTN 1BAG</v>
          </cell>
          <cell r="C422">
            <v>1561901</v>
          </cell>
        </row>
        <row r="423">
          <cell r="A423">
            <v>1026641</v>
          </cell>
          <cell r="B423" t="str">
            <v>PA/GF/D-27.501/.601 P1B 20UN CTN 2BAG</v>
          </cell>
          <cell r="C423">
            <v>1561901</v>
          </cell>
        </row>
        <row r="424">
          <cell r="A424">
            <v>1044030</v>
          </cell>
          <cell r="B424" t="str">
            <v>PE-52.00 P1 4UN CTN 1 BAG</v>
          </cell>
          <cell r="C424">
            <v>1561901</v>
          </cell>
        </row>
        <row r="425">
          <cell r="A425">
            <v>1090424</v>
          </cell>
          <cell r="B425" t="str">
            <v>FP-505.001/LE-446.101 P1B 10UN CT 1BAG</v>
          </cell>
          <cell r="C425">
            <v>1561901</v>
          </cell>
        </row>
        <row r="426">
          <cell r="A426">
            <v>1120920</v>
          </cell>
          <cell r="B426" t="str">
            <v>MFI CITRIC ACID 20KG CTN 1BAG</v>
          </cell>
          <cell r="C426">
            <v>1561901</v>
          </cell>
        </row>
        <row r="427">
          <cell r="A427">
            <v>1150702</v>
          </cell>
          <cell r="B427" t="str">
            <v>CH/N-61.00 P1 2UN CTN 2 BAGS</v>
          </cell>
          <cell r="C427">
            <v>1561901</v>
          </cell>
        </row>
        <row r="428">
          <cell r="A428">
            <v>1160103</v>
          </cell>
          <cell r="B428" t="str">
            <v>FP/Q/V-144.60/Q-144.50 P1J 5UN CTN 1 BAG</v>
          </cell>
          <cell r="C428">
            <v>1561901</v>
          </cell>
        </row>
        <row r="429">
          <cell r="A429">
            <v>1165904</v>
          </cell>
          <cell r="B429" t="str">
            <v>GEN CITRIC ACID 2.5UN CTN 1 BAG</v>
          </cell>
          <cell r="C429">
            <v>1561901</v>
          </cell>
        </row>
        <row r="430">
          <cell r="A430">
            <v>1169754</v>
          </cell>
          <cell r="B430" t="str">
            <v>PR-12.11 P1 3UN CTN 1 BAG</v>
          </cell>
          <cell r="C430">
            <v>1561901</v>
          </cell>
        </row>
        <row r="431">
          <cell r="A431">
            <v>1177606</v>
          </cell>
          <cell r="B431" t="str">
            <v>LE/GF/Q-1.00/V-1.10 P1J 20UN CTN 1 BAG</v>
          </cell>
          <cell r="C431">
            <v>1561901</v>
          </cell>
        </row>
        <row r="432">
          <cell r="A432">
            <v>1184812</v>
          </cell>
          <cell r="B432" t="str">
            <v>WA/M-8.21/OR/PA-23.00 P1C 40UN CTN 5 BAG</v>
          </cell>
          <cell r="C432">
            <v>1561901</v>
          </cell>
        </row>
        <row r="433">
          <cell r="A433">
            <v>1198818</v>
          </cell>
          <cell r="B433" t="str">
            <v>PE/N-103.00 P1 8UN CTN 2 BAGS</v>
          </cell>
          <cell r="C433">
            <v>1561901</v>
          </cell>
        </row>
        <row r="434">
          <cell r="A434">
            <v>1208304</v>
          </cell>
          <cell r="B434" t="str">
            <v>OR/N-944.00 P1 24UN CTN 8 BAG</v>
          </cell>
          <cell r="C434">
            <v>1561901</v>
          </cell>
        </row>
        <row r="435">
          <cell r="A435">
            <v>1226300</v>
          </cell>
          <cell r="B435" t="str">
            <v>OR/PA-23/AP/PR8/WA/M8 P1C 40UN CTN 20BAG</v>
          </cell>
          <cell r="C435">
            <v>1561901</v>
          </cell>
        </row>
        <row r="436">
          <cell r="A436">
            <v>1242109</v>
          </cell>
          <cell r="B436" t="str">
            <v>FP/B/Q-144.7/CB/BC/B-1 P1J 10UN CTN 1 BG</v>
          </cell>
          <cell r="C436">
            <v>1561901</v>
          </cell>
        </row>
        <row r="437">
          <cell r="A437">
            <v>1242595</v>
          </cell>
          <cell r="B437" t="str">
            <v>LE/GF/Q-1.30/LE/GF/B-1.60 P1J 40UN CTN 2</v>
          </cell>
          <cell r="C437">
            <v>1561901</v>
          </cell>
        </row>
        <row r="438">
          <cell r="A438">
            <v>1243387</v>
          </cell>
          <cell r="B438" t="str">
            <v>OR-454.00 P1 4UN CTN 1 BAG</v>
          </cell>
          <cell r="C438">
            <v>1561901</v>
          </cell>
        </row>
        <row r="439">
          <cell r="A439">
            <v>1243901</v>
          </cell>
          <cell r="B439" t="str">
            <v>TW/4-104.00 P1 2.5UN CTN 1 BAG</v>
          </cell>
          <cell r="C439">
            <v>1561901</v>
          </cell>
        </row>
        <row r="440">
          <cell r="A440">
            <v>1243903</v>
          </cell>
          <cell r="B440" t="str">
            <v>LE-257.01/LE/B-257.10 P1 5UN CTN 1 BAG</v>
          </cell>
          <cell r="C440">
            <v>1561901</v>
          </cell>
        </row>
        <row r="441">
          <cell r="A441">
            <v>1252416</v>
          </cell>
          <cell r="B441" t="str">
            <v>AP/N-284.00 P1 1UN CTN 1 BAG</v>
          </cell>
          <cell r="C441">
            <v>1561901</v>
          </cell>
        </row>
        <row r="442">
          <cell r="A442">
            <v>1308091</v>
          </cell>
          <cell r="B442" t="str">
            <v>PA/GF/B-25.313/4-25.303/4 P1B 40UN CN 2B</v>
          </cell>
          <cell r="C442">
            <v>1561901</v>
          </cell>
        </row>
        <row r="443">
          <cell r="A443">
            <v>1312505</v>
          </cell>
          <cell r="B443" t="str">
            <v>TE/LE-10.00/.30/.40/.60 P1A 4UN CTN 1BAG</v>
          </cell>
          <cell r="C443">
            <v>1561901</v>
          </cell>
        </row>
        <row r="444">
          <cell r="A444">
            <v>1314519</v>
          </cell>
          <cell r="B444" t="str">
            <v>AP/N-284.00 P1 1.038UN CTN 1 BAG</v>
          </cell>
          <cell r="C444">
            <v>1561901</v>
          </cell>
        </row>
        <row r="445">
          <cell r="A445">
            <v>1341600</v>
          </cell>
          <cell r="B445" t="str">
            <v>LE-442.001 P1B 32UN CTN 4BAGS</v>
          </cell>
          <cell r="C445">
            <v>1561901</v>
          </cell>
        </row>
        <row r="446">
          <cell r="A446">
            <v>1342502</v>
          </cell>
          <cell r="B446" t="str">
            <v>WA/LE-19.001 P1B 16UN CTN  4 BAGS</v>
          </cell>
          <cell r="C446">
            <v>1561901</v>
          </cell>
        </row>
        <row r="447">
          <cell r="A447">
            <v>1344202</v>
          </cell>
          <cell r="B447" t="str">
            <v>OR-1084.001 P1B 40UN CTN 5 BAGS</v>
          </cell>
          <cell r="C447">
            <v>1561901</v>
          </cell>
        </row>
        <row r="448">
          <cell r="A448">
            <v>1348712</v>
          </cell>
          <cell r="B448" t="str">
            <v>MN-100.001 P1B 10UN CTN 1 BAG</v>
          </cell>
          <cell r="C448">
            <v>1561901</v>
          </cell>
        </row>
        <row r="449">
          <cell r="A449">
            <v>1352660</v>
          </cell>
          <cell r="B449" t="str">
            <v>LE-446.101 P1B 10UN CTN 2 BAGS</v>
          </cell>
          <cell r="C449">
            <v>1561901</v>
          </cell>
        </row>
        <row r="450">
          <cell r="A450">
            <v>1357757</v>
          </cell>
          <cell r="B450" t="str">
            <v>TELE-59.30/TEPE-29.103 P1B 12UN CN 6 BGS</v>
          </cell>
          <cell r="C450">
            <v>1561901</v>
          </cell>
        </row>
        <row r="451">
          <cell r="A451">
            <v>1357851</v>
          </cell>
          <cell r="B451" t="str">
            <v>BT/LE-75.101 P1B 4UN CTN 4 BAGS</v>
          </cell>
          <cell r="C451">
            <v>1561901</v>
          </cell>
        </row>
        <row r="452">
          <cell r="A452">
            <v>1358031</v>
          </cell>
          <cell r="B452" t="str">
            <v>LI-85.001 P1B 40UN CTN 4 BAG</v>
          </cell>
          <cell r="C452">
            <v>1561901</v>
          </cell>
        </row>
        <row r="453">
          <cell r="A453">
            <v>1359910</v>
          </cell>
          <cell r="B453" t="str">
            <v>OR-1100.001/1092.001/ P1B 10UN CTN 10 BA</v>
          </cell>
          <cell r="C453">
            <v>1561901</v>
          </cell>
        </row>
        <row r="454">
          <cell r="A454">
            <v>1359914</v>
          </cell>
          <cell r="B454" t="str">
            <v>OR-1100.001/1092.001/ P1B 50UN CTN 5 BAG</v>
          </cell>
          <cell r="C454">
            <v>1561901</v>
          </cell>
        </row>
        <row r="455">
          <cell r="A455">
            <v>1360640</v>
          </cell>
          <cell r="B455" t="str">
            <v>OR-991.002 P1B 30UN CTN 1 BAG</v>
          </cell>
          <cell r="C455">
            <v>1561901</v>
          </cell>
        </row>
        <row r="456">
          <cell r="A456">
            <v>1360641</v>
          </cell>
          <cell r="B456" t="str">
            <v>OR-991.002 P1B 30UN CTN 6 BAGS</v>
          </cell>
          <cell r="C456">
            <v>1561901</v>
          </cell>
        </row>
        <row r="457">
          <cell r="A457">
            <v>1361560</v>
          </cell>
          <cell r="B457" t="str">
            <v>OR-1084.001 P1B 8UN CTN 1 BAG</v>
          </cell>
          <cell r="C457">
            <v>1561901</v>
          </cell>
        </row>
        <row r="458">
          <cell r="A458">
            <v>1361648</v>
          </cell>
          <cell r="B458" t="str">
            <v>OR-1107.001 P1B 20UN CTN 4 BAGS</v>
          </cell>
          <cell r="C458">
            <v>1561901</v>
          </cell>
        </row>
        <row r="459">
          <cell r="A459">
            <v>1362605</v>
          </cell>
          <cell r="B459" t="str">
            <v>OR-1107.001 P1B 50UN CTN 10 BAGS</v>
          </cell>
          <cell r="C459">
            <v>1561901</v>
          </cell>
        </row>
        <row r="460">
          <cell r="A460">
            <v>1366148</v>
          </cell>
          <cell r="B460" t="str">
            <v>OR/N-967.00 P1 2UN CTN 1 BAG</v>
          </cell>
          <cell r="C460">
            <v>1561901</v>
          </cell>
        </row>
        <row r="461">
          <cell r="A461">
            <v>1377951</v>
          </cell>
          <cell r="B461" t="str">
            <v>OR/B-1121.001/OR/D-116 P1B 40UN CN 10BAG</v>
          </cell>
          <cell r="C461">
            <v>1561901</v>
          </cell>
        </row>
        <row r="462">
          <cell r="A462">
            <v>1397701</v>
          </cell>
          <cell r="B462" t="str">
            <v>AP-356.00 P1 2UN CTN 1 BAG</v>
          </cell>
          <cell r="C462">
            <v>1561901</v>
          </cell>
        </row>
        <row r="463">
          <cell r="A463">
            <v>1397999</v>
          </cell>
          <cell r="B463" t="str">
            <v>GEN CITRIC ACID P1 CTN 20BAGS</v>
          </cell>
          <cell r="C463">
            <v>1561901</v>
          </cell>
        </row>
        <row r="464">
          <cell r="A464">
            <v>1398000</v>
          </cell>
          <cell r="B464" t="str">
            <v>GEN POTASSIUM SORBATE P1B CTN 20BAGS</v>
          </cell>
          <cell r="C464">
            <v>1561901</v>
          </cell>
        </row>
        <row r="465">
          <cell r="A465">
            <v>1399165</v>
          </cell>
          <cell r="B465" t="str">
            <v>LE/LL/B-1.00 P1 2.5UN CTN 1 BAG</v>
          </cell>
          <cell r="C465">
            <v>1561901</v>
          </cell>
        </row>
        <row r="466">
          <cell r="A466">
            <v>1399166</v>
          </cell>
          <cell r="B466" t="str">
            <v>AP/MT/B-3.00/ST/B-115.00 P1 5UN CTN 1BAG</v>
          </cell>
          <cell r="C466">
            <v>1561901</v>
          </cell>
        </row>
        <row r="467">
          <cell r="A467">
            <v>1402953</v>
          </cell>
          <cell r="B467" t="str">
            <v>AP/KW/N-4.00 P1 1.5UN CTN 1 BAG</v>
          </cell>
          <cell r="C467">
            <v>1561901</v>
          </cell>
        </row>
        <row r="468">
          <cell r="A468">
            <v>1403162</v>
          </cell>
          <cell r="B468" t="str">
            <v>PE/N-92.01 P1 8UN CTN 1BAG</v>
          </cell>
          <cell r="C468">
            <v>1561901</v>
          </cell>
        </row>
        <row r="469">
          <cell r="A469">
            <v>1403856</v>
          </cell>
          <cell r="B469" t="str">
            <v>PE/N-143.00 P1 20UN CTN 2 BAGS</v>
          </cell>
          <cell r="C469">
            <v>1561901</v>
          </cell>
        </row>
        <row r="470">
          <cell r="A470">
            <v>1404799</v>
          </cell>
          <cell r="B470" t="str">
            <v>LE-460.001 P1B 20UN CTN 4 BAG</v>
          </cell>
          <cell r="C470">
            <v>1561901</v>
          </cell>
        </row>
        <row r="471">
          <cell r="A471">
            <v>1405098</v>
          </cell>
          <cell r="B471" t="str">
            <v>OR/D-943.505 P1B 16UN CTN 2BAGS</v>
          </cell>
          <cell r="C471">
            <v>1561901</v>
          </cell>
        </row>
        <row r="472">
          <cell r="A472">
            <v>1405726</v>
          </cell>
          <cell r="B472" t="str">
            <v>OR-1100.001/1092.001 P1B 10UN CTN 1 BAG</v>
          </cell>
          <cell r="C472">
            <v>1561901</v>
          </cell>
        </row>
        <row r="473">
          <cell r="A473">
            <v>1409818</v>
          </cell>
          <cell r="B473" t="str">
            <v>CH/N-80.00 P1 2UN CTN 1 BAG</v>
          </cell>
          <cell r="C473">
            <v>1561901</v>
          </cell>
        </row>
        <row r="474">
          <cell r="A474">
            <v>1410412</v>
          </cell>
          <cell r="B474" t="str">
            <v>OR/N-1155.00 P1 12UN CTN 4 BAGS</v>
          </cell>
          <cell r="C474">
            <v>1561901</v>
          </cell>
        </row>
        <row r="475">
          <cell r="A475">
            <v>1410418</v>
          </cell>
          <cell r="B475" t="str">
            <v>CH/N-84.00 P1 2UN CTN 1 BAG</v>
          </cell>
          <cell r="C475">
            <v>1561901</v>
          </cell>
        </row>
        <row r="476">
          <cell r="A476">
            <v>1410617</v>
          </cell>
          <cell r="B476" t="str">
            <v>AC/OR-1.11 P1 3UN CTN 1 BAG</v>
          </cell>
          <cell r="C476">
            <v>1561901</v>
          </cell>
        </row>
        <row r="477">
          <cell r="A477">
            <v>1410620</v>
          </cell>
          <cell r="B477" t="str">
            <v>AP/J-361.00 P1 4UN CTN 1 BAG</v>
          </cell>
          <cell r="C477">
            <v>1561901</v>
          </cell>
        </row>
        <row r="478">
          <cell r="A478">
            <v>1411899</v>
          </cell>
          <cell r="B478" t="str">
            <v>RA/BC-2.00 P1 10UN CTN 2BAGS</v>
          </cell>
          <cell r="C478">
            <v>1561901</v>
          </cell>
        </row>
        <row r="479">
          <cell r="A479">
            <v>1413516</v>
          </cell>
          <cell r="B479" t="str">
            <v>AP/N-360.002 P1B 7.2UN CTN 1 BAG</v>
          </cell>
          <cell r="C479">
            <v>1561901</v>
          </cell>
        </row>
        <row r="480">
          <cell r="A480">
            <v>1421151</v>
          </cell>
          <cell r="B480" t="str">
            <v>TW/B/4-57.30 P1 0.5UN CTN 1 BAG</v>
          </cell>
          <cell r="C480">
            <v>1561901</v>
          </cell>
        </row>
        <row r="481">
          <cell r="A481">
            <v>1421843</v>
          </cell>
          <cell r="B481" t="str">
            <v>CL/D-12.00 P1A 40UN CTN 2 BAGS</v>
          </cell>
          <cell r="C481">
            <v>1561901</v>
          </cell>
        </row>
        <row r="482">
          <cell r="A482">
            <v>1425730</v>
          </cell>
          <cell r="B482" t="str">
            <v>LL/V-161.001 P1B 32UN CTN 4 BAGS</v>
          </cell>
          <cell r="C482">
            <v>1561901</v>
          </cell>
        </row>
        <row r="483">
          <cell r="A483">
            <v>1426108</v>
          </cell>
          <cell r="B483" t="str">
            <v>AP/PR/V-4.41 P1 4UN CTN 1 BAG</v>
          </cell>
          <cell r="C483">
            <v>1561901</v>
          </cell>
        </row>
        <row r="484">
          <cell r="A484">
            <v>1428198</v>
          </cell>
          <cell r="B484" t="str">
            <v>AP/N-372.00 P1 10UN CTN 1 BAG</v>
          </cell>
          <cell r="C484">
            <v>1561901</v>
          </cell>
        </row>
        <row r="485">
          <cell r="A485">
            <v>1428241</v>
          </cell>
          <cell r="B485" t="str">
            <v>TE/LE-125.00 P1A 4UN CTN 1 BAG</v>
          </cell>
          <cell r="C485">
            <v>1561901</v>
          </cell>
        </row>
        <row r="486">
          <cell r="A486">
            <v>1429938</v>
          </cell>
          <cell r="B486" t="str">
            <v>OR-1185.001 P1B 32UN CTN 2 BAGS</v>
          </cell>
          <cell r="C486">
            <v>1561901</v>
          </cell>
        </row>
        <row r="487">
          <cell r="A487">
            <v>1431494</v>
          </cell>
          <cell r="B487" t="str">
            <v>LL/CH-1.001/PR-14.004 P1B 40UN CTN 4BAG</v>
          </cell>
          <cell r="C487">
            <v>1561901</v>
          </cell>
        </row>
        <row r="488">
          <cell r="A488">
            <v>1433218</v>
          </cell>
          <cell r="B488" t="str">
            <v>OR-1172.00/.10 P1 4UN CTN 1 BAG</v>
          </cell>
          <cell r="C488">
            <v>1561901</v>
          </cell>
        </row>
        <row r="489">
          <cell r="A489">
            <v>1437015</v>
          </cell>
          <cell r="B489" t="str">
            <v>OR/D-943.501 P1B 32UN CTN 4 BAG</v>
          </cell>
          <cell r="C489">
            <v>1561901</v>
          </cell>
        </row>
        <row r="490">
          <cell r="A490">
            <v>1438146</v>
          </cell>
          <cell r="B490" t="str">
            <v>AP/CH/N-5.00 P1 1UN CTN 1 BAG</v>
          </cell>
          <cell r="C490">
            <v>1561901</v>
          </cell>
        </row>
        <row r="491">
          <cell r="A491">
            <v>1439000</v>
          </cell>
          <cell r="B491" t="str">
            <v>OR/AP/N-9.00 P1 3UN CTN 1 BAG</v>
          </cell>
          <cell r="C491">
            <v>1561901</v>
          </cell>
        </row>
        <row r="492">
          <cell r="A492">
            <v>1439138</v>
          </cell>
          <cell r="B492" t="str">
            <v>HB-28.00 P1A 1UN CTN 1 BAG</v>
          </cell>
          <cell r="C492">
            <v>1561901</v>
          </cell>
        </row>
        <row r="493">
          <cell r="A493">
            <v>1441295</v>
          </cell>
          <cell r="B493" t="str">
            <v>GA-62.003  P1B 12UN CTN 1 BAG</v>
          </cell>
          <cell r="C493">
            <v>1561901</v>
          </cell>
        </row>
        <row r="494">
          <cell r="A494">
            <v>1444908</v>
          </cell>
          <cell r="B494" t="str">
            <v>ST/B/G-163.00 P1 4UN CTN 2 BAGS</v>
          </cell>
          <cell r="C494">
            <v>1561901</v>
          </cell>
        </row>
        <row r="495">
          <cell r="A495">
            <v>1444925</v>
          </cell>
          <cell r="B495" t="str">
            <v>PE/AP/J-17.00 P1 8UN CTN 2 BAGS</v>
          </cell>
          <cell r="C495">
            <v>1561901</v>
          </cell>
        </row>
        <row r="496">
          <cell r="A496">
            <v>1444931</v>
          </cell>
          <cell r="B496" t="str">
            <v>CH/AP/J-5.00 P1 6UN CTN 2 BAGS</v>
          </cell>
          <cell r="C496">
            <v>1561901</v>
          </cell>
        </row>
        <row r="497">
          <cell r="A497">
            <v>1594035</v>
          </cell>
          <cell r="B497" t="str">
            <v>WIP PART 1B 8.040KG 12UN BAG (811)</v>
          </cell>
          <cell r="C497">
            <v>1561894</v>
          </cell>
        </row>
        <row r="498">
          <cell r="A498">
            <v>1603439</v>
          </cell>
          <cell r="B498" t="str">
            <v>PE-417.00 P1A,1C 14UN CTN 2 BAGS</v>
          </cell>
          <cell r="C498">
            <v>1561894</v>
          </cell>
        </row>
        <row r="499">
          <cell r="A499">
            <v>1641018</v>
          </cell>
          <cell r="B499" t="str">
            <v>CH/B/Q-93.11 P1 4UN CTN 2 BAGS</v>
          </cell>
          <cell r="C499">
            <v>1561894</v>
          </cell>
        </row>
        <row r="500">
          <cell r="A500">
            <v>1641018</v>
          </cell>
          <cell r="B500" t="str">
            <v>CH/B/Q-93.11 P1 4UN CTN 2 BAGS</v>
          </cell>
          <cell r="C500">
            <v>1561901</v>
          </cell>
        </row>
        <row r="501">
          <cell r="A501">
            <v>1648708</v>
          </cell>
          <cell r="B501" t="str">
            <v>AP/N-526.001 P1B 16UN CTN 1 BAG</v>
          </cell>
          <cell r="C501">
            <v>1561894</v>
          </cell>
        </row>
        <row r="502">
          <cell r="A502">
            <v>1648708</v>
          </cell>
          <cell r="B502" t="str">
            <v>AP/N-526.001 P1B 16UN CTN 1 BAG</v>
          </cell>
          <cell r="C502">
            <v>1561901</v>
          </cell>
        </row>
        <row r="503">
          <cell r="A503">
            <v>1649516</v>
          </cell>
          <cell r="B503" t="str">
            <v>LE-596.001 P1B 8UN CTN 2BAGS</v>
          </cell>
          <cell r="C503">
            <v>1561894</v>
          </cell>
        </row>
        <row r="504">
          <cell r="A504">
            <v>1649516</v>
          </cell>
          <cell r="B504" t="str">
            <v>LE-596.001 P1B 8UN CTN 2BAGS</v>
          </cell>
          <cell r="C504">
            <v>1561901</v>
          </cell>
        </row>
        <row r="505">
          <cell r="A505">
            <v>1652815</v>
          </cell>
          <cell r="B505" t="str">
            <v>OR/D-1412.501 P1B 20UN CTN 2 BAG</v>
          </cell>
          <cell r="C505">
            <v>1561894</v>
          </cell>
        </row>
        <row r="506">
          <cell r="A506">
            <v>1652815</v>
          </cell>
          <cell r="B506" t="str">
            <v>OR/D-1412.501 P1B 20UN CTN 2 BAG</v>
          </cell>
          <cell r="C506">
            <v>1561901</v>
          </cell>
        </row>
        <row r="507">
          <cell r="A507">
            <v>1655604</v>
          </cell>
          <cell r="B507" t="str">
            <v>SP/B-142.00 P1A 8UN CTN 2 BAG</v>
          </cell>
          <cell r="C507">
            <v>1561894</v>
          </cell>
        </row>
        <row r="508">
          <cell r="A508">
            <v>1655604</v>
          </cell>
          <cell r="B508" t="str">
            <v>SP/B-142.00 P1A 8UN CTN 2 BAG</v>
          </cell>
          <cell r="C508">
            <v>1561901</v>
          </cell>
        </row>
        <row r="509">
          <cell r="A509">
            <v>1661200</v>
          </cell>
          <cell r="B509" t="str">
            <v>LL/MT-23.00 P1,1C 2.5UN CTN 1 BAG</v>
          </cell>
          <cell r="C509">
            <v>1561894</v>
          </cell>
        </row>
        <row r="510">
          <cell r="A510">
            <v>1668837</v>
          </cell>
          <cell r="B510" t="str">
            <v>WIP PART 1B 7.700KG 20UN BAG</v>
          </cell>
          <cell r="C510">
            <v>1561894</v>
          </cell>
        </row>
        <row r="511">
          <cell r="A511">
            <v>1670599</v>
          </cell>
          <cell r="B511" t="str">
            <v>SP/B-142.001/.002/.003 P1B 24UN CTN 3BAG</v>
          </cell>
          <cell r="C511">
            <v>1561901</v>
          </cell>
        </row>
        <row r="512">
          <cell r="A512">
            <v>1675517</v>
          </cell>
          <cell r="B512" t="str">
            <v>SP/B-142.00 P1 8UN CTN 2 BAGS</v>
          </cell>
          <cell r="C512">
            <v>1561894</v>
          </cell>
        </row>
        <row r="513">
          <cell r="A513">
            <v>1675517</v>
          </cell>
          <cell r="B513" t="str">
            <v>SP/B-142.00 P1 8UN CTN 2 BAGS</v>
          </cell>
          <cell r="C513">
            <v>1561901</v>
          </cell>
        </row>
        <row r="514">
          <cell r="A514">
            <v>1677144</v>
          </cell>
          <cell r="B514" t="str">
            <v>OR/N-1463.00 P1 6UN CTN 2 BAG</v>
          </cell>
          <cell r="C514">
            <v>1561894</v>
          </cell>
        </row>
        <row r="515">
          <cell r="A515">
            <v>1677144</v>
          </cell>
          <cell r="B515" t="str">
            <v>OR/N-1463.00 P1 6UN CTN 2 BAG</v>
          </cell>
          <cell r="C515">
            <v>1561901</v>
          </cell>
        </row>
        <row r="516">
          <cell r="A516">
            <v>1698550</v>
          </cell>
          <cell r="B516" t="str">
            <v>RA/PF-9.001 P1B 12UN CTN 1BAG</v>
          </cell>
          <cell r="C516">
            <v>1561901</v>
          </cell>
        </row>
        <row r="517">
          <cell r="A517">
            <v>1698552</v>
          </cell>
          <cell r="B517" t="str">
            <v>RA/PF-9.00 P1 4UN CTN 2BAGS</v>
          </cell>
          <cell r="C517">
            <v>1561894</v>
          </cell>
        </row>
        <row r="518">
          <cell r="A518">
            <v>1698552</v>
          </cell>
          <cell r="B518" t="str">
            <v>RA/PF-9.00 P1 4UN CTN 2BAGS</v>
          </cell>
          <cell r="C518">
            <v>1561901</v>
          </cell>
        </row>
        <row r="519">
          <cell r="A519">
            <v>1704828</v>
          </cell>
          <cell r="B519" t="str">
            <v>PE-455.00 P1A 6UN CTN 1 BAG</v>
          </cell>
          <cell r="C519">
            <v>1561894</v>
          </cell>
        </row>
        <row r="520">
          <cell r="A520">
            <v>1704828</v>
          </cell>
          <cell r="B520" t="str">
            <v>PE-455.00 P1A 6UN CTN 1 BAG</v>
          </cell>
          <cell r="C520">
            <v>1561901</v>
          </cell>
        </row>
        <row r="521">
          <cell r="A521">
            <v>1704830</v>
          </cell>
          <cell r="B521" t="str">
            <v>PE-455.00 P1 3UN CTN 1 BAG</v>
          </cell>
          <cell r="C521">
            <v>1561894</v>
          </cell>
        </row>
        <row r="522">
          <cell r="A522">
            <v>1704830</v>
          </cell>
          <cell r="B522" t="str">
            <v>PE-455.00 P1 3UN CTN 1 BAG</v>
          </cell>
          <cell r="C522">
            <v>1561901</v>
          </cell>
        </row>
        <row r="523">
          <cell r="A523">
            <v>1705080</v>
          </cell>
          <cell r="B523" t="str">
            <v>FP-571.10 P1 8UN CTN 2 BAGS</v>
          </cell>
          <cell r="C523">
            <v>1561894</v>
          </cell>
        </row>
        <row r="524">
          <cell r="A524">
            <v>1705080</v>
          </cell>
          <cell r="B524" t="str">
            <v>FP-571.10 P1 8UN CTN 2 BAGS</v>
          </cell>
          <cell r="C524">
            <v>1561901</v>
          </cell>
        </row>
        <row r="525">
          <cell r="A525">
            <v>1705810</v>
          </cell>
          <cell r="B525" t="str">
            <v>SP/B-149.005 P1B  24UN CTN 6BAGS</v>
          </cell>
          <cell r="C525">
            <v>1561901</v>
          </cell>
        </row>
        <row r="526">
          <cell r="A526">
            <v>1706054</v>
          </cell>
          <cell r="B526" t="str">
            <v>GA-62.002 P1B 12UN CTN 4 BAG</v>
          </cell>
          <cell r="C526">
            <v>1561901</v>
          </cell>
        </row>
        <row r="527">
          <cell r="A527">
            <v>1706065</v>
          </cell>
          <cell r="B527" t="str">
            <v>GA-62.00 P1 6UN CTN 2 BAG</v>
          </cell>
          <cell r="C527">
            <v>1561894</v>
          </cell>
        </row>
        <row r="528">
          <cell r="A528">
            <v>1706065</v>
          </cell>
          <cell r="B528" t="str">
            <v>GA-62.00 P1 6UN CTN 2 BAG</v>
          </cell>
          <cell r="C528">
            <v>1561901</v>
          </cell>
        </row>
        <row r="529">
          <cell r="A529">
            <v>1707799</v>
          </cell>
          <cell r="B529" t="str">
            <v>CI/V-151.30 P1 2UN CTN 1 BAG</v>
          </cell>
          <cell r="C529">
            <v>1561894</v>
          </cell>
        </row>
        <row r="530">
          <cell r="A530">
            <v>1707799</v>
          </cell>
          <cell r="B530" t="str">
            <v>CI/V-151.30 P1 2UN CTN 1 BAG</v>
          </cell>
          <cell r="C530">
            <v>1561901</v>
          </cell>
        </row>
        <row r="531">
          <cell r="A531">
            <v>1712403</v>
          </cell>
          <cell r="B531" t="str">
            <v>PR/HB/V-6.001 P1,1B,1C 4UN CTN 1 BAG</v>
          </cell>
          <cell r="C531">
            <v>1561894</v>
          </cell>
        </row>
        <row r="532">
          <cell r="A532">
            <v>1714740</v>
          </cell>
          <cell r="B532" t="str">
            <v>BE/GN/D-1.50 P1 6UN CTN 2 BAGS</v>
          </cell>
          <cell r="C532">
            <v>1561894</v>
          </cell>
        </row>
        <row r="533">
          <cell r="A533">
            <v>1714740</v>
          </cell>
          <cell r="B533" t="str">
            <v>BE/GN/D-1.50 P1 6UN CTN 2 BAGS</v>
          </cell>
          <cell r="C533">
            <v>1561901</v>
          </cell>
        </row>
        <row r="534">
          <cell r="A534">
            <v>1718615</v>
          </cell>
          <cell r="B534" t="str">
            <v>FP/D-344.37 P1A 1UN CTN 1 BAG</v>
          </cell>
          <cell r="C534">
            <v>1561894</v>
          </cell>
        </row>
        <row r="535">
          <cell r="A535">
            <v>1718615</v>
          </cell>
          <cell r="B535" t="str">
            <v>FP/D-344.37 P1A 1UN CTN 1 BAG</v>
          </cell>
          <cell r="C535">
            <v>1561901</v>
          </cell>
        </row>
        <row r="536">
          <cell r="A536">
            <v>1445040</v>
          </cell>
          <cell r="B536" t="str">
            <v>OR-1195.00 P1 8UN CTN 1 BAG</v>
          </cell>
          <cell r="C536">
            <v>1561901</v>
          </cell>
        </row>
        <row r="537">
          <cell r="A537">
            <v>1459615</v>
          </cell>
          <cell r="B537" t="str">
            <v>AP/N-360.002 P1B 8UN CTN 1 BAG</v>
          </cell>
          <cell r="C537">
            <v>1561901</v>
          </cell>
        </row>
        <row r="538">
          <cell r="A538">
            <v>1459664</v>
          </cell>
          <cell r="B538" t="str">
            <v>TE/GF/D-8.50 P1D 6UN CTN 2 BAG</v>
          </cell>
          <cell r="C538">
            <v>1561901</v>
          </cell>
        </row>
        <row r="539">
          <cell r="A539">
            <v>1460794</v>
          </cell>
          <cell r="B539" t="str">
            <v>PE/PF-1.00 P1D 4UN CTN 1 BAG</v>
          </cell>
          <cell r="C539">
            <v>1561901</v>
          </cell>
        </row>
        <row r="540">
          <cell r="A540">
            <v>1462033</v>
          </cell>
          <cell r="B540" t="str">
            <v>PE/N-375.00 P1 20UN CTN 2 BAGS</v>
          </cell>
          <cell r="C540">
            <v>1561901</v>
          </cell>
        </row>
        <row r="541">
          <cell r="A541">
            <v>1462938</v>
          </cell>
          <cell r="B541" t="str">
            <v>FP-344.30/.32 P1A 1UN CTN 1BAG</v>
          </cell>
          <cell r="C541">
            <v>1561901</v>
          </cell>
        </row>
        <row r="542">
          <cell r="A542">
            <v>1462949</v>
          </cell>
          <cell r="B542" t="str">
            <v>CH/GR/N-1.00 P1 1UN CTN 1 BAG</v>
          </cell>
          <cell r="C542">
            <v>1561901</v>
          </cell>
        </row>
        <row r="543">
          <cell r="A543">
            <v>1463824</v>
          </cell>
          <cell r="B543" t="str">
            <v>TW/4-104.0010 P1B 20UN CTN 4 BAGS</v>
          </cell>
          <cell r="C543">
            <v>1561901</v>
          </cell>
        </row>
        <row r="544">
          <cell r="A544">
            <v>1465371</v>
          </cell>
          <cell r="B544" t="str">
            <v>HB/MT/G-1.00 P1 7.5UN CTN 1BAG</v>
          </cell>
          <cell r="C544">
            <v>1561901</v>
          </cell>
        </row>
        <row r="545">
          <cell r="A545">
            <v>1466008</v>
          </cell>
          <cell r="B545" t="str">
            <v>MN/GV/G-1.00 P1 7UN CTN 1BAG</v>
          </cell>
          <cell r="C545">
            <v>1561901</v>
          </cell>
        </row>
        <row r="546">
          <cell r="A546">
            <v>1468838</v>
          </cell>
          <cell r="B546" t="str">
            <v>CB/G-20.00/ LL/G-143.00 P1 10UN CTN 2 BG</v>
          </cell>
          <cell r="C546">
            <v>1561901</v>
          </cell>
        </row>
        <row r="547">
          <cell r="A547">
            <v>1472658</v>
          </cell>
          <cell r="B547" t="str">
            <v>OR-1217.008 P1B 10UN CTN 1 BAG</v>
          </cell>
          <cell r="C547">
            <v>1561901</v>
          </cell>
        </row>
        <row r="548">
          <cell r="A548">
            <v>1481202</v>
          </cell>
          <cell r="B548" t="str">
            <v>BT/LE/4-63.101 P1B 32UN CTN 4 BAGS</v>
          </cell>
          <cell r="C548">
            <v>1561901</v>
          </cell>
        </row>
        <row r="549">
          <cell r="A549">
            <v>1483908</v>
          </cell>
          <cell r="B549" t="str">
            <v>TE/LL/B-5.00 P1 8UN CTN 1 BAG</v>
          </cell>
          <cell r="C549">
            <v>1561901</v>
          </cell>
        </row>
        <row r="550">
          <cell r="A550">
            <v>1483922</v>
          </cell>
          <cell r="B550" t="str">
            <v>LE/B/V-514.00 P1 6UN CTN 1 BAG</v>
          </cell>
          <cell r="C550">
            <v>1561901</v>
          </cell>
        </row>
        <row r="551">
          <cell r="A551">
            <v>1491800</v>
          </cell>
          <cell r="B551" t="str">
            <v>GF/N-281.00 P1 2UN CTN BAG</v>
          </cell>
          <cell r="C551">
            <v>1561901</v>
          </cell>
        </row>
        <row r="552">
          <cell r="A552">
            <v>1492627</v>
          </cell>
          <cell r="B552" t="str">
            <v>PE/CQ-1.00 P1 6UN CTN 2 BAGS</v>
          </cell>
          <cell r="C552">
            <v>1561901</v>
          </cell>
        </row>
        <row r="553">
          <cell r="A553">
            <v>1492990</v>
          </cell>
          <cell r="B553" t="str">
            <v>GR/CH-1.00 P1 1UN CTN 1 BAG</v>
          </cell>
          <cell r="C553">
            <v>1561901</v>
          </cell>
        </row>
        <row r="554">
          <cell r="A554">
            <v>1502896</v>
          </cell>
          <cell r="B554" t="str">
            <v>BC-61.001/.002 P1B 9UN CTN 1BAG</v>
          </cell>
          <cell r="C554">
            <v>1561901</v>
          </cell>
        </row>
        <row r="555">
          <cell r="A555">
            <v>1505376</v>
          </cell>
          <cell r="B555" t="str">
            <v>OR/BE/B-5.00 P1 2.5UN CTN 1 BAG</v>
          </cell>
          <cell r="C555">
            <v>1561901</v>
          </cell>
        </row>
        <row r="556">
          <cell r="A556">
            <v>1507921</v>
          </cell>
          <cell r="B556" t="str">
            <v>PR/G-40.00 P1 8UN CTN 4 BAGS</v>
          </cell>
          <cell r="C556">
            <v>1561901</v>
          </cell>
        </row>
        <row r="557">
          <cell r="A557">
            <v>1508034</v>
          </cell>
          <cell r="B557" t="str">
            <v>AP/G-470.00 P1 8UN CTN 4 BAGS</v>
          </cell>
          <cell r="C557">
            <v>1561901</v>
          </cell>
        </row>
        <row r="558">
          <cell r="A558">
            <v>1510038</v>
          </cell>
          <cell r="B558" t="str">
            <v>MA/6-57.10 P1 3.333UN CTN 1 BAG</v>
          </cell>
          <cell r="C558">
            <v>1561901</v>
          </cell>
        </row>
        <row r="559">
          <cell r="A559">
            <v>1517897</v>
          </cell>
          <cell r="B559" t="str">
            <v>FP/6-210.00/.01 P1 2UN CTN 1BAG</v>
          </cell>
          <cell r="C559">
            <v>1561901</v>
          </cell>
        </row>
        <row r="560">
          <cell r="A560">
            <v>1519544</v>
          </cell>
          <cell r="B560" t="str">
            <v>GR/PO/N-1.00 P1 1UN CTN 1 BAG</v>
          </cell>
          <cell r="C560">
            <v>1561901</v>
          </cell>
        </row>
        <row r="561">
          <cell r="A561">
            <v>1525113</v>
          </cell>
          <cell r="B561" t="str">
            <v>GF/D-291.60 P1 4UN CTN 1 BAG</v>
          </cell>
          <cell r="C561">
            <v>1561901</v>
          </cell>
        </row>
        <row r="562">
          <cell r="A562">
            <v>1525274</v>
          </cell>
          <cell r="B562" t="str">
            <v>OR-1088.001 P1B 32UN CTN, 8 BAGS</v>
          </cell>
          <cell r="C562">
            <v>1561901</v>
          </cell>
        </row>
        <row r="563">
          <cell r="A563">
            <v>1525326</v>
          </cell>
          <cell r="B563" t="str">
            <v>PL-4.00 P1 2UN CTN 2 BAGS</v>
          </cell>
          <cell r="C563">
            <v>1561901</v>
          </cell>
        </row>
        <row r="564">
          <cell r="A564">
            <v>1525816</v>
          </cell>
          <cell r="B564" t="str">
            <v>CQ/OR/N-1.10 P1 20UN CTN 4 BAGS</v>
          </cell>
          <cell r="C564">
            <v>1561901</v>
          </cell>
        </row>
        <row r="565">
          <cell r="A565">
            <v>1526860</v>
          </cell>
          <cell r="B565" t="str">
            <v>GF/N-281.00 P1 1.93UN CTN 1 BAG</v>
          </cell>
          <cell r="C565">
            <v>1561901</v>
          </cell>
        </row>
        <row r="566">
          <cell r="A566">
            <v>1528375</v>
          </cell>
          <cell r="B566" t="str">
            <v>ST-182.001 P1B 4UN CTN 1 BAG</v>
          </cell>
          <cell r="C566">
            <v>1561901</v>
          </cell>
        </row>
        <row r="567">
          <cell r="A567">
            <v>1528800</v>
          </cell>
          <cell r="B567" t="str">
            <v>CI/D-137.50 P1A 2.5UN CTN 1 BAG</v>
          </cell>
          <cell r="C567">
            <v>1561901</v>
          </cell>
        </row>
        <row r="568">
          <cell r="A568">
            <v>1528900</v>
          </cell>
          <cell r="B568" t="str">
            <v>GR-250.00 P1 4UN CTN 1 BAG</v>
          </cell>
          <cell r="C568">
            <v>1561901</v>
          </cell>
        </row>
        <row r="569">
          <cell r="A569">
            <v>1532904</v>
          </cell>
          <cell r="B569" t="str">
            <v>LE/ST-6.00 P1 8UN CTN 1 BAG</v>
          </cell>
          <cell r="C569">
            <v>1561901</v>
          </cell>
        </row>
        <row r="570">
          <cell r="A570">
            <v>1533605</v>
          </cell>
          <cell r="B570" t="str">
            <v>OR-1127.001 P1B 40UN CTN 10 BAGS</v>
          </cell>
          <cell r="C570">
            <v>1561901</v>
          </cell>
        </row>
        <row r="571">
          <cell r="A571">
            <v>1545338</v>
          </cell>
          <cell r="B571" t="str">
            <v>CH/B/Q-49.61 P1L 20UN CTN 1 BAG</v>
          </cell>
          <cell r="C571">
            <v>1561901</v>
          </cell>
        </row>
        <row r="572">
          <cell r="A572">
            <v>1545341</v>
          </cell>
          <cell r="B572" t="str">
            <v>CH/B/Q-49.61 P1H 2.5UN CTN 1 BAG</v>
          </cell>
          <cell r="C572">
            <v>1561901</v>
          </cell>
        </row>
        <row r="573">
          <cell r="A573">
            <v>1549880</v>
          </cell>
          <cell r="B573" t="str">
            <v>PRJ-0290415 V10.2 P1C 4UN CTN 1 BAG</v>
          </cell>
          <cell r="C573">
            <v>1561901</v>
          </cell>
        </row>
        <row r="574">
          <cell r="A574">
            <v>1551461</v>
          </cell>
          <cell r="B574" t="str">
            <v>TW/4-101.00 P1 2UN CTN 1 BAG</v>
          </cell>
          <cell r="C574">
            <v>1561901</v>
          </cell>
        </row>
        <row r="575">
          <cell r="A575">
            <v>1551985</v>
          </cell>
          <cell r="B575" t="str">
            <v>TE/PE/D-47.60 P1 2UN CTN 1BAG</v>
          </cell>
          <cell r="C575">
            <v>1561901</v>
          </cell>
        </row>
        <row r="576">
          <cell r="A576">
            <v>1553100</v>
          </cell>
          <cell r="B576" t="str">
            <v>CI/D-144.50 P1 0.5UN CTN 1BAG</v>
          </cell>
          <cell r="C576">
            <v>1561901</v>
          </cell>
        </row>
        <row r="577">
          <cell r="A577">
            <v>1553125</v>
          </cell>
          <cell r="B577" t="str">
            <v>BC-67.001/.002 P1B 14UN CTN 1 BAG</v>
          </cell>
          <cell r="C577">
            <v>1561901</v>
          </cell>
        </row>
        <row r="578">
          <cell r="A578">
            <v>1553174</v>
          </cell>
          <cell r="B578" t="str">
            <v>BC/D-68.501/.502 P1B 14UN CTN 1 BAG</v>
          </cell>
          <cell r="C578">
            <v>1561901</v>
          </cell>
        </row>
        <row r="579">
          <cell r="A579">
            <v>1553652</v>
          </cell>
          <cell r="B579" t="str">
            <v>BE/D-136.60 P1 1UN CTN 1 BAG</v>
          </cell>
          <cell r="C579">
            <v>1561901</v>
          </cell>
        </row>
        <row r="580">
          <cell r="A580">
            <v>1562036</v>
          </cell>
          <cell r="B580" t="str">
            <v>GEN NIACINAMIDE CTN 20BAGS</v>
          </cell>
          <cell r="C580">
            <v>1561901</v>
          </cell>
        </row>
        <row r="581">
          <cell r="A581">
            <v>1562038</v>
          </cell>
          <cell r="B581" t="str">
            <v>GEN MALIC ACID CTN 20BAGS</v>
          </cell>
          <cell r="C581">
            <v>1561901</v>
          </cell>
        </row>
        <row r="582">
          <cell r="A582">
            <v>1562727</v>
          </cell>
          <cell r="B582" t="str">
            <v>AP/RA/N-8.002 P1B 4UN CTN 4 BAGS</v>
          </cell>
          <cell r="C582">
            <v>1561901</v>
          </cell>
        </row>
        <row r="583">
          <cell r="A583">
            <v>1562915</v>
          </cell>
          <cell r="B583" t="str">
            <v>OR/B/Q-698.73 P1N 40UN CTN 2 BAG</v>
          </cell>
          <cell r="C583">
            <v>1561901</v>
          </cell>
        </row>
        <row r="584">
          <cell r="A584">
            <v>1562918</v>
          </cell>
          <cell r="B584" t="str">
            <v>OR/B/Q-698.73 P1H 4UN CTN 2 BAG</v>
          </cell>
          <cell r="C584">
            <v>1561901</v>
          </cell>
        </row>
        <row r="585">
          <cell r="A585">
            <v>1562922</v>
          </cell>
          <cell r="B585" t="str">
            <v>FP/B/Q-144.72 P1M 40UN CTN 2 BAG</v>
          </cell>
          <cell r="C585">
            <v>1561901</v>
          </cell>
        </row>
        <row r="586">
          <cell r="A586">
            <v>1562925</v>
          </cell>
          <cell r="B586" t="str">
            <v>FP/B/Q-144.72 P1L 4UN CTN 2 BAG</v>
          </cell>
          <cell r="C586">
            <v>1561901</v>
          </cell>
        </row>
        <row r="587">
          <cell r="A587">
            <v>1564128</v>
          </cell>
          <cell r="B587" t="str">
            <v>ST/KW-11.00/.10/12.00 P1 20UN CTN 2 BAGS</v>
          </cell>
          <cell r="C587">
            <v>1561901</v>
          </cell>
        </row>
        <row r="588">
          <cell r="A588">
            <v>1564163</v>
          </cell>
          <cell r="B588" t="str">
            <v>RA/D/Q-96.50 P1M 20UN CTN 1 BAG</v>
          </cell>
          <cell r="C588">
            <v>1561901</v>
          </cell>
        </row>
        <row r="589">
          <cell r="A589">
            <v>1564165</v>
          </cell>
          <cell r="B589" t="str">
            <v>RA/D/Q-96.50 P1L 5UN CTN 2 BAGS</v>
          </cell>
          <cell r="C589">
            <v>1561901</v>
          </cell>
        </row>
        <row r="590">
          <cell r="A590">
            <v>1564169</v>
          </cell>
          <cell r="B590" t="str">
            <v>FP/D/Q-515.50 P1M 20UN CTN 1 BAG</v>
          </cell>
          <cell r="C590">
            <v>1561901</v>
          </cell>
        </row>
        <row r="591">
          <cell r="A591">
            <v>1564171</v>
          </cell>
          <cell r="B591" t="str">
            <v>FP/D/Q-515.50 P1L 5UN CTN 1 BAG</v>
          </cell>
          <cell r="C591">
            <v>1561901</v>
          </cell>
        </row>
        <row r="592">
          <cell r="A592">
            <v>1567621</v>
          </cell>
          <cell r="B592" t="str">
            <v>GV/B/Q/V-23.001 P1B 20UN CTN 1 BAG</v>
          </cell>
          <cell r="C592">
            <v>1561901</v>
          </cell>
        </row>
        <row r="593">
          <cell r="A593">
            <v>1568117</v>
          </cell>
          <cell r="B593" t="str">
            <v>CH/B/Q-93.00 P1H 4UN CTN 2 BAGS</v>
          </cell>
          <cell r="C593">
            <v>1561901</v>
          </cell>
        </row>
        <row r="594">
          <cell r="A594">
            <v>1568794</v>
          </cell>
          <cell r="B594" t="str">
            <v>ST/KW-11.00/12.00 P1 10UN CTN 1 BAG</v>
          </cell>
          <cell r="C594">
            <v>1561901</v>
          </cell>
        </row>
        <row r="595">
          <cell r="A595">
            <v>1568826</v>
          </cell>
          <cell r="B595" t="str">
            <v>BC/D-69.50 P1 0.5UN CTN 1 BAG</v>
          </cell>
          <cell r="C595">
            <v>1561901</v>
          </cell>
        </row>
        <row r="596">
          <cell r="A596">
            <v>1569102</v>
          </cell>
          <cell r="B596" t="str">
            <v>MN-134.001 P1B 65UN CTN 2 BAGS</v>
          </cell>
          <cell r="C596">
            <v>1561901</v>
          </cell>
        </row>
        <row r="597">
          <cell r="A597">
            <v>1572299</v>
          </cell>
          <cell r="B597" t="str">
            <v>FP/B/Q-144.72/CI/B/Q P1 4UN CTN 2 BAGS</v>
          </cell>
          <cell r="C597">
            <v>1561901</v>
          </cell>
        </row>
        <row r="598">
          <cell r="A598">
            <v>1572332</v>
          </cell>
          <cell r="B598" t="str">
            <v>TE/LE-125.103/106 P1B 12UN CTN 2BAG</v>
          </cell>
          <cell r="C598">
            <v>1561901</v>
          </cell>
        </row>
        <row r="599">
          <cell r="A599">
            <v>1572943</v>
          </cell>
          <cell r="B599" t="str">
            <v>ST/KW-12.001 P1B 20UN CTN 2 BAGS</v>
          </cell>
          <cell r="C599">
            <v>1561901</v>
          </cell>
        </row>
        <row r="600">
          <cell r="A600">
            <v>1574031</v>
          </cell>
          <cell r="B600" t="str">
            <v>BT/LE-88.002 P1B 4UN CTN 1 BAG</v>
          </cell>
          <cell r="C600">
            <v>1561901</v>
          </cell>
        </row>
        <row r="601">
          <cell r="A601">
            <v>1575575</v>
          </cell>
          <cell r="B601" t="str">
            <v>CI/B/Q-117.10 P1M 20UN CTN 2 BAG</v>
          </cell>
          <cell r="C601">
            <v>1561901</v>
          </cell>
        </row>
        <row r="602">
          <cell r="A602">
            <v>1575577</v>
          </cell>
          <cell r="B602" t="str">
            <v>CI/B/Q-117.10 P1H 4UN CTN 2 BAGS</v>
          </cell>
          <cell r="C602">
            <v>1561901</v>
          </cell>
        </row>
        <row r="603">
          <cell r="A603">
            <v>1581429</v>
          </cell>
          <cell r="B603" t="str">
            <v>BC/N-65.00 P1 10UN CTN 1 BAG</v>
          </cell>
          <cell r="C603">
            <v>1561901</v>
          </cell>
        </row>
        <row r="604">
          <cell r="A604">
            <v>1581819</v>
          </cell>
          <cell r="B604" t="str">
            <v>FL/GR-1.00 P1A 5UN CTN 1 BAG</v>
          </cell>
          <cell r="C604">
            <v>1561901</v>
          </cell>
        </row>
        <row r="605">
          <cell r="A605">
            <v>1583299</v>
          </cell>
          <cell r="B605" t="str">
            <v>LE/B-257.10/.12 P1 5UN CTN 2 BAGS</v>
          </cell>
          <cell r="C605">
            <v>1561901</v>
          </cell>
        </row>
        <row r="606">
          <cell r="A606">
            <v>1583423</v>
          </cell>
          <cell r="B606" t="str">
            <v>ML/HB-2.003 P1B 9UN CTN 1 BAG</v>
          </cell>
          <cell r="C606">
            <v>1561901</v>
          </cell>
        </row>
        <row r="607">
          <cell r="A607">
            <v>1587831</v>
          </cell>
          <cell r="B607" t="str">
            <v>FP/P/Q-502.00 P1M 2UN CTN 1BAG</v>
          </cell>
          <cell r="C607">
            <v>1561901</v>
          </cell>
        </row>
        <row r="608">
          <cell r="A608">
            <v>1587838</v>
          </cell>
          <cell r="B608" t="str">
            <v>MN/PF-11.001 P1B 10UN CTN 1 BAG</v>
          </cell>
          <cell r="C608">
            <v>1561901</v>
          </cell>
        </row>
        <row r="609">
          <cell r="A609">
            <v>1589251</v>
          </cell>
          <cell r="B609" t="str">
            <v>PRJ-0290087 V68 P1B 16UN CTN 2 BAGS</v>
          </cell>
          <cell r="C609">
            <v>1561901</v>
          </cell>
        </row>
        <row r="610">
          <cell r="A610">
            <v>1001543</v>
          </cell>
          <cell r="B610" t="str">
            <v>Q-CI-5.201 P1,1A,1C,1D,1E,1F 2.5UN CTN</v>
          </cell>
          <cell r="C610">
            <v>1561901</v>
          </cell>
        </row>
        <row r="611">
          <cell r="A611">
            <v>1001567</v>
          </cell>
          <cell r="B611" t="str">
            <v>WA-9.00 P1,2 10UN CTN 5 BAG</v>
          </cell>
          <cell r="C611">
            <v>1561901</v>
          </cell>
        </row>
        <row r="612">
          <cell r="A612">
            <v>1001823</v>
          </cell>
          <cell r="B612" t="str">
            <v>WA-9.000 P1,2 20UN CTN 4 BAG</v>
          </cell>
          <cell r="C612">
            <v>1561901</v>
          </cell>
        </row>
        <row r="613">
          <cell r="A613">
            <v>1001880</v>
          </cell>
          <cell r="B613" t="str">
            <v>CL/D-12.001 P1A,1B 20UN CTN 1 BAG</v>
          </cell>
          <cell r="C613">
            <v>1561901</v>
          </cell>
        </row>
        <row r="614">
          <cell r="A614">
            <v>1001882</v>
          </cell>
          <cell r="B614" t="str">
            <v>CL/D-12.001 P1A,1B 40UN 2 BAG/CTN</v>
          </cell>
          <cell r="C614">
            <v>1561901</v>
          </cell>
        </row>
        <row r="615">
          <cell r="A615">
            <v>1001960</v>
          </cell>
          <cell r="B615" t="str">
            <v>WA-16.00 P1,1C 10UN CTN 2 BAG</v>
          </cell>
          <cell r="C615">
            <v>1561901</v>
          </cell>
        </row>
        <row r="616">
          <cell r="A616">
            <v>1008966</v>
          </cell>
          <cell r="B616" t="str">
            <v>WA/LE-7.000 P1,1C 20UN CTN 4 BAG</v>
          </cell>
          <cell r="C616">
            <v>1561901</v>
          </cell>
        </row>
        <row r="617">
          <cell r="A617">
            <v>1011109</v>
          </cell>
          <cell r="B617" t="str">
            <v>OR/D-611.001 P1,1B 20UN CTN 2 BAGS</v>
          </cell>
          <cell r="C617">
            <v>1561901</v>
          </cell>
        </row>
        <row r="618">
          <cell r="A618">
            <v>1011142</v>
          </cell>
          <cell r="B618" t="str">
            <v>FP-53.003/FP-145.001 P1,1B 3UN CTN 1 BAG</v>
          </cell>
          <cell r="C618">
            <v>1561901</v>
          </cell>
        </row>
        <row r="619">
          <cell r="A619">
            <v>1012660</v>
          </cell>
          <cell r="B619" t="str">
            <v>WA-55.00 P1A,1C 40UN CTN 4 BAG</v>
          </cell>
          <cell r="C619">
            <v>1561901</v>
          </cell>
        </row>
        <row r="620">
          <cell r="A620">
            <v>1013576</v>
          </cell>
          <cell r="B620" t="str">
            <v>TE/LE-10.0011 P1A,1B 4UN CTN 1BAG</v>
          </cell>
          <cell r="C620">
            <v>1561901</v>
          </cell>
        </row>
        <row r="621">
          <cell r="A621">
            <v>1022188</v>
          </cell>
          <cell r="B621" t="str">
            <v>ML-3.001 P1,1B 8UN CTN 2BAG</v>
          </cell>
          <cell r="C621">
            <v>1561901</v>
          </cell>
        </row>
        <row r="622">
          <cell r="A622">
            <v>1032796</v>
          </cell>
          <cell r="B622" t="str">
            <v>TE/BC-1.10/.20 P1A,1C 4UN CTN 1 BAG</v>
          </cell>
          <cell r="C622">
            <v>1561901</v>
          </cell>
        </row>
        <row r="623">
          <cell r="A623">
            <v>1033332</v>
          </cell>
          <cell r="B623" t="str">
            <v>OR-491.001 P1,1D,1E 10UN 2 BAG</v>
          </cell>
          <cell r="C623">
            <v>1561901</v>
          </cell>
        </row>
        <row r="624">
          <cell r="A624">
            <v>1045459</v>
          </cell>
          <cell r="B624" t="str">
            <v>TE/PE-23.00/.10/.40 P1A,1C 4UN CTN 2 BAG</v>
          </cell>
          <cell r="C624">
            <v>1561901</v>
          </cell>
        </row>
        <row r="625">
          <cell r="A625">
            <v>1060256</v>
          </cell>
          <cell r="B625" t="str">
            <v>FP/6-210.001/.002/.003 P1,1B 2UN CTN 1BG</v>
          </cell>
          <cell r="C625">
            <v>1561901</v>
          </cell>
        </row>
        <row r="626">
          <cell r="A626">
            <v>1061622</v>
          </cell>
          <cell r="B626" t="str">
            <v>OR/D-56.711/.801 P1,1B,1C 5UN CTN 1BAG</v>
          </cell>
          <cell r="C626">
            <v>1561901</v>
          </cell>
        </row>
        <row r="627">
          <cell r="A627">
            <v>1085398</v>
          </cell>
          <cell r="B627" t="str">
            <v>GF/D-92.501 P1,1B 4UN CTN 1 BAG</v>
          </cell>
          <cell r="C627">
            <v>1561901</v>
          </cell>
        </row>
        <row r="628">
          <cell r="A628">
            <v>1085895</v>
          </cell>
          <cell r="B628" t="str">
            <v>FP-123.201/202 P1,1B 5UN CTN 1 BAG</v>
          </cell>
          <cell r="C628">
            <v>1561901</v>
          </cell>
        </row>
        <row r="629">
          <cell r="A629">
            <v>1093108</v>
          </cell>
          <cell r="B629" t="str">
            <v>FP/V-225.00/.01/297 P1G, P1F, P1H 3UN CN</v>
          </cell>
          <cell r="C629">
            <v>1561901</v>
          </cell>
        </row>
        <row r="630">
          <cell r="A630">
            <v>1096396</v>
          </cell>
          <cell r="B630" t="str">
            <v>MN/KW/V-1.002 P1,1A,1B,3 2UN CTN 1 BAG</v>
          </cell>
          <cell r="C630">
            <v>1561901</v>
          </cell>
        </row>
        <row r="631">
          <cell r="A631">
            <v>1120123</v>
          </cell>
          <cell r="B631" t="str">
            <v>FP-145.002 P1,1B 3UN CTN 1 BAG</v>
          </cell>
          <cell r="C631">
            <v>1561901</v>
          </cell>
        </row>
        <row r="632">
          <cell r="A632">
            <v>1122395</v>
          </cell>
          <cell r="B632" t="str">
            <v>WA/M-35.10 P1,1A,1C 5UN CTN 1 BAG</v>
          </cell>
          <cell r="C632">
            <v>1561901</v>
          </cell>
        </row>
        <row r="633">
          <cell r="A633">
            <v>1129799</v>
          </cell>
          <cell r="B633" t="str">
            <v>OR/D-1156.501/939.501 P1,1B 8UN CTN 1BAG</v>
          </cell>
          <cell r="C633">
            <v>1561901</v>
          </cell>
        </row>
        <row r="634">
          <cell r="A634">
            <v>1131994</v>
          </cell>
          <cell r="B634" t="str">
            <v>TE/LE-82.101/PE-28.101 P1,1A,1B 3UN CTN</v>
          </cell>
          <cell r="C634">
            <v>1561901</v>
          </cell>
        </row>
        <row r="635">
          <cell r="A635">
            <v>1148902</v>
          </cell>
          <cell r="B635" t="str">
            <v>TE/PE/-27.50/HB/D-36.5 P1,3 3UN CTN 1BAG</v>
          </cell>
          <cell r="C635">
            <v>1561901</v>
          </cell>
        </row>
        <row r="636">
          <cell r="A636">
            <v>1180800</v>
          </cell>
          <cell r="B636" t="str">
            <v>WA/LI/V-4.01 P1,1C,1D 5UN CTN 1 BAG</v>
          </cell>
          <cell r="C636">
            <v>1561901</v>
          </cell>
        </row>
        <row r="637">
          <cell r="A637">
            <v>1185512</v>
          </cell>
          <cell r="B637" t="str">
            <v>LE/D-392.501 LE/A/D-536.60P3,1B 16UN CTN</v>
          </cell>
          <cell r="C637">
            <v>1561901</v>
          </cell>
        </row>
        <row r="638">
          <cell r="A638">
            <v>1198629</v>
          </cell>
          <cell r="B638" t="str">
            <v>RB/B-57.101/59.001 P1,3,1B 10UN CTN 1 BG</v>
          </cell>
          <cell r="C638">
            <v>1561901</v>
          </cell>
        </row>
        <row r="639">
          <cell r="A639">
            <v>1205814</v>
          </cell>
          <cell r="B639" t="str">
            <v>OR/D-955.501/.502 P1,3,1B 2.5UN CTN 1BAG</v>
          </cell>
          <cell r="C639">
            <v>1561901</v>
          </cell>
        </row>
        <row r="640">
          <cell r="A640">
            <v>1221935</v>
          </cell>
          <cell r="B640" t="str">
            <v>GF/D-78.011 P1K,1B 4UN CTN 4 BAG</v>
          </cell>
          <cell r="C640">
            <v>1561901</v>
          </cell>
        </row>
        <row r="641">
          <cell r="A641">
            <v>1224919</v>
          </cell>
          <cell r="B641" t="str">
            <v>LL/D-128.501 P1K,1B,1D,3  2UN CTN 1 BAG</v>
          </cell>
          <cell r="C641">
            <v>1561901</v>
          </cell>
        </row>
        <row r="642">
          <cell r="A642">
            <v>1231046</v>
          </cell>
          <cell r="B642" t="str">
            <v>OR/D-639.501 P1,1C,1B 2UN CTN 1 BAG</v>
          </cell>
          <cell r="C642">
            <v>1561901</v>
          </cell>
        </row>
        <row r="643">
          <cell r="A643">
            <v>1231310</v>
          </cell>
          <cell r="B643" t="str">
            <v>TO/J-18.01 P1C,1 1UN CTN 1 BAG</v>
          </cell>
          <cell r="C643">
            <v>1561901</v>
          </cell>
        </row>
        <row r="644">
          <cell r="A644">
            <v>1233608</v>
          </cell>
          <cell r="B644" t="str">
            <v>WA/RA/M-4./5/WA/AP/M3./WA/LI/M4 P1,1C 10</v>
          </cell>
          <cell r="C644">
            <v>1561901</v>
          </cell>
        </row>
        <row r="645">
          <cell r="A645">
            <v>1235007</v>
          </cell>
          <cell r="B645" t="str">
            <v>OR/B-42.901 P1K,3,1B 5UN CTN 1 BAG</v>
          </cell>
          <cell r="C645">
            <v>1561901</v>
          </cell>
        </row>
        <row r="646">
          <cell r="A646">
            <v>1240607</v>
          </cell>
          <cell r="B646" t="str">
            <v>BL/BE-1.005 P1A,1B,1K 3UN CTN 1 BAG</v>
          </cell>
          <cell r="C646">
            <v>1561901</v>
          </cell>
        </row>
        <row r="647">
          <cell r="A647">
            <v>1244015</v>
          </cell>
          <cell r="B647" t="str">
            <v>OR/PA-23.001/2/3/4  P1D,1,1B 4UN CTN 1BG</v>
          </cell>
          <cell r="C647">
            <v>1561901</v>
          </cell>
        </row>
        <row r="648">
          <cell r="A648">
            <v>1244019</v>
          </cell>
          <cell r="B648" t="str">
            <v>AP/PR-8.001/2/4/5  P1D,1,1B 4UN CTN 1BAG</v>
          </cell>
          <cell r="C648">
            <v>1561901</v>
          </cell>
        </row>
        <row r="649">
          <cell r="A649">
            <v>1250923</v>
          </cell>
          <cell r="B649" t="str">
            <v>AC/N-45.00 P1,1C 8UN CTN 2 BAG</v>
          </cell>
          <cell r="C649">
            <v>1561901</v>
          </cell>
        </row>
        <row r="650">
          <cell r="A650">
            <v>1255397</v>
          </cell>
          <cell r="B650" t="str">
            <v>LL/D-115.611 P1,1B 5UN CTN 1 BAG</v>
          </cell>
          <cell r="C650">
            <v>1561901</v>
          </cell>
        </row>
        <row r="651">
          <cell r="A651">
            <v>1262136</v>
          </cell>
          <cell r="B651" t="str">
            <v>RA/OR/D-1.501/.601/3.501 P3,P1B 10UN CTN</v>
          </cell>
          <cell r="C651">
            <v>1561901</v>
          </cell>
        </row>
        <row r="652">
          <cell r="A652">
            <v>1264434</v>
          </cell>
          <cell r="B652" t="str">
            <v>TW/4-104.002/.3/.4/.8/101.002/.4 P1,1B 2</v>
          </cell>
          <cell r="C652">
            <v>1561901</v>
          </cell>
        </row>
        <row r="653">
          <cell r="A653">
            <v>1280214</v>
          </cell>
          <cell r="B653" t="str">
            <v>OR/D-1018.501 P1,1B,3  2.5UN CTN 1 BAG</v>
          </cell>
          <cell r="C653">
            <v>1561901</v>
          </cell>
        </row>
        <row r="654">
          <cell r="A654">
            <v>1285974</v>
          </cell>
          <cell r="B654" t="str">
            <v>CH/D-30.501 P1,1A, 3, 1B 5UN CTN 1 BAG</v>
          </cell>
          <cell r="C654">
            <v>1561901</v>
          </cell>
        </row>
        <row r="655">
          <cell r="A655">
            <v>1299012</v>
          </cell>
          <cell r="B655" t="str">
            <v>LE/D-289.501 P1,1B 5UN CTN 1BAG</v>
          </cell>
          <cell r="C655">
            <v>1561901</v>
          </cell>
        </row>
        <row r="656">
          <cell r="A656">
            <v>1303835</v>
          </cell>
          <cell r="B656" t="str">
            <v>OR/D-572.901/.902 P1,1B,3 2UN CTN 1BAG</v>
          </cell>
          <cell r="C656">
            <v>1561901</v>
          </cell>
        </row>
        <row r="657">
          <cell r="A657">
            <v>1303947</v>
          </cell>
          <cell r="B657" t="str">
            <v>LE/D-442.501 P1,1B,3 4UN CTN 1 BAG</v>
          </cell>
          <cell r="C657">
            <v>1561901</v>
          </cell>
        </row>
        <row r="658">
          <cell r="A658">
            <v>1304704</v>
          </cell>
          <cell r="B658" t="str">
            <v>GR/B-152.101/G-152.201 P1K,1B4UN CTN1BAG</v>
          </cell>
          <cell r="C658">
            <v>1561901</v>
          </cell>
        </row>
        <row r="659">
          <cell r="A659">
            <v>1306095</v>
          </cell>
          <cell r="B659" t="str">
            <v>FP/N-146.30 P1,1A,1C 2.5UN CTN 1 BAG</v>
          </cell>
          <cell r="C659">
            <v>1561901</v>
          </cell>
        </row>
        <row r="660">
          <cell r="A660">
            <v>1306536</v>
          </cell>
          <cell r="B660" t="str">
            <v>OR-1025.101/.102/.103/.201/OR P1,1B 8UN</v>
          </cell>
          <cell r="C660">
            <v>1561901</v>
          </cell>
        </row>
        <row r="661">
          <cell r="A661">
            <v>1307119</v>
          </cell>
          <cell r="B661" t="str">
            <v>WA-55.00 P1A,1C 40UN CTN 8 BAGS</v>
          </cell>
          <cell r="C661">
            <v>1561901</v>
          </cell>
        </row>
        <row r="662">
          <cell r="A662">
            <v>1307334</v>
          </cell>
          <cell r="B662" t="str">
            <v>TW/4-101.004 P1,1B 2UN CTN 1 BAG</v>
          </cell>
          <cell r="C662">
            <v>1561901</v>
          </cell>
        </row>
        <row r="663">
          <cell r="A663">
            <v>1307996</v>
          </cell>
          <cell r="B663" t="str">
            <v>HB-1.003/HBDV-1.5 P1B,1C,1D 8UN</v>
          </cell>
          <cell r="C663">
            <v>1561901</v>
          </cell>
        </row>
        <row r="664">
          <cell r="A664">
            <v>1308093</v>
          </cell>
          <cell r="B664" t="str">
            <v>PA/GF/B-25.303/.304 P1,P1B,P3 2UN CTN</v>
          </cell>
          <cell r="C664">
            <v>1561901</v>
          </cell>
        </row>
        <row r="665">
          <cell r="A665">
            <v>1308655</v>
          </cell>
          <cell r="B665" t="str">
            <v>WA/PR/G-1.001/M-1.1 P1,1B 8UN CTN 2 BAGS</v>
          </cell>
          <cell r="C665">
            <v>1561901</v>
          </cell>
        </row>
        <row r="666">
          <cell r="A666">
            <v>1309395</v>
          </cell>
          <cell r="B666" t="str">
            <v>WA/LE/G-17.001/M-17 P1,1B 8UN CTN 2 BAGS</v>
          </cell>
          <cell r="C666">
            <v>1561901</v>
          </cell>
        </row>
        <row r="667">
          <cell r="A667">
            <v>1310904</v>
          </cell>
          <cell r="B667" t="str">
            <v>OR/V-988.101/2 P1,1C,1E,1B 2.5UN CTN 1BG</v>
          </cell>
          <cell r="C667">
            <v>1561901</v>
          </cell>
        </row>
        <row r="668">
          <cell r="A668">
            <v>1310922</v>
          </cell>
          <cell r="B668" t="str">
            <v>FP/V-287.40 P1,1A 2UN CTN 1 BAG</v>
          </cell>
          <cell r="C668">
            <v>1561901</v>
          </cell>
        </row>
        <row r="669">
          <cell r="A669">
            <v>1311095</v>
          </cell>
          <cell r="B669" t="str">
            <v>OR/PF/B-12.002 P1,1B,3 4UN CTN 1 BAG</v>
          </cell>
          <cell r="C669">
            <v>1561901</v>
          </cell>
        </row>
        <row r="670">
          <cell r="A670">
            <v>1312496</v>
          </cell>
          <cell r="B670" t="str">
            <v>AP-40.202 P1,1B 5UN CTN 1 BAG</v>
          </cell>
          <cell r="C670">
            <v>1561901</v>
          </cell>
        </row>
        <row r="671">
          <cell r="A671">
            <v>1312695</v>
          </cell>
          <cell r="B671" t="str">
            <v>MA-78 .001 P1,1B 5UN CTN 1BAG</v>
          </cell>
          <cell r="C671">
            <v>1561901</v>
          </cell>
        </row>
        <row r="672">
          <cell r="A672">
            <v>1314407</v>
          </cell>
          <cell r="B672" t="str">
            <v>MN/KW/V-1.011 P1,1A,1B,3 2UN CTN 1 BAG</v>
          </cell>
          <cell r="C672">
            <v>1561901</v>
          </cell>
        </row>
        <row r="673">
          <cell r="A673">
            <v>1315623</v>
          </cell>
          <cell r="B673" t="str">
            <v>OR/B-900.101 P1,1B,3 4UN CTN 1 BAG</v>
          </cell>
          <cell r="C673">
            <v>1561901</v>
          </cell>
        </row>
        <row r="674">
          <cell r="A674">
            <v>1319856</v>
          </cell>
          <cell r="B674" t="str">
            <v>FP/N-253.101 P1,1B 1.5UN CTN 1BAG</v>
          </cell>
          <cell r="C674">
            <v>1561901</v>
          </cell>
        </row>
        <row r="675">
          <cell r="A675">
            <v>1320937</v>
          </cell>
          <cell r="B675" t="str">
            <v>GR/J-182.00 P1,1C 2UN CTN 2BAGS</v>
          </cell>
          <cell r="C675">
            <v>1561901</v>
          </cell>
        </row>
        <row r="676">
          <cell r="A676">
            <v>1322211</v>
          </cell>
          <cell r="B676" t="str">
            <v>AP/BC/N-6.201 P1,1B 1.5UN CTN 1BAG</v>
          </cell>
          <cell r="C676">
            <v>1561901</v>
          </cell>
        </row>
        <row r="677">
          <cell r="A677">
            <v>1322800</v>
          </cell>
          <cell r="B677" t="str">
            <v>LE-168.005 P1,1B 2.5UN CTN 1 BAG</v>
          </cell>
          <cell r="C677">
            <v>1561901</v>
          </cell>
        </row>
        <row r="678">
          <cell r="A678">
            <v>1323602</v>
          </cell>
          <cell r="B678" t="str">
            <v>TE/PE/D-29.501/.502 P1,1B,1C,3 2U CT 1BG</v>
          </cell>
          <cell r="C678">
            <v>1561901</v>
          </cell>
        </row>
        <row r="679">
          <cell r="A679">
            <v>1323750</v>
          </cell>
          <cell r="B679" t="str">
            <v>MA-59.201/.202 P1,1B,1C 8UN CTN 2 BAGS</v>
          </cell>
          <cell r="C679">
            <v>1561901</v>
          </cell>
        </row>
        <row r="680">
          <cell r="A680">
            <v>1323756</v>
          </cell>
          <cell r="B680" t="str">
            <v>LE/G-310.201/LI/G-99 P1,1B,1C 8UN CN 2 B</v>
          </cell>
          <cell r="C680">
            <v>1561901</v>
          </cell>
        </row>
        <row r="681">
          <cell r="A681">
            <v>1324719</v>
          </cell>
          <cell r="B681" t="str">
            <v>ST-143.001 P1,1A,1B 4UN CTN 1BAG</v>
          </cell>
          <cell r="C681">
            <v>1561901</v>
          </cell>
        </row>
        <row r="682">
          <cell r="A682">
            <v>1325987</v>
          </cell>
          <cell r="B682" t="str">
            <v>BC-50.001 P1,1B 2UN CTN 1 BAG</v>
          </cell>
          <cell r="C682">
            <v>1561901</v>
          </cell>
        </row>
        <row r="683">
          <cell r="A683">
            <v>1326705</v>
          </cell>
          <cell r="B683" t="str">
            <v>PA/GR/J-2.00 P1,1A 2UN CTN 1BAG</v>
          </cell>
          <cell r="C683">
            <v>1561901</v>
          </cell>
        </row>
        <row r="684">
          <cell r="A684">
            <v>1327325</v>
          </cell>
          <cell r="B684" t="str">
            <v>BT/LL-1.101/PA-254.001 P1,1B 5UN CTN 1BG</v>
          </cell>
          <cell r="C684">
            <v>1561901</v>
          </cell>
        </row>
        <row r="685">
          <cell r="A685">
            <v>1327539</v>
          </cell>
          <cell r="B685" t="str">
            <v>FP-362.001 P1,1B 4UN CTN 1BAG</v>
          </cell>
          <cell r="C685">
            <v>1561901</v>
          </cell>
        </row>
        <row r="686">
          <cell r="A686">
            <v>1328299</v>
          </cell>
          <cell r="B686" t="str">
            <v>LE-445.001/LE-482.001 P1,1B 8UN CTN 1BAG</v>
          </cell>
          <cell r="C686">
            <v>1561901</v>
          </cell>
        </row>
        <row r="687">
          <cell r="A687">
            <v>1328526</v>
          </cell>
          <cell r="B687" t="str">
            <v>OR-567.002 P1K,1B 4UN CTN 1BAG</v>
          </cell>
          <cell r="C687">
            <v>1561901</v>
          </cell>
        </row>
        <row r="688">
          <cell r="A688">
            <v>1329137</v>
          </cell>
          <cell r="B688" t="str">
            <v>LE-376.002 P1,P1B 3.5UN CTN 1 BAG</v>
          </cell>
          <cell r="C688">
            <v>1561901</v>
          </cell>
        </row>
        <row r="689">
          <cell r="A689">
            <v>1329335</v>
          </cell>
          <cell r="B689" t="str">
            <v>LE-51.202 P1, 1B 6.7716UN CTN 2 BAGS</v>
          </cell>
          <cell r="C689">
            <v>1561901</v>
          </cell>
        </row>
        <row r="690">
          <cell r="A690">
            <v>1329415</v>
          </cell>
          <cell r="B690" t="str">
            <v>PA/V-204.002 P1,1B 1UN CTN 1 BAG</v>
          </cell>
          <cell r="C690">
            <v>1561901</v>
          </cell>
        </row>
        <row r="691">
          <cell r="A691">
            <v>1334700</v>
          </cell>
          <cell r="B691" t="str">
            <v>OR-1078.001/.003 P1,1B 4UN CTN 1 BAG</v>
          </cell>
          <cell r="C691">
            <v>1561901</v>
          </cell>
        </row>
        <row r="692">
          <cell r="A692">
            <v>1334740</v>
          </cell>
          <cell r="B692" t="str">
            <v>OR/A/N-773.20/30/40 P1,1B 1.5UN CTN 1BAG</v>
          </cell>
          <cell r="C692">
            <v>1561901</v>
          </cell>
        </row>
        <row r="693">
          <cell r="A693">
            <v>1335006</v>
          </cell>
          <cell r="B693" t="str">
            <v>LE/A-361.002/.004 P1K,1B 2.5UN CTN 1 BAG</v>
          </cell>
          <cell r="C693">
            <v>1561901</v>
          </cell>
        </row>
        <row r="694">
          <cell r="A694">
            <v>1335134</v>
          </cell>
          <cell r="B694" t="str">
            <v>OR/A-515.103/.105 P1K,1B 2UN CTN 1 BAG</v>
          </cell>
          <cell r="C694">
            <v>1561901</v>
          </cell>
        </row>
        <row r="695">
          <cell r="A695">
            <v>1339196</v>
          </cell>
          <cell r="B695" t="str">
            <v>PA/V-204.004/.005 P1U,1B,1C,1G 6UN CT</v>
          </cell>
          <cell r="C695">
            <v>1561901</v>
          </cell>
        </row>
        <row r="696">
          <cell r="A696">
            <v>1340209</v>
          </cell>
          <cell r="B696" t="str">
            <v>FP-371.001 P1,1B 5UN CTN 1 BAG</v>
          </cell>
          <cell r="C696">
            <v>1561901</v>
          </cell>
        </row>
        <row r="697">
          <cell r="A697">
            <v>1340229</v>
          </cell>
          <cell r="B697" t="str">
            <v>LE/PF/B-4.002 P1K,1B,3 4UN CTN 2 BAG</v>
          </cell>
          <cell r="C697">
            <v>1561901</v>
          </cell>
        </row>
        <row r="698">
          <cell r="A698">
            <v>1340313</v>
          </cell>
          <cell r="B698" t="str">
            <v>LL/G-143./CB/G-20/GF/G-241. P1,1B 5UN 1B</v>
          </cell>
          <cell r="C698">
            <v>1561901</v>
          </cell>
        </row>
        <row r="699">
          <cell r="A699">
            <v>1341421</v>
          </cell>
          <cell r="B699" t="str">
            <v>FV/A/D-65.50 P1D,1E,1F 4UN CTN 1 BAG</v>
          </cell>
          <cell r="C699">
            <v>1561901</v>
          </cell>
        </row>
        <row r="700">
          <cell r="A700">
            <v>1342505</v>
          </cell>
          <cell r="B700" t="str">
            <v>LE-292.101 P1, P1B 2UN CTN 1 BAG</v>
          </cell>
          <cell r="C700">
            <v>1561901</v>
          </cell>
        </row>
        <row r="701">
          <cell r="A701">
            <v>1342528</v>
          </cell>
          <cell r="B701" t="str">
            <v>OR-1088.001 P1,1B 8UN CTN 1 BAG</v>
          </cell>
          <cell r="C701">
            <v>1561901</v>
          </cell>
        </row>
        <row r="702">
          <cell r="A702">
            <v>1343295</v>
          </cell>
          <cell r="B702" t="str">
            <v>PA/V-204.014/.015/.016 P1U,1B,1C,1G 6UN</v>
          </cell>
          <cell r="C702">
            <v>1561901</v>
          </cell>
        </row>
        <row r="703">
          <cell r="A703">
            <v>1343299</v>
          </cell>
          <cell r="B703" t="str">
            <v>PA/V-204.102/103 P1U,1B,1C,1G 6UN CT</v>
          </cell>
          <cell r="C703">
            <v>1561901</v>
          </cell>
        </row>
        <row r="704">
          <cell r="A704">
            <v>1343311</v>
          </cell>
          <cell r="B704" t="str">
            <v>PA/V-204.104 P1U,1B,1C,1G 6UN CTN</v>
          </cell>
          <cell r="C704">
            <v>1561901</v>
          </cell>
        </row>
        <row r="705">
          <cell r="A705">
            <v>1343312</v>
          </cell>
          <cell r="B705" t="str">
            <v>PA/V-204.302/304 P1U,1B,1C 6UN CTN 1 BAG</v>
          </cell>
          <cell r="C705">
            <v>1561901</v>
          </cell>
        </row>
        <row r="706">
          <cell r="A706">
            <v>1344606</v>
          </cell>
          <cell r="B706" t="str">
            <v>PA-204.201 P1U,1B 6UN CTN 1 BAG</v>
          </cell>
          <cell r="C706">
            <v>1561901</v>
          </cell>
        </row>
        <row r="707">
          <cell r="A707">
            <v>1344755</v>
          </cell>
          <cell r="B707" t="str">
            <v>OR-1087.001/.004/1273.001 P1,1B 5UN CTN</v>
          </cell>
          <cell r="C707">
            <v>1561901</v>
          </cell>
        </row>
        <row r="708">
          <cell r="A708">
            <v>1344764</v>
          </cell>
          <cell r="B708" t="str">
            <v>TE/AP-11.101/102 P1,1C,P1B 4UN CTN 2 BGS</v>
          </cell>
          <cell r="C708">
            <v>1561901</v>
          </cell>
        </row>
        <row r="709">
          <cell r="A709">
            <v>1345410</v>
          </cell>
          <cell r="B709" t="str">
            <v>FP/V-297.01 P1G, P1F 3UN CTN 1 BAG</v>
          </cell>
          <cell r="C709">
            <v>1561901</v>
          </cell>
        </row>
        <row r="710">
          <cell r="A710">
            <v>1345479</v>
          </cell>
          <cell r="B710" t="str">
            <v>BE-30.802 P1,1B 2.5UN CTN 1 BAG</v>
          </cell>
          <cell r="C710">
            <v>1561901</v>
          </cell>
        </row>
        <row r="711">
          <cell r="A711">
            <v>1345495</v>
          </cell>
          <cell r="B711" t="str">
            <v>OR-645.002 P1,1B,1C 8UN CTN 2 BAGS</v>
          </cell>
          <cell r="C711">
            <v>1561901</v>
          </cell>
        </row>
        <row r="712">
          <cell r="A712">
            <v>1347106</v>
          </cell>
          <cell r="B712" t="str">
            <v>WA/PE/M-2.00 P1,1C 10UN CTN 1 BAG</v>
          </cell>
          <cell r="C712">
            <v>1561901</v>
          </cell>
        </row>
        <row r="713">
          <cell r="A713">
            <v>1347607</v>
          </cell>
          <cell r="B713" t="str">
            <v>AP/D-308.501/.511 P3,1B 10UN CTN 2 BAGS</v>
          </cell>
          <cell r="C713">
            <v>1561901</v>
          </cell>
        </row>
        <row r="714">
          <cell r="A714">
            <v>1347939</v>
          </cell>
          <cell r="B714" t="str">
            <v>LE-457.001 P1,1B 3UN CTN 1 BAG</v>
          </cell>
          <cell r="C714">
            <v>1561901</v>
          </cell>
        </row>
        <row r="715">
          <cell r="A715">
            <v>1347945</v>
          </cell>
          <cell r="B715" t="str">
            <v>OR-1094.001/1116.001 P1,1B 2UN CTN 1 BAG</v>
          </cell>
          <cell r="C715">
            <v>1561901</v>
          </cell>
        </row>
        <row r="716">
          <cell r="A716">
            <v>1349023</v>
          </cell>
          <cell r="B716" t="str">
            <v>WA/CB/V-2.30 P1,1C,1D 5UN CTN 1BAG</v>
          </cell>
          <cell r="C716">
            <v>1561901</v>
          </cell>
        </row>
        <row r="717">
          <cell r="A717">
            <v>1349536</v>
          </cell>
          <cell r="B717" t="str">
            <v>CB-20.011 LL-143.011 P1,1B 4UN 4BAGS</v>
          </cell>
          <cell r="C717">
            <v>1561901</v>
          </cell>
        </row>
        <row r="718">
          <cell r="A718">
            <v>1349803</v>
          </cell>
          <cell r="B718" t="str">
            <v>OR-515.002 P1B,1F,1K 2UN 1 BAG</v>
          </cell>
          <cell r="C718">
            <v>1561901</v>
          </cell>
        </row>
        <row r="719">
          <cell r="A719">
            <v>1349996</v>
          </cell>
          <cell r="B719" t="str">
            <v>LE-168.006 P1,1B 2.5UN CTN 1 BAG</v>
          </cell>
          <cell r="C719">
            <v>1561901</v>
          </cell>
        </row>
        <row r="720">
          <cell r="A720">
            <v>1351630</v>
          </cell>
          <cell r="B720" t="str">
            <v>OR-639.101 P1,1B,1C 2UN CTN 1 BAG</v>
          </cell>
          <cell r="C720">
            <v>1561901</v>
          </cell>
        </row>
        <row r="721">
          <cell r="A721">
            <v>1352617</v>
          </cell>
          <cell r="B721" t="str">
            <v>LI/RA-1.001/.002 P1D,1,1B 4UN CTN 1BAG</v>
          </cell>
          <cell r="C721">
            <v>1561901</v>
          </cell>
        </row>
        <row r="722">
          <cell r="A722">
            <v>1353218</v>
          </cell>
          <cell r="B722" t="str">
            <v>LE-445.201 P1,1B 4UN CTN 1 BAG</v>
          </cell>
          <cell r="C722">
            <v>1561901</v>
          </cell>
        </row>
        <row r="723">
          <cell r="A723">
            <v>1353224</v>
          </cell>
          <cell r="B723" t="str">
            <v>PF-47.002 P1,1B 10UN CTN 1 BAG</v>
          </cell>
          <cell r="C723">
            <v>1561901</v>
          </cell>
        </row>
        <row r="724">
          <cell r="A724">
            <v>1357848</v>
          </cell>
          <cell r="B724" t="str">
            <v>TW-40.097 P1,1B 2.5UN CTN 1 BAG</v>
          </cell>
          <cell r="C724">
            <v>1561901</v>
          </cell>
        </row>
        <row r="725">
          <cell r="A725">
            <v>1358012</v>
          </cell>
          <cell r="B725" t="str">
            <v>OR-1096.001 P1, P1B 4UN CTN 1 BAG</v>
          </cell>
          <cell r="C725">
            <v>1561901</v>
          </cell>
        </row>
        <row r="726">
          <cell r="A726">
            <v>1358017</v>
          </cell>
          <cell r="B726" t="str">
            <v>BT/HB-7.005 P1, P1B 4UN CTN 1 BAG</v>
          </cell>
          <cell r="C726">
            <v>1561901</v>
          </cell>
        </row>
        <row r="727">
          <cell r="A727">
            <v>1358023</v>
          </cell>
          <cell r="B727" t="str">
            <v>BT/OR-1.101 P1,1B 5UN CTN 1 BAG</v>
          </cell>
          <cell r="C727">
            <v>1561901</v>
          </cell>
        </row>
        <row r="728">
          <cell r="A728">
            <v>1359315</v>
          </cell>
          <cell r="B728" t="str">
            <v>FP-373.101/.102 P1,1B 5UN CTN 1 BAG</v>
          </cell>
          <cell r="C728">
            <v>1561901</v>
          </cell>
        </row>
        <row r="729">
          <cell r="A729">
            <v>1359828</v>
          </cell>
          <cell r="B729" t="str">
            <v>CI-20.601 P1,1B,1C,1D 1UN CTN 1BAG</v>
          </cell>
          <cell r="C729">
            <v>1561901</v>
          </cell>
        </row>
        <row r="730">
          <cell r="A730">
            <v>1359835</v>
          </cell>
          <cell r="B730" t="str">
            <v>TW-40.097 P1,1B 2UN CTN 1 BAG</v>
          </cell>
          <cell r="C730">
            <v>1561901</v>
          </cell>
        </row>
        <row r="731">
          <cell r="A731">
            <v>1360514</v>
          </cell>
          <cell r="B731" t="str">
            <v>TW-40.098 P1,1B 2UN CTN 1 BAG</v>
          </cell>
          <cell r="C731">
            <v>1561901</v>
          </cell>
        </row>
        <row r="732">
          <cell r="A732">
            <v>1360646</v>
          </cell>
          <cell r="B732" t="str">
            <v>CR-68.002/D-68.501 P1,1B 5UN CTN 1 BAG</v>
          </cell>
          <cell r="C732">
            <v>1561901</v>
          </cell>
        </row>
        <row r="733">
          <cell r="A733">
            <v>1360732</v>
          </cell>
          <cell r="B733" t="str">
            <v>AP/N-132.101 P1,1B 4UN CTN 1BAG</v>
          </cell>
          <cell r="C733">
            <v>1561901</v>
          </cell>
        </row>
        <row r="734">
          <cell r="A734">
            <v>1361692</v>
          </cell>
          <cell r="B734" t="str">
            <v>OR-1114.001 P1,1B 5UN CTN 1 BAG</v>
          </cell>
          <cell r="C734">
            <v>1561901</v>
          </cell>
        </row>
        <row r="735">
          <cell r="A735">
            <v>1362732</v>
          </cell>
          <cell r="B735" t="str">
            <v>OR-1090.002/3 P1,1B 4UN CTN 1 BAG (RTD)</v>
          </cell>
          <cell r="C735">
            <v>1561901</v>
          </cell>
        </row>
        <row r="736">
          <cell r="A736">
            <v>1362895</v>
          </cell>
          <cell r="B736" t="str">
            <v>OR/MN-25.001 P1,1B 4UN CTN 1 BAG</v>
          </cell>
          <cell r="C736">
            <v>1561901</v>
          </cell>
        </row>
        <row r="737">
          <cell r="A737">
            <v>1365799</v>
          </cell>
          <cell r="B737" t="str">
            <v>MA-78.003 P1,1B 5UN CTN 1BAG</v>
          </cell>
          <cell r="C737">
            <v>1561901</v>
          </cell>
        </row>
        <row r="738">
          <cell r="A738">
            <v>1365935</v>
          </cell>
          <cell r="B738" t="str">
            <v>PA/V-176.601 P1E,1C,1F,1B 4UN CTN 1 BAG</v>
          </cell>
          <cell r="C738">
            <v>1561901</v>
          </cell>
        </row>
        <row r="739">
          <cell r="A739">
            <v>1366102</v>
          </cell>
          <cell r="B739" t="str">
            <v>LE-88.402 P1,1B 5UN CTN 1BAG</v>
          </cell>
          <cell r="C739">
            <v>1561901</v>
          </cell>
        </row>
        <row r="740">
          <cell r="A740">
            <v>1366142</v>
          </cell>
          <cell r="B740" t="str">
            <v>CI-112.001 P1D,1B 2UN CTN 1 BAG</v>
          </cell>
          <cell r="C740">
            <v>1561901</v>
          </cell>
        </row>
        <row r="741">
          <cell r="A741">
            <v>1367227</v>
          </cell>
          <cell r="B741" t="str">
            <v>OR-56.911 P1,1B,1C 5UN CTN 1 BAG</v>
          </cell>
          <cell r="C741">
            <v>1561901</v>
          </cell>
        </row>
        <row r="742">
          <cell r="A742">
            <v>1367233</v>
          </cell>
          <cell r="B742" t="str">
            <v>OR-56.902 P1,1B,1C 5UN CTN 1 BAG</v>
          </cell>
          <cell r="C742">
            <v>1561901</v>
          </cell>
        </row>
        <row r="743">
          <cell r="A743">
            <v>1367598</v>
          </cell>
          <cell r="B743" t="str">
            <v>FP/V-224.012 P1A,1B,1E 3UN CTN 1 BAG</v>
          </cell>
          <cell r="C743">
            <v>1561901</v>
          </cell>
        </row>
        <row r="744">
          <cell r="A744">
            <v>1368254</v>
          </cell>
          <cell r="B744" t="str">
            <v>WA/AP/G-4.001/.002 P1,1B 8 UN, 2 BAGS</v>
          </cell>
          <cell r="C744">
            <v>1561901</v>
          </cell>
        </row>
        <row r="745">
          <cell r="A745">
            <v>1369387</v>
          </cell>
          <cell r="B745" t="str">
            <v>OR/D-56.131 P1,1B,1C,3 3UN CNT 1 BAG</v>
          </cell>
          <cell r="C745">
            <v>1561901</v>
          </cell>
        </row>
        <row r="746">
          <cell r="A746">
            <v>1376715</v>
          </cell>
          <cell r="B746" t="str">
            <v>BT/LE-84.001/.101 P1,1C,1B 4UN CTN 1BAG</v>
          </cell>
          <cell r="C746">
            <v>1561901</v>
          </cell>
        </row>
        <row r="747">
          <cell r="A747">
            <v>1377213</v>
          </cell>
          <cell r="B747" t="str">
            <v>LE/B-469.001 P1,P1B,P3 8UN CTN 1BAG</v>
          </cell>
          <cell r="C747">
            <v>1561901</v>
          </cell>
        </row>
        <row r="748">
          <cell r="A748">
            <v>1378516</v>
          </cell>
          <cell r="B748" t="str">
            <v>CL/D/V-1403.7235 P3,1B,1E 8UN CTN 1BAG</v>
          </cell>
          <cell r="C748">
            <v>1561901</v>
          </cell>
        </row>
        <row r="749">
          <cell r="A749">
            <v>1379416</v>
          </cell>
          <cell r="B749" t="str">
            <v>BT/LE-80.104 P1,1B 8UN CTN 1 BAG</v>
          </cell>
          <cell r="C749">
            <v>1561901</v>
          </cell>
        </row>
        <row r="750">
          <cell r="A750">
            <v>1379544</v>
          </cell>
          <cell r="B750" t="str">
            <v>BT/LE/4-82.101 P1,1B,3 1UN CTN 1 BAG</v>
          </cell>
          <cell r="C750">
            <v>1561901</v>
          </cell>
        </row>
        <row r="751">
          <cell r="A751">
            <v>1380759</v>
          </cell>
          <cell r="B751" t="str">
            <v>FP/V-344.101/.111/ .121 P1D,1B 8UN CTN1B</v>
          </cell>
          <cell r="C751">
            <v>1561901</v>
          </cell>
        </row>
        <row r="752">
          <cell r="A752">
            <v>1381407</v>
          </cell>
          <cell r="B752" t="str">
            <v>OR-1131.001 P1K,1B 4UN CTN 1BAG</v>
          </cell>
          <cell r="C752">
            <v>1561901</v>
          </cell>
        </row>
        <row r="753">
          <cell r="A753">
            <v>1384394</v>
          </cell>
          <cell r="B753" t="str">
            <v>OR-1124.001 P1,1B 9UN CTN 3 BAG</v>
          </cell>
          <cell r="C753">
            <v>1561901</v>
          </cell>
        </row>
        <row r="754">
          <cell r="A754">
            <v>1385424</v>
          </cell>
          <cell r="B754" t="str">
            <v>OR-56.121/.122 P1,1B,1C 3UN CTN 1 BAG</v>
          </cell>
          <cell r="C754">
            <v>1561901</v>
          </cell>
        </row>
        <row r="755">
          <cell r="A755">
            <v>1385994</v>
          </cell>
          <cell r="B755" t="str">
            <v>LE-88.501 P1,1B 5UN CTN 1BAG</v>
          </cell>
          <cell r="C755">
            <v>1561901</v>
          </cell>
        </row>
        <row r="756">
          <cell r="A756">
            <v>1386751</v>
          </cell>
          <cell r="B756" t="str">
            <v>LL/V-120.003 P1C,1B 3UN CTN 1BAG</v>
          </cell>
          <cell r="C756">
            <v>1561901</v>
          </cell>
        </row>
        <row r="757">
          <cell r="A757">
            <v>1386753</v>
          </cell>
          <cell r="B757" t="str">
            <v>MN/V-58.101 P1E,1B,1C,1D 3UN CTN 1BAG</v>
          </cell>
          <cell r="C757">
            <v>1561901</v>
          </cell>
        </row>
        <row r="758">
          <cell r="A758">
            <v>1386756</v>
          </cell>
          <cell r="B758" t="str">
            <v>OR/V-845.003 P1E,1B,1C,1D 3UN CTN 1BAG</v>
          </cell>
          <cell r="C758">
            <v>1561901</v>
          </cell>
        </row>
        <row r="759">
          <cell r="A759">
            <v>1386759</v>
          </cell>
          <cell r="B759" t="str">
            <v>AP/PR/V-6.002 P1E,1C,1D,1B 3UN CTN 1BAG</v>
          </cell>
          <cell r="C759">
            <v>1561901</v>
          </cell>
        </row>
        <row r="760">
          <cell r="A760">
            <v>1386811</v>
          </cell>
          <cell r="B760" t="str">
            <v>AP/BC/V-9.003 P1D,1B,1C 3UN CTN 1 BAG</v>
          </cell>
          <cell r="C760">
            <v>1561901</v>
          </cell>
        </row>
        <row r="761">
          <cell r="A761">
            <v>1391261</v>
          </cell>
          <cell r="B761" t="str">
            <v>LE-475.001 P1,1B 4UN CTN 1 BAG</v>
          </cell>
          <cell r="C761">
            <v>1561901</v>
          </cell>
        </row>
        <row r="762">
          <cell r="A762">
            <v>1395718</v>
          </cell>
          <cell r="B762" t="str">
            <v>DJ-4552.6936 P3,1B,1C 8UN CTN 1 BAG</v>
          </cell>
          <cell r="C762">
            <v>1561901</v>
          </cell>
        </row>
        <row r="763">
          <cell r="A763">
            <v>1395720</v>
          </cell>
          <cell r="B763" t="str">
            <v>DJ-4552.8836 P3,1B,1C 8UN CTN 1 BAG</v>
          </cell>
          <cell r="C763">
            <v>1561901</v>
          </cell>
        </row>
        <row r="764">
          <cell r="A764">
            <v>1395924</v>
          </cell>
          <cell r="B764" t="str">
            <v>FP/N/V-409.001/.011 P1D,1B 8UN CTN 1BAG</v>
          </cell>
          <cell r="C764">
            <v>1561901</v>
          </cell>
        </row>
        <row r="765">
          <cell r="A765">
            <v>1395927</v>
          </cell>
          <cell r="B765" t="str">
            <v>FP/N/V-409.00/.01 P1,1K 4UN CTN 1 BAG</v>
          </cell>
          <cell r="C765">
            <v>1561901</v>
          </cell>
        </row>
        <row r="766">
          <cell r="A766">
            <v>1397815</v>
          </cell>
          <cell r="B766" t="str">
            <v>GF-260.001 P1A,1B 2UN CTN 1 BAG</v>
          </cell>
          <cell r="C766">
            <v>1561901</v>
          </cell>
        </row>
        <row r="767">
          <cell r="A767">
            <v>1398901</v>
          </cell>
          <cell r="B767" t="str">
            <v>CI-112.101 P1D,1B 2UN CTN 1 BAG</v>
          </cell>
          <cell r="C767">
            <v>1561901</v>
          </cell>
        </row>
        <row r="768">
          <cell r="A768">
            <v>1399299</v>
          </cell>
          <cell r="B768" t="str">
            <v>OR-1127.001 P1K,1B 4UN CTN 1 BAG</v>
          </cell>
          <cell r="C768">
            <v>1561901</v>
          </cell>
        </row>
        <row r="769">
          <cell r="A769">
            <v>1399325</v>
          </cell>
          <cell r="B769" t="str">
            <v>TW/4-104.0010/.0011 P1,1B 2UN CTN 2 BAGS</v>
          </cell>
          <cell r="C769">
            <v>1561901</v>
          </cell>
        </row>
        <row r="770">
          <cell r="A770">
            <v>1399523</v>
          </cell>
          <cell r="B770" t="str">
            <v>GA/6-103.00 P1,1C 1UN CTN 1BAG</v>
          </cell>
          <cell r="C770">
            <v>1561901</v>
          </cell>
        </row>
        <row r="771">
          <cell r="A771">
            <v>1399997</v>
          </cell>
          <cell r="B771" t="str">
            <v>BT/LE/4-82.101/.301 P1,P1B 1UN CTN 1BAG</v>
          </cell>
          <cell r="C771">
            <v>1561901</v>
          </cell>
        </row>
        <row r="772">
          <cell r="A772">
            <v>1401860</v>
          </cell>
          <cell r="B772" t="str">
            <v>OR/BE-4.00 P1,1C 2.5UN CTN 1 BAG</v>
          </cell>
          <cell r="C772">
            <v>1561901</v>
          </cell>
        </row>
        <row r="773">
          <cell r="A773">
            <v>1405799</v>
          </cell>
          <cell r="B773" t="str">
            <v>MN/SI-2.001/AP/MT-6.001 P1D,1,1B 4UN CTN</v>
          </cell>
          <cell r="C773">
            <v>1561901</v>
          </cell>
        </row>
        <row r="774">
          <cell r="A774">
            <v>1406705</v>
          </cell>
          <cell r="B774" t="str">
            <v>FP-145.002 P1,1B 4UN CTN 1 BAG</v>
          </cell>
          <cell r="C774">
            <v>1561901</v>
          </cell>
        </row>
        <row r="775">
          <cell r="A775">
            <v>1408243</v>
          </cell>
          <cell r="B775" t="str">
            <v>GF/D-249.501 P1,P1B 5UN CTN 2 BAG</v>
          </cell>
          <cell r="C775">
            <v>1561901</v>
          </cell>
        </row>
        <row r="776">
          <cell r="A776">
            <v>1408433</v>
          </cell>
          <cell r="B776" t="str">
            <v>OR/D-1087.501 P1K,1B 5UN CTN 1 BAG</v>
          </cell>
          <cell r="C776">
            <v>1561901</v>
          </cell>
        </row>
        <row r="777">
          <cell r="A777">
            <v>1408521</v>
          </cell>
          <cell r="B777" t="str">
            <v>TE/LE-116.102 P1,1B 2UN CTN 1 BAG</v>
          </cell>
          <cell r="C777">
            <v>1561901</v>
          </cell>
        </row>
        <row r="778">
          <cell r="A778">
            <v>1410912</v>
          </cell>
          <cell r="B778" t="str">
            <v>FL-12.002 P1K,1B 2.5UN CTN 1 BAG</v>
          </cell>
          <cell r="C778">
            <v>1561901</v>
          </cell>
        </row>
        <row r="779">
          <cell r="A779">
            <v>1412211</v>
          </cell>
          <cell r="B779" t="str">
            <v>BT/LE/4-82.211 P1,P1B,1C 1UN CTN 1BAG</v>
          </cell>
          <cell r="C779">
            <v>1561901</v>
          </cell>
        </row>
        <row r="780">
          <cell r="A780">
            <v>1414133</v>
          </cell>
          <cell r="B780" t="str">
            <v>WA/M-147.00 P1C,1A 4UN CTN 2 BAGS</v>
          </cell>
          <cell r="C780">
            <v>1561901</v>
          </cell>
        </row>
        <row r="781">
          <cell r="A781">
            <v>1414808</v>
          </cell>
          <cell r="B781" t="str">
            <v>OR/D-1127.501 P1K,1B,3 4UN CTN 1 BAG</v>
          </cell>
          <cell r="C781">
            <v>1561901</v>
          </cell>
        </row>
        <row r="782">
          <cell r="A782">
            <v>1415372</v>
          </cell>
          <cell r="B782" t="str">
            <v>MA/6-21.301 P1,1D,1B 1UN CTN 1 BAG</v>
          </cell>
          <cell r="C782">
            <v>1561901</v>
          </cell>
        </row>
        <row r="783">
          <cell r="A783">
            <v>1416540</v>
          </cell>
          <cell r="B783" t="str">
            <v>SP/D-127.501 P1K,1B 4UN CTN 1 BAG</v>
          </cell>
          <cell r="C783">
            <v>1561901</v>
          </cell>
        </row>
        <row r="784">
          <cell r="A784">
            <v>1417295</v>
          </cell>
          <cell r="B784" t="str">
            <v>CI-112.201 P1D,1B 2UN CTN 1 BAG</v>
          </cell>
          <cell r="C784">
            <v>1561901</v>
          </cell>
        </row>
        <row r="785">
          <cell r="A785">
            <v>1417301</v>
          </cell>
          <cell r="B785" t="str">
            <v>LE/D-482.501 P1,1B,3 4UN CTN 1BAG</v>
          </cell>
          <cell r="C785">
            <v>1561901</v>
          </cell>
        </row>
        <row r="786">
          <cell r="A786">
            <v>1417396</v>
          </cell>
          <cell r="B786" t="str">
            <v>PE/V-149.001 P1,1B,1E 8UN CTN 2 BAGS</v>
          </cell>
          <cell r="C786">
            <v>1561901</v>
          </cell>
        </row>
        <row r="787">
          <cell r="A787">
            <v>1417400</v>
          </cell>
          <cell r="B787" t="str">
            <v>AP-368.001/AP/G-368.021 P1,1B 8UN CTN 2</v>
          </cell>
          <cell r="C787">
            <v>1561901</v>
          </cell>
        </row>
        <row r="788">
          <cell r="A788">
            <v>1419499</v>
          </cell>
          <cell r="B788" t="str">
            <v>FL-15.001 P1,1B 2.5UN CTN 1 BAG</v>
          </cell>
          <cell r="C788">
            <v>1561901</v>
          </cell>
        </row>
        <row r="789">
          <cell r="A789">
            <v>1420012</v>
          </cell>
          <cell r="B789" t="str">
            <v>CL/D-12.00 P3,1A 20UN CTN 4 BAGS</v>
          </cell>
          <cell r="C789">
            <v>1561901</v>
          </cell>
        </row>
        <row r="790">
          <cell r="A790">
            <v>1421333</v>
          </cell>
          <cell r="B790" t="str">
            <v>FP/D-123.512 P1K,1B 2.5UN CTN 1 BAG</v>
          </cell>
          <cell r="C790">
            <v>1561901</v>
          </cell>
        </row>
        <row r="791">
          <cell r="A791">
            <v>1421926</v>
          </cell>
          <cell r="B791" t="str">
            <v>AP/KW/V-5.001 P1D,1C,1B 2.5UN CTN 1 BAG</v>
          </cell>
          <cell r="C791">
            <v>1561901</v>
          </cell>
        </row>
        <row r="792">
          <cell r="A792">
            <v>1422695</v>
          </cell>
          <cell r="B792" t="str">
            <v>OR-56.903 P1,1B,1C 5UN CTN 1 BAG</v>
          </cell>
          <cell r="C792">
            <v>1561901</v>
          </cell>
        </row>
        <row r="793">
          <cell r="A793">
            <v>1423850</v>
          </cell>
          <cell r="B793" t="str">
            <v>BC/B-53.00 P1,1A 3UN CTN 1 BAG (REV)</v>
          </cell>
          <cell r="C793">
            <v>1561901</v>
          </cell>
        </row>
        <row r="794">
          <cell r="A794">
            <v>1424437</v>
          </cell>
          <cell r="B794" t="str">
            <v>FP/V-344.201 P1D,1B 8UN CTN 1 BAG</v>
          </cell>
          <cell r="C794">
            <v>1561901</v>
          </cell>
        </row>
        <row r="795">
          <cell r="A795">
            <v>1426897</v>
          </cell>
          <cell r="B795" t="str">
            <v>FP/V-344.033/.041 P1H,1B 1UN CTN 1BAG</v>
          </cell>
          <cell r="C795">
            <v>1561901</v>
          </cell>
        </row>
        <row r="796">
          <cell r="A796">
            <v>1428058</v>
          </cell>
          <cell r="B796" t="str">
            <v>MN/N-116.00 P1D, P1 1UN CTN 1BAG</v>
          </cell>
          <cell r="C796">
            <v>1561901</v>
          </cell>
        </row>
        <row r="797">
          <cell r="A797">
            <v>1428141</v>
          </cell>
          <cell r="B797" t="str">
            <v>CL/D-47.501 P3,1B 3UN CTN 1 BAG</v>
          </cell>
          <cell r="C797">
            <v>1561901</v>
          </cell>
        </row>
        <row r="798">
          <cell r="A798">
            <v>1428146</v>
          </cell>
          <cell r="B798" t="str">
            <v>GF/D-267.501 P1E,1B,3 3UN CTN 1 BAG</v>
          </cell>
          <cell r="C798">
            <v>1561901</v>
          </cell>
        </row>
        <row r="799">
          <cell r="A799">
            <v>1428157</v>
          </cell>
          <cell r="B799" t="str">
            <v>OR/D-1163.501 P1E,1B,3 3UN CTN 1 BAG</v>
          </cell>
          <cell r="C799">
            <v>1561901</v>
          </cell>
        </row>
        <row r="800">
          <cell r="A800">
            <v>1428162</v>
          </cell>
          <cell r="B800" t="str">
            <v>ST/BA/D-11.501 1E,1B,3 3UN CTN 1 BAG</v>
          </cell>
          <cell r="C800">
            <v>1561901</v>
          </cell>
        </row>
        <row r="801">
          <cell r="A801">
            <v>1428208</v>
          </cell>
          <cell r="B801" t="str">
            <v>LI/MT/B-3.001 P3,1B 12UN CTN 4 BAG</v>
          </cell>
          <cell r="C801">
            <v>1561901</v>
          </cell>
        </row>
        <row r="802">
          <cell r="A802">
            <v>1428456</v>
          </cell>
          <cell r="B802" t="str">
            <v>FP-373.201 P1,1B 4UN CTN 1 BAG</v>
          </cell>
          <cell r="C802">
            <v>1561901</v>
          </cell>
        </row>
        <row r="803">
          <cell r="A803">
            <v>1432530</v>
          </cell>
          <cell r="B803" t="str">
            <v>WA/LL/V-7.10 P1,1C,1D 5UN CTN 1BAG</v>
          </cell>
          <cell r="C803">
            <v>1561901</v>
          </cell>
        </row>
        <row r="804">
          <cell r="A804">
            <v>1434747</v>
          </cell>
          <cell r="B804" t="str">
            <v>LE/D-482.511 P1,1B 8UN CTN 1BAG</v>
          </cell>
          <cell r="C804">
            <v>1561901</v>
          </cell>
        </row>
        <row r="805">
          <cell r="A805">
            <v>1434752</v>
          </cell>
          <cell r="B805" t="str">
            <v>OR/B-1162.00 P1,1C 8UN CTN 1 BAG</v>
          </cell>
          <cell r="C805">
            <v>1561901</v>
          </cell>
        </row>
        <row r="806">
          <cell r="A806">
            <v>1434757</v>
          </cell>
          <cell r="B806" t="str">
            <v>OR/B-1162.001/.011 P3,1B 8UN CTN 1 BAG</v>
          </cell>
          <cell r="C806">
            <v>1561901</v>
          </cell>
        </row>
        <row r="807">
          <cell r="A807">
            <v>1435295</v>
          </cell>
          <cell r="B807" t="str">
            <v>LE/B-469.001 P1,1B,3 1UN CTN 1 BAG</v>
          </cell>
          <cell r="C807">
            <v>1561901</v>
          </cell>
        </row>
        <row r="808">
          <cell r="A808">
            <v>1435504</v>
          </cell>
          <cell r="B808" t="str">
            <v>LE/B-481.001 P1D,3B,1B 1UN CTN 1 BAG</v>
          </cell>
          <cell r="C808">
            <v>1561901</v>
          </cell>
        </row>
        <row r="809">
          <cell r="A809">
            <v>1436023</v>
          </cell>
          <cell r="B809" t="str">
            <v>GF/D-267.501 P1E,1B 3UN CTN 1BAG</v>
          </cell>
          <cell r="C809">
            <v>1561901</v>
          </cell>
        </row>
        <row r="810">
          <cell r="A810">
            <v>1436024</v>
          </cell>
          <cell r="B810" t="str">
            <v>LL/D-158.501 P1E,1B 3UN CTN 1BAG</v>
          </cell>
          <cell r="C810">
            <v>1561901</v>
          </cell>
        </row>
        <row r="811">
          <cell r="A811">
            <v>1436025</v>
          </cell>
          <cell r="B811" t="str">
            <v>OR/D-1163.501 P1E 1B 3UN CTN</v>
          </cell>
          <cell r="C811">
            <v>1561901</v>
          </cell>
        </row>
        <row r="812">
          <cell r="A812">
            <v>1436026</v>
          </cell>
          <cell r="B812" t="str">
            <v>ST/BA/D-11.501 P1E,1B 6UN CTN 2 BAG</v>
          </cell>
          <cell r="C812">
            <v>1561901</v>
          </cell>
        </row>
        <row r="813">
          <cell r="A813">
            <v>1436027</v>
          </cell>
          <cell r="B813" t="str">
            <v>FP/D-401.501 P1E,1B 6UN CTN 2 BAG</v>
          </cell>
          <cell r="C813">
            <v>1561901</v>
          </cell>
        </row>
        <row r="814">
          <cell r="A814">
            <v>1437019</v>
          </cell>
          <cell r="B814" t="str">
            <v>AP/PR-8.003/.006 P1D,1,1B 4UN CTN 1BAG</v>
          </cell>
          <cell r="C814">
            <v>1561901</v>
          </cell>
        </row>
        <row r="815">
          <cell r="A815">
            <v>1437706</v>
          </cell>
          <cell r="B815" t="str">
            <v>PA-236.001 P1,1B 6UN CTN 1 BAG</v>
          </cell>
          <cell r="C815">
            <v>1561901</v>
          </cell>
        </row>
        <row r="816">
          <cell r="A816">
            <v>1437722</v>
          </cell>
          <cell r="B816" t="str">
            <v>ML-3.002 P1,1B 8UN CTN 2 BAG</v>
          </cell>
          <cell r="C816">
            <v>1561901</v>
          </cell>
        </row>
        <row r="817">
          <cell r="A817">
            <v>1439291</v>
          </cell>
          <cell r="B817" t="str">
            <v>BE/D/V-121.501 P3D,1B,1C 16UN CTN 2 BAGS</v>
          </cell>
          <cell r="C817">
            <v>1561901</v>
          </cell>
        </row>
        <row r="818">
          <cell r="A818">
            <v>1440224</v>
          </cell>
          <cell r="B818" t="str">
            <v>FP/B-426.001 P1,1B 5UN CTN 1BAG</v>
          </cell>
          <cell r="C818">
            <v>1561901</v>
          </cell>
        </row>
        <row r="819">
          <cell r="A819">
            <v>1441537</v>
          </cell>
          <cell r="B819" t="str">
            <v>LE/A-175.101 P1,1B 4UN BAG 1/CTN</v>
          </cell>
          <cell r="C819">
            <v>1561901</v>
          </cell>
        </row>
        <row r="820">
          <cell r="A820">
            <v>1442343</v>
          </cell>
          <cell r="B820" t="str">
            <v>OR/PF-17.001/.002 P1,1D,1B 2UN CTN 1 BAG</v>
          </cell>
          <cell r="C820">
            <v>1561901</v>
          </cell>
        </row>
        <row r="821">
          <cell r="A821">
            <v>1442606</v>
          </cell>
          <cell r="B821" t="str">
            <v>RA-91.001 P1,1B 6UN CTN 1 BAG</v>
          </cell>
          <cell r="C821">
            <v>1561901</v>
          </cell>
        </row>
        <row r="822">
          <cell r="A822">
            <v>1443710</v>
          </cell>
          <cell r="B822" t="str">
            <v>BE/G-122.001 P1,P1C,P1B 8UN CTN 2 BAGS</v>
          </cell>
          <cell r="C822">
            <v>1561901</v>
          </cell>
        </row>
        <row r="823">
          <cell r="A823">
            <v>1444817</v>
          </cell>
          <cell r="B823" t="str">
            <v>FP/V-344.033  P1D, P1B 8UN CTN 1BAG</v>
          </cell>
          <cell r="C823">
            <v>1561901</v>
          </cell>
        </row>
        <row r="824">
          <cell r="A824">
            <v>1444910</v>
          </cell>
          <cell r="B824" t="str">
            <v>ST/B/G-163.001 P3,1B 8UN CTN 4 BAGS</v>
          </cell>
          <cell r="C824">
            <v>1561901</v>
          </cell>
        </row>
        <row r="825">
          <cell r="A825">
            <v>1445047</v>
          </cell>
          <cell r="B825" t="str">
            <v>WA/RA/M-4.00/5.00  P1,1C 10UN CTN 2 BAG</v>
          </cell>
          <cell r="C825">
            <v>1561901</v>
          </cell>
        </row>
        <row r="826">
          <cell r="A826">
            <v>1446513</v>
          </cell>
          <cell r="B826" t="str">
            <v>FP-273.002 P1,1B 4UN CTN 2BAGS</v>
          </cell>
          <cell r="C826">
            <v>1561901</v>
          </cell>
        </row>
        <row r="827">
          <cell r="A827">
            <v>1447638</v>
          </cell>
          <cell r="B827" t="str">
            <v>AP/N-132.102 P1,1B 4UN CTN 1BAG</v>
          </cell>
          <cell r="C827">
            <v>1561901</v>
          </cell>
        </row>
        <row r="828">
          <cell r="A828">
            <v>1450399</v>
          </cell>
          <cell r="B828" t="str">
            <v>TW-40.084 P1,1B 2.5UN CTN 1 BAG</v>
          </cell>
          <cell r="C828">
            <v>1561901</v>
          </cell>
        </row>
        <row r="829">
          <cell r="A829">
            <v>1458823</v>
          </cell>
          <cell r="B829" t="str">
            <v>LL-154.001 P1K,1B 4UN CTN 1BAG</v>
          </cell>
          <cell r="C829">
            <v>1561901</v>
          </cell>
        </row>
        <row r="830">
          <cell r="A830">
            <v>1458864</v>
          </cell>
          <cell r="B830" t="str">
            <v>AP/BC/N-16.001 P1,P1B 3UN CTN 1BAG</v>
          </cell>
          <cell r="C830">
            <v>1561901</v>
          </cell>
        </row>
        <row r="831">
          <cell r="A831">
            <v>1459602</v>
          </cell>
          <cell r="B831" t="str">
            <v>CI-20.601 1B,1D 6UN CTN 6BAGS</v>
          </cell>
          <cell r="C831">
            <v>1561901</v>
          </cell>
        </row>
        <row r="832">
          <cell r="A832">
            <v>1459772</v>
          </cell>
          <cell r="B832" t="str">
            <v>FP/N-253.201 P1,1B 1.5UN CTN 1 BAG</v>
          </cell>
          <cell r="C832">
            <v>1561901</v>
          </cell>
        </row>
        <row r="833">
          <cell r="A833">
            <v>1459806</v>
          </cell>
          <cell r="B833" t="str">
            <v>GA-104.001 P1,1B 4UN CTN 1 BAG</v>
          </cell>
          <cell r="C833">
            <v>1561901</v>
          </cell>
        </row>
        <row r="834">
          <cell r="A834">
            <v>1459815</v>
          </cell>
          <cell r="B834" t="str">
            <v>AP/GF/N-2.007 P1,1B 2.5UN CTN 1 BAG</v>
          </cell>
          <cell r="C834">
            <v>1561901</v>
          </cell>
        </row>
        <row r="835">
          <cell r="A835">
            <v>1459934</v>
          </cell>
          <cell r="B835" t="str">
            <v>TE/LE-100.103 P1K, P1B 3UN CTN 1BAG</v>
          </cell>
          <cell r="C835">
            <v>1561901</v>
          </cell>
        </row>
        <row r="836">
          <cell r="A836">
            <v>1460796</v>
          </cell>
          <cell r="B836" t="str">
            <v>PE/PF-1.001/.002 P1,1B 4UN CTN 1 BAG</v>
          </cell>
          <cell r="C836">
            <v>1561901</v>
          </cell>
        </row>
        <row r="837">
          <cell r="A837">
            <v>1460907</v>
          </cell>
          <cell r="B837" t="str">
            <v>PA-204.611 P1U,1B 6UN CTN 2 BAG</v>
          </cell>
          <cell r="C837">
            <v>1561901</v>
          </cell>
        </row>
        <row r="838">
          <cell r="A838">
            <v>1462006</v>
          </cell>
          <cell r="B838" t="str">
            <v>PA/V-204.033 P1U,1B,1C 6UN CTN 1 BAG</v>
          </cell>
          <cell r="C838">
            <v>1561901</v>
          </cell>
        </row>
        <row r="839">
          <cell r="A839">
            <v>1462123</v>
          </cell>
          <cell r="B839" t="str">
            <v>PE/G-149.101 P1,1B 8UN CTN 2 BAGS</v>
          </cell>
          <cell r="C839">
            <v>1561901</v>
          </cell>
        </row>
        <row r="840">
          <cell r="A840">
            <v>1462127</v>
          </cell>
          <cell r="B840" t="str">
            <v>LL/G-143.021 P1,1B 5UN 1BAG</v>
          </cell>
          <cell r="C840">
            <v>1561901</v>
          </cell>
        </row>
        <row r="841">
          <cell r="A841">
            <v>1462306</v>
          </cell>
          <cell r="B841" t="str">
            <v>PA/V-204.042/.043 P1U,1B,1C 6UN CTN</v>
          </cell>
          <cell r="C841">
            <v>1561901</v>
          </cell>
        </row>
        <row r="842">
          <cell r="A842">
            <v>1462365</v>
          </cell>
          <cell r="B842" t="str">
            <v>FP/V-287.60 P1,1A 2UN CTN 1 BAG</v>
          </cell>
          <cell r="C842">
            <v>1561901</v>
          </cell>
        </row>
        <row r="843">
          <cell r="A843">
            <v>1463897</v>
          </cell>
          <cell r="B843" t="str">
            <v>LE/PF-5.001/.002  P1D,1,1B 4UN CTN 1BAG</v>
          </cell>
          <cell r="C843">
            <v>1561901</v>
          </cell>
        </row>
        <row r="844">
          <cell r="A844">
            <v>1464407</v>
          </cell>
          <cell r="B844" t="str">
            <v>OR/A/J-914.101/.201 P1,1B 8UN CTN 4BAG</v>
          </cell>
          <cell r="C844">
            <v>1561901</v>
          </cell>
        </row>
        <row r="845">
          <cell r="A845">
            <v>1464815</v>
          </cell>
          <cell r="B845" t="str">
            <v>OR/D-639.502 P1,1C,1B 2UN CTN 1 BAG</v>
          </cell>
          <cell r="C845">
            <v>1561901</v>
          </cell>
        </row>
        <row r="846">
          <cell r="A846">
            <v>1465024</v>
          </cell>
          <cell r="B846" t="str">
            <v>PE/G/V-149.021 P1,1B,1E 8UN CTN 2 BAGS</v>
          </cell>
          <cell r="C846">
            <v>1561901</v>
          </cell>
        </row>
        <row r="847">
          <cell r="A847">
            <v>1465307</v>
          </cell>
          <cell r="B847" t="str">
            <v>CI/AP-1.001 P1C,1B 3UN CTN 1BAG</v>
          </cell>
          <cell r="C847">
            <v>1561901</v>
          </cell>
        </row>
        <row r="848">
          <cell r="A848">
            <v>1465315</v>
          </cell>
          <cell r="B848" t="str">
            <v>AP-407.001 P1,1B 4UN CTN 1 BAG</v>
          </cell>
          <cell r="C848">
            <v>1561901</v>
          </cell>
        </row>
        <row r="849">
          <cell r="A849">
            <v>1469065</v>
          </cell>
          <cell r="B849" t="str">
            <v>WA/LE/M-17.102 P1,1B 8UN CTN 2 BAGS</v>
          </cell>
          <cell r="C849">
            <v>1561901</v>
          </cell>
        </row>
        <row r="850">
          <cell r="A850">
            <v>1471520</v>
          </cell>
          <cell r="B850" t="str">
            <v>OR-395.103 P1B,3 24UN CTN 6 BAGS</v>
          </cell>
          <cell r="C850">
            <v>1561901</v>
          </cell>
        </row>
        <row r="851">
          <cell r="A851">
            <v>1472639</v>
          </cell>
          <cell r="B851" t="str">
            <v>PR/D-14.802 P3,1B 10UN CTN</v>
          </cell>
          <cell r="C851">
            <v>1561901</v>
          </cell>
        </row>
        <row r="852">
          <cell r="A852">
            <v>1473926</v>
          </cell>
          <cell r="B852" t="str">
            <v>TW-40.084 P1,1B 1UN CTN 1 BAG</v>
          </cell>
          <cell r="C852">
            <v>1561901</v>
          </cell>
        </row>
        <row r="853">
          <cell r="A853">
            <v>1474004</v>
          </cell>
          <cell r="B853" t="str">
            <v>LE-305.002 P1,1B 4UN CTN 2 BAGS</v>
          </cell>
          <cell r="C853">
            <v>1561901</v>
          </cell>
        </row>
        <row r="854">
          <cell r="A854">
            <v>1475938</v>
          </cell>
          <cell r="B854" t="str">
            <v>PE/N-383.00 P1 3UN CTN 1 BAG</v>
          </cell>
          <cell r="C854">
            <v>1561901</v>
          </cell>
        </row>
        <row r="855">
          <cell r="A855">
            <v>1476518</v>
          </cell>
          <cell r="B855" t="str">
            <v>WA/M-154.00 P1A,P1C 40UN CTN 8 BAG</v>
          </cell>
          <cell r="C855">
            <v>1561901</v>
          </cell>
        </row>
        <row r="856">
          <cell r="A856">
            <v>1476523</v>
          </cell>
          <cell r="B856" t="str">
            <v>PA/CO-23.001 P1K,P1B 5UN CTN 2 BAG</v>
          </cell>
          <cell r="C856">
            <v>1561901</v>
          </cell>
        </row>
        <row r="857">
          <cell r="A857">
            <v>1479726</v>
          </cell>
          <cell r="B857" t="str">
            <v>BE-129.001 P1,1B 2.5UN CTN 1 BAG</v>
          </cell>
          <cell r="C857">
            <v>1561901</v>
          </cell>
        </row>
        <row r="858">
          <cell r="A858">
            <v>1481752</v>
          </cell>
          <cell r="B858" t="str">
            <v>OR/B/V-1228.001 P1C,3,1B 12UN CTN 2 BAG</v>
          </cell>
          <cell r="C858">
            <v>1561901</v>
          </cell>
        </row>
        <row r="859">
          <cell r="A859">
            <v>1482111</v>
          </cell>
          <cell r="B859" t="str">
            <v>PA/V-204.044 P1U,1B,1C 6UN CTN</v>
          </cell>
          <cell r="C859">
            <v>1561901</v>
          </cell>
        </row>
        <row r="860">
          <cell r="A860">
            <v>1483912</v>
          </cell>
          <cell r="B860" t="str">
            <v>TE/LL/B-5.001 P3,1B 16UN CTN 2 BAGS</v>
          </cell>
          <cell r="C860">
            <v>1561901</v>
          </cell>
        </row>
        <row r="861">
          <cell r="A861">
            <v>1483924</v>
          </cell>
          <cell r="B861" t="str">
            <v>LE/B/V-514.001 P3,1B 24UN CTN 4 BAGS</v>
          </cell>
          <cell r="C861">
            <v>1561901</v>
          </cell>
        </row>
        <row r="862">
          <cell r="A862">
            <v>1484411</v>
          </cell>
          <cell r="B862" t="str">
            <v>FP/B/V-472.001 P1C,3,1B 8UN CTN 2 BAGS</v>
          </cell>
          <cell r="C862">
            <v>1561901</v>
          </cell>
        </row>
        <row r="863">
          <cell r="A863">
            <v>1484429</v>
          </cell>
          <cell r="B863" t="str">
            <v>OR/BT-3.001 P1,1B 2.5UN CTN 1 BAG</v>
          </cell>
          <cell r="C863">
            <v>1561901</v>
          </cell>
        </row>
        <row r="864">
          <cell r="A864">
            <v>1484435</v>
          </cell>
          <cell r="B864" t="str">
            <v>AP/D-123.512 P3,P1B 16UN CTN 4 BAGS</v>
          </cell>
          <cell r="C864">
            <v>1561901</v>
          </cell>
        </row>
        <row r="865">
          <cell r="A865">
            <v>1484715</v>
          </cell>
          <cell r="B865" t="str">
            <v>PA/V-204.341/2 P1U,P1B,1C 6UN CTN 1 BAG</v>
          </cell>
          <cell r="C865">
            <v>1561901</v>
          </cell>
        </row>
        <row r="866">
          <cell r="A866">
            <v>1489605</v>
          </cell>
          <cell r="B866" t="str">
            <v>OR/B-1162.001 P1K,3,1B 1UN CTN 1BAG</v>
          </cell>
          <cell r="C866">
            <v>1561901</v>
          </cell>
        </row>
        <row r="867">
          <cell r="A867">
            <v>1489705</v>
          </cell>
          <cell r="B867" t="str">
            <v>LE/B-482.101 P1,P1B,P3 1UN CTN 1BAG</v>
          </cell>
          <cell r="C867">
            <v>1561901</v>
          </cell>
        </row>
        <row r="868">
          <cell r="A868">
            <v>1492901</v>
          </cell>
          <cell r="B868" t="str">
            <v>AP/PR/V-6.101 P1A,1B,1C,1D 3UN CTN 1 BAG</v>
          </cell>
          <cell r="C868">
            <v>1561901</v>
          </cell>
        </row>
        <row r="869">
          <cell r="A869">
            <v>1492904</v>
          </cell>
          <cell r="B869" t="str">
            <v>OR/V-845.101 P1A,1B,1C,1D 3UN CTN 1 BAG</v>
          </cell>
          <cell r="C869">
            <v>1561901</v>
          </cell>
        </row>
        <row r="870">
          <cell r="A870">
            <v>1492907</v>
          </cell>
          <cell r="B870" t="str">
            <v>AP/BC/V-9.101 P1A,1B,1C 3UN CTN 1BAG</v>
          </cell>
          <cell r="C870">
            <v>1561901</v>
          </cell>
        </row>
        <row r="871">
          <cell r="A871">
            <v>1492924</v>
          </cell>
          <cell r="B871" t="str">
            <v>RB/B-59.001 P1,1B,3,3C 10UN CTN 1 BG</v>
          </cell>
          <cell r="C871">
            <v>1561901</v>
          </cell>
        </row>
        <row r="872">
          <cell r="A872">
            <v>1493196</v>
          </cell>
          <cell r="B872" t="str">
            <v>LL/V-120.101 P1A,1B,1C 3UN CTN 1BAG</v>
          </cell>
          <cell r="C872">
            <v>1561901</v>
          </cell>
        </row>
        <row r="873">
          <cell r="A873">
            <v>1493232</v>
          </cell>
          <cell r="B873" t="str">
            <v>MN/V-58.201 P1B,1C,1D 3UN CTN 1 BAG</v>
          </cell>
          <cell r="C873">
            <v>1561901</v>
          </cell>
        </row>
        <row r="874">
          <cell r="A874">
            <v>1495730</v>
          </cell>
          <cell r="B874" t="str">
            <v>PF-24.002 P1K,1B 4UN CTN 4BAGS</v>
          </cell>
          <cell r="C874">
            <v>1561901</v>
          </cell>
        </row>
        <row r="875">
          <cell r="A875">
            <v>1498160</v>
          </cell>
          <cell r="B875" t="str">
            <v>FP-373.103 P1,1B 5UN CTN 1 BAG</v>
          </cell>
          <cell r="C875">
            <v>1561901</v>
          </cell>
        </row>
        <row r="876">
          <cell r="A876">
            <v>1498406</v>
          </cell>
          <cell r="B876" t="str">
            <v>MA/6-100.001 P1,1D,1B 0.5UN CTN 1 BAG</v>
          </cell>
          <cell r="C876">
            <v>1561901</v>
          </cell>
        </row>
        <row r="877">
          <cell r="A877">
            <v>1498510</v>
          </cell>
          <cell r="B877" t="str">
            <v>GA/2-94.001 P1,1B 4UN CTN 4 BAGS</v>
          </cell>
          <cell r="C877">
            <v>1561901</v>
          </cell>
        </row>
        <row r="878">
          <cell r="A878">
            <v>1500172</v>
          </cell>
          <cell r="B878" t="str">
            <v>FP/V-344.601 P1D,1C,1L 1B 4UN CTN 1BAG</v>
          </cell>
          <cell r="C878">
            <v>1561901</v>
          </cell>
        </row>
        <row r="879">
          <cell r="A879">
            <v>1501909</v>
          </cell>
          <cell r="B879" t="str">
            <v>GEN FNTA LEM V13.2 P1,1B 8UN CTN 1 BG TR</v>
          </cell>
          <cell r="C879">
            <v>1561901</v>
          </cell>
        </row>
        <row r="880">
          <cell r="A880">
            <v>1501913</v>
          </cell>
          <cell r="B880" t="str">
            <v>OR-1248.001 P1, P1B 4UN CTN 1 BAG</v>
          </cell>
          <cell r="C880">
            <v>1561901</v>
          </cell>
        </row>
        <row r="881">
          <cell r="A881">
            <v>1502858</v>
          </cell>
          <cell r="B881" t="str">
            <v>HB/MT/G-3.00 P1,1A,1C 5UN CTN 1BAG</v>
          </cell>
          <cell r="C881">
            <v>1561901</v>
          </cell>
        </row>
        <row r="882">
          <cell r="A882">
            <v>1503211</v>
          </cell>
          <cell r="B882" t="str">
            <v>MN/GV/G-3.00 P1,1A 8UN CTN 1BAG</v>
          </cell>
          <cell r="C882">
            <v>1561901</v>
          </cell>
        </row>
        <row r="883">
          <cell r="A883">
            <v>1503963</v>
          </cell>
          <cell r="B883" t="str">
            <v>GF/D-291.501 P1,1B 2UN CTN 1 BAG</v>
          </cell>
          <cell r="C883">
            <v>1561901</v>
          </cell>
        </row>
        <row r="884">
          <cell r="A884">
            <v>1505308</v>
          </cell>
          <cell r="B884" t="str">
            <v>AC/N-45.000 P1,1C 7.13UN CTN 2 BAG</v>
          </cell>
          <cell r="C884">
            <v>1561901</v>
          </cell>
        </row>
        <row r="885">
          <cell r="A885">
            <v>1509832</v>
          </cell>
          <cell r="B885" t="str">
            <v>TE/LL/B-7.001 P3,1B 20UN CTN 2 BAGS</v>
          </cell>
          <cell r="C885">
            <v>1561901</v>
          </cell>
        </row>
        <row r="886">
          <cell r="A886">
            <v>1509838</v>
          </cell>
          <cell r="B886" t="str">
            <v>OR/B-1256.001 P3,1B 16UN CTN 2 BAGS</v>
          </cell>
          <cell r="C886">
            <v>1561901</v>
          </cell>
        </row>
        <row r="887">
          <cell r="A887">
            <v>1510104</v>
          </cell>
          <cell r="B887" t="str">
            <v>FP-297.101 P1A,1B 3UN CTN/1BAG</v>
          </cell>
          <cell r="C887">
            <v>1561901</v>
          </cell>
        </row>
        <row r="888">
          <cell r="A888">
            <v>1510954</v>
          </cell>
          <cell r="B888" t="str">
            <v>RA/CI/V-1.001 P1D,1C,1B 1UN CTN 1 BG</v>
          </cell>
          <cell r="C888">
            <v>1561901</v>
          </cell>
        </row>
        <row r="889">
          <cell r="A889">
            <v>1512698</v>
          </cell>
          <cell r="B889" t="str">
            <v>FP/V-344.401 P1C,P1B 16UN CTN BAG</v>
          </cell>
          <cell r="C889">
            <v>1561901</v>
          </cell>
        </row>
        <row r="890">
          <cell r="A890">
            <v>1512800</v>
          </cell>
          <cell r="B890" t="str">
            <v>AP/KW/V-5.011 P1D,1C,1B 2.5UN CTN 1 BAG</v>
          </cell>
          <cell r="C890">
            <v>1561901</v>
          </cell>
        </row>
        <row r="891">
          <cell r="A891">
            <v>1513670</v>
          </cell>
          <cell r="B891" t="str">
            <v>LE/A-536.001 P1,1B 8UN CTN 1 BAG</v>
          </cell>
          <cell r="C891">
            <v>1561901</v>
          </cell>
        </row>
        <row r="892">
          <cell r="A892">
            <v>1513675</v>
          </cell>
          <cell r="B892" t="str">
            <v>LE/A/D-536.501 P1,1B,3 4UN CTN 1 BAG</v>
          </cell>
          <cell r="C892">
            <v>1561901</v>
          </cell>
        </row>
        <row r="893">
          <cell r="A893">
            <v>1514000</v>
          </cell>
          <cell r="B893" t="str">
            <v>LL/G-175.001 P1,1B 7UN CTN 1 BAG</v>
          </cell>
          <cell r="C893">
            <v>1561901</v>
          </cell>
        </row>
        <row r="894">
          <cell r="A894">
            <v>1515221</v>
          </cell>
          <cell r="B894" t="str">
            <v>LE/HB/G-2.001 P1,1B 10UN CTN 2 BAGS</v>
          </cell>
          <cell r="C894">
            <v>1561901</v>
          </cell>
        </row>
        <row r="895">
          <cell r="A895">
            <v>1516996</v>
          </cell>
          <cell r="B895" t="str">
            <v>BT/OR-2.002  P1,1B 2.5UN CTN 1 BAG</v>
          </cell>
          <cell r="C895">
            <v>1561901</v>
          </cell>
        </row>
        <row r="896">
          <cell r="A896">
            <v>1517120</v>
          </cell>
          <cell r="B896" t="str">
            <v>ST/HB/G-3.001 P1,1B 5UN CTN 1 BAG</v>
          </cell>
          <cell r="C896">
            <v>1561901</v>
          </cell>
        </row>
        <row r="897">
          <cell r="A897">
            <v>1517536</v>
          </cell>
          <cell r="B897" t="str">
            <v>FP/V-344.801 P1D,1C,1L 1B 4UN CTN 1BAG</v>
          </cell>
          <cell r="C897">
            <v>1561901</v>
          </cell>
        </row>
        <row r="898">
          <cell r="A898">
            <v>1517636</v>
          </cell>
          <cell r="B898" t="str">
            <v>PA/V-204.121/.124 P1U,1B,1C 6UN CTN 1BAG</v>
          </cell>
          <cell r="C898">
            <v>1561901</v>
          </cell>
        </row>
        <row r="899">
          <cell r="A899">
            <v>1518769</v>
          </cell>
          <cell r="B899" t="str">
            <v>LI/MT/B-3.001 P3,1B 6UN CTN 2 BAG</v>
          </cell>
          <cell r="C899">
            <v>1561901</v>
          </cell>
        </row>
        <row r="900">
          <cell r="A900">
            <v>1518916</v>
          </cell>
          <cell r="B900" t="str">
            <v>BT/LE/4-69.004 P1,1B 0.5UN CTN 2 BAGS</v>
          </cell>
          <cell r="C900">
            <v>1561901</v>
          </cell>
        </row>
        <row r="901">
          <cell r="A901">
            <v>1520949</v>
          </cell>
          <cell r="B901" t="str">
            <v>LE/A-536.021 P1,1B 8UN CTN 1BAG</v>
          </cell>
          <cell r="C901">
            <v>1561901</v>
          </cell>
        </row>
        <row r="902">
          <cell r="A902">
            <v>1523609</v>
          </cell>
          <cell r="B902" t="str">
            <v>PRJ-0286407V1.09 P1,1A,1B,1D 1 UN CTN</v>
          </cell>
          <cell r="C902">
            <v>1561901</v>
          </cell>
        </row>
        <row r="903">
          <cell r="A903">
            <v>1524024</v>
          </cell>
          <cell r="B903" t="str">
            <v>MA-108.001 P1,1B 2.5UN CTN 1BAG</v>
          </cell>
          <cell r="C903">
            <v>1561901</v>
          </cell>
        </row>
        <row r="904">
          <cell r="A904">
            <v>1524063</v>
          </cell>
          <cell r="B904" t="str">
            <v>CI-131.001 P1D,1B 2UN CTN 1 BAG UR</v>
          </cell>
          <cell r="C904">
            <v>1561901</v>
          </cell>
        </row>
        <row r="905">
          <cell r="A905">
            <v>1524251</v>
          </cell>
          <cell r="B905" t="str">
            <v>OR-1274.001 P1,1B 4UN CTN 1 BAG</v>
          </cell>
          <cell r="C905">
            <v>1561901</v>
          </cell>
        </row>
        <row r="906">
          <cell r="A906">
            <v>1524642</v>
          </cell>
          <cell r="B906" t="str">
            <v>BC/D-61.501 P3,1B 9UN CTN 1BAG</v>
          </cell>
          <cell r="C906">
            <v>1561901</v>
          </cell>
        </row>
        <row r="907">
          <cell r="A907">
            <v>1524999</v>
          </cell>
          <cell r="B907" t="str">
            <v>BE/G-148.001/PO/GF/G P1, 1B 8UN CTN 1BAG</v>
          </cell>
          <cell r="C907">
            <v>1561901</v>
          </cell>
        </row>
        <row r="908">
          <cell r="A908">
            <v>1525205</v>
          </cell>
          <cell r="B908" t="str">
            <v>PE/G-398.001 P1,1B 5UN CTN 1 BAG</v>
          </cell>
          <cell r="C908">
            <v>1561901</v>
          </cell>
        </row>
        <row r="909">
          <cell r="A909">
            <v>1525924</v>
          </cell>
          <cell r="B909" t="str">
            <v>CH/D-30.60 P1,3,1A 5UN CTN 1 BAG</v>
          </cell>
          <cell r="C909">
            <v>1561901</v>
          </cell>
        </row>
        <row r="910">
          <cell r="A910">
            <v>1525997</v>
          </cell>
          <cell r="B910" t="str">
            <v>OR-1281.001 P1,1B,3 2UN CTN 2 BAGS</v>
          </cell>
          <cell r="C910">
            <v>1561901</v>
          </cell>
        </row>
        <row r="911">
          <cell r="A911">
            <v>1528371</v>
          </cell>
          <cell r="B911" t="str">
            <v>BT/HB/D-10.50 P1,3 5UN CTN 1 BAG</v>
          </cell>
          <cell r="C911">
            <v>1561901</v>
          </cell>
        </row>
        <row r="912">
          <cell r="A912">
            <v>1529077</v>
          </cell>
          <cell r="B912" t="str">
            <v>GR-250.101 P1, P1B 10UN 1 BAG</v>
          </cell>
          <cell r="C912">
            <v>1561901</v>
          </cell>
        </row>
        <row r="913">
          <cell r="A913">
            <v>1529249</v>
          </cell>
          <cell r="B913" t="str">
            <v>PA-266.001 P1,1B 5UN CTN 1 BAG</v>
          </cell>
          <cell r="C913">
            <v>1561901</v>
          </cell>
        </row>
        <row r="914">
          <cell r="A914">
            <v>1530022</v>
          </cell>
          <cell r="B914" t="str">
            <v>FP/A-224.301 P1,1B 1UN CTN</v>
          </cell>
          <cell r="C914">
            <v>1561901</v>
          </cell>
        </row>
        <row r="915">
          <cell r="A915">
            <v>1530081</v>
          </cell>
          <cell r="B915" t="str">
            <v>FP/D-123.701 P1,1B 2.5UN CTN 1BAG</v>
          </cell>
          <cell r="C915">
            <v>1561901</v>
          </cell>
        </row>
        <row r="916">
          <cell r="A916">
            <v>1530611</v>
          </cell>
          <cell r="B916" t="str">
            <v>OR-1285.001 P1,1B 4UN CTN 1 BAG</v>
          </cell>
          <cell r="C916">
            <v>1561901</v>
          </cell>
        </row>
        <row r="917">
          <cell r="A917">
            <v>1531918</v>
          </cell>
          <cell r="B917" t="str">
            <v>CH/B/Q-49.60/.61 P3,1E,1J 40UN CTN 2 BG</v>
          </cell>
          <cell r="C917">
            <v>1561901</v>
          </cell>
        </row>
        <row r="918">
          <cell r="A918">
            <v>1532962</v>
          </cell>
          <cell r="B918" t="str">
            <v>GR-250.001 P1,1B 4UN CTN BAG</v>
          </cell>
          <cell r="C918">
            <v>1561901</v>
          </cell>
        </row>
        <row r="919">
          <cell r="A919">
            <v>1533024</v>
          </cell>
          <cell r="B919" t="str">
            <v>FL-17.001 P1, 1B 2.5UN CTN BAG</v>
          </cell>
          <cell r="C919">
            <v>1561901</v>
          </cell>
        </row>
        <row r="920">
          <cell r="A920">
            <v>1533531</v>
          </cell>
          <cell r="B920" t="str">
            <v>OR/B-515.201 P1K,1F,1B,3 2UN CTN 1 BAG</v>
          </cell>
          <cell r="C920">
            <v>1561901</v>
          </cell>
        </row>
        <row r="921">
          <cell r="A921">
            <v>1534637</v>
          </cell>
          <cell r="B921" t="str">
            <v>OR/V-894.10 P1,1A 2UN CTN 1 BAG</v>
          </cell>
          <cell r="C921">
            <v>1561901</v>
          </cell>
        </row>
        <row r="922">
          <cell r="A922">
            <v>1535483</v>
          </cell>
          <cell r="B922" t="str">
            <v>FP-518.001 P1, P1B 5UN CTN 1 BAG</v>
          </cell>
          <cell r="C922">
            <v>1561901</v>
          </cell>
        </row>
        <row r="923">
          <cell r="A923">
            <v>1536205</v>
          </cell>
          <cell r="B923" t="str">
            <v>FP-10.141 P1,1B 4UN CTN 1BAG</v>
          </cell>
          <cell r="C923">
            <v>1561901</v>
          </cell>
        </row>
        <row r="924">
          <cell r="A924">
            <v>1536212</v>
          </cell>
          <cell r="B924" t="str">
            <v>OR-709.011 4UN P1,1B,1C,1D 1 CTN BAG</v>
          </cell>
          <cell r="C924">
            <v>1561901</v>
          </cell>
        </row>
        <row r="925">
          <cell r="A925">
            <v>1536360</v>
          </cell>
          <cell r="B925" t="str">
            <v>LE/G-554.001 P1,1B 2UN CTN 1 BAG</v>
          </cell>
          <cell r="C925">
            <v>1561901</v>
          </cell>
        </row>
        <row r="926">
          <cell r="A926">
            <v>1536368</v>
          </cell>
          <cell r="B926" t="str">
            <v>ST/G-184.001 P1,1B 2UN CTN 1 BAG</v>
          </cell>
          <cell r="C926">
            <v>1561901</v>
          </cell>
        </row>
        <row r="927">
          <cell r="A927">
            <v>1536376</v>
          </cell>
          <cell r="B927" t="str">
            <v>AP/G-457.001 P1,1B 3UN CTN 1 BAG</v>
          </cell>
          <cell r="C927">
            <v>1561901</v>
          </cell>
        </row>
        <row r="928">
          <cell r="A928">
            <v>1536384</v>
          </cell>
          <cell r="B928" t="str">
            <v>CH/G-91.001/MA/G-112 P1,1B 2UN CTN 1 BAG</v>
          </cell>
          <cell r="C928">
            <v>1561901</v>
          </cell>
        </row>
        <row r="929">
          <cell r="A929">
            <v>1536658</v>
          </cell>
          <cell r="B929" t="str">
            <v>BT/GA-4.005  P1,1B 4UN CTN 1 BAG</v>
          </cell>
          <cell r="C929">
            <v>1561901</v>
          </cell>
        </row>
        <row r="930">
          <cell r="A930">
            <v>1537113</v>
          </cell>
          <cell r="B930" t="str">
            <v>FP-522.001 P1,1B 4UN CTN 1 BAG</v>
          </cell>
          <cell r="C930">
            <v>1561901</v>
          </cell>
        </row>
        <row r="931">
          <cell r="A931">
            <v>1537498</v>
          </cell>
          <cell r="B931" t="str">
            <v>FP/B/Q-144.72 P3,1E,1J 40UN CTN 2BAG</v>
          </cell>
          <cell r="C931">
            <v>1561901</v>
          </cell>
        </row>
        <row r="932">
          <cell r="A932">
            <v>1538980</v>
          </cell>
          <cell r="B932" t="str">
            <v>OR/B/Q-698.73 P3,1E,1J 40UN CTN 2 BAG</v>
          </cell>
          <cell r="C932">
            <v>1561901</v>
          </cell>
        </row>
        <row r="933">
          <cell r="A933">
            <v>1539344</v>
          </cell>
          <cell r="B933" t="str">
            <v>FP/D/Q-515.50 P1C,1E,1J 20UN CTN 1 BAG</v>
          </cell>
          <cell r="C933">
            <v>1561901</v>
          </cell>
        </row>
        <row r="934">
          <cell r="A934">
            <v>1544013</v>
          </cell>
          <cell r="B934" t="str">
            <v>LE/D-361.511 P1,1B 2.5UN CTN 1BAG</v>
          </cell>
          <cell r="C934">
            <v>1561901</v>
          </cell>
        </row>
        <row r="935">
          <cell r="A935">
            <v>1544227</v>
          </cell>
          <cell r="B935" t="str">
            <v>OR/D-439.961 P1,1B 2.5UN CTN 1BAG</v>
          </cell>
          <cell r="C935">
            <v>1561901</v>
          </cell>
        </row>
        <row r="936">
          <cell r="A936">
            <v>1544506</v>
          </cell>
          <cell r="B936" t="str">
            <v>AP/KW/V-5.101 P1D,1C,1B 5UN CTN 2 BAG</v>
          </cell>
          <cell r="C936">
            <v>1561901</v>
          </cell>
        </row>
        <row r="937">
          <cell r="A937">
            <v>1544517</v>
          </cell>
          <cell r="B937" t="str">
            <v>FP-344.321 P1D,1B 8UN CTN 1BAG</v>
          </cell>
          <cell r="C937">
            <v>1561901</v>
          </cell>
        </row>
        <row r="938">
          <cell r="A938">
            <v>1544941</v>
          </cell>
          <cell r="B938" t="str">
            <v>LE/FP/V-1.001 P1A,1B 1UN CTN 1 BAG</v>
          </cell>
          <cell r="C938">
            <v>1561901</v>
          </cell>
        </row>
        <row r="939">
          <cell r="A939">
            <v>1549095</v>
          </cell>
          <cell r="B939" t="str">
            <v>FP/V-344.213 P1L,1B,1C 8UN CTN 1 BAG</v>
          </cell>
          <cell r="C939">
            <v>1561901</v>
          </cell>
        </row>
        <row r="940">
          <cell r="A940">
            <v>1549142</v>
          </cell>
          <cell r="B940" t="str">
            <v>TE/LE-100.004 P1K,1B 3UN CTN 1 BAG</v>
          </cell>
          <cell r="C940">
            <v>1561901</v>
          </cell>
        </row>
        <row r="941">
          <cell r="A941">
            <v>1549415</v>
          </cell>
          <cell r="B941" t="str">
            <v>TW-40.084 P1,1B 1.25UN CTN 1 BAG</v>
          </cell>
          <cell r="C941">
            <v>1561901</v>
          </cell>
        </row>
        <row r="942">
          <cell r="A942">
            <v>1549874</v>
          </cell>
          <cell r="B942" t="str">
            <v>PRJ-0290415 V1.1 P1D,1,1B 4UN CTN 1 BAG</v>
          </cell>
          <cell r="C942">
            <v>1561901</v>
          </cell>
        </row>
        <row r="943">
          <cell r="A943">
            <v>1549878</v>
          </cell>
          <cell r="B943" t="str">
            <v>PRJ-0290415 V10.2 P1D,1,1B 4UN CTN 1 BG</v>
          </cell>
          <cell r="C943">
            <v>1561901</v>
          </cell>
        </row>
        <row r="944">
          <cell r="A944">
            <v>1551108</v>
          </cell>
          <cell r="B944" t="str">
            <v>OR/D-1314.501 P3,1B 8UN CTN 1 BAG</v>
          </cell>
          <cell r="C944">
            <v>1561901</v>
          </cell>
        </row>
        <row r="945">
          <cell r="A945">
            <v>1551837</v>
          </cell>
          <cell r="B945" t="str">
            <v>FP/V-344.331 P1K,1B,1C 1UN CTN 1 BAG</v>
          </cell>
          <cell r="C945">
            <v>1561901</v>
          </cell>
        </row>
        <row r="946">
          <cell r="A946">
            <v>1553814</v>
          </cell>
          <cell r="B946" t="str">
            <v>FP/V-344.311 P1K,1B,1C 1UN CTN 1 BAG</v>
          </cell>
          <cell r="C946">
            <v>1561901</v>
          </cell>
        </row>
        <row r="947">
          <cell r="A947">
            <v>1556013</v>
          </cell>
          <cell r="B947" t="str">
            <v>OR-56.931 P1,1B,1C 5UN CTN 1 BAG</v>
          </cell>
          <cell r="C947">
            <v>1561901</v>
          </cell>
        </row>
        <row r="948">
          <cell r="A948">
            <v>1556014</v>
          </cell>
          <cell r="B948" t="str">
            <v>OR-56.932 P1,1B,1C 5UN CTN 1 BAG</v>
          </cell>
          <cell r="C948">
            <v>1561901</v>
          </cell>
        </row>
        <row r="949">
          <cell r="A949">
            <v>1562744</v>
          </cell>
          <cell r="B949" t="str">
            <v>OR-56.941 P1,1B,1C 5UN CTN 1 BAG</v>
          </cell>
          <cell r="C949">
            <v>1561901</v>
          </cell>
        </row>
        <row r="950">
          <cell r="A950">
            <v>1565156</v>
          </cell>
          <cell r="B950" t="str">
            <v>HB/LE-2.001/.002 P1D,1,1B 4UN CTN 1 BAG</v>
          </cell>
          <cell r="C950">
            <v>1561901</v>
          </cell>
        </row>
        <row r="951">
          <cell r="A951">
            <v>1565162</v>
          </cell>
          <cell r="B951" t="str">
            <v>MN/BE-2.001/.002 P1D,1,1B 4UN CTN 1 BAG</v>
          </cell>
          <cell r="C951">
            <v>1561901</v>
          </cell>
        </row>
        <row r="952">
          <cell r="A952">
            <v>1569640</v>
          </cell>
          <cell r="B952" t="str">
            <v>CI/B/Q-117.10 P3,1E,1J 40UN CTN 2 BAG</v>
          </cell>
          <cell r="C952">
            <v>1561901</v>
          </cell>
        </row>
        <row r="953">
          <cell r="A953">
            <v>1570998</v>
          </cell>
          <cell r="B953" t="str">
            <v>MA/6-28.311 P1,1B 2.5UN CTN 1 BAG</v>
          </cell>
          <cell r="C953">
            <v>1561901</v>
          </cell>
        </row>
        <row r="954">
          <cell r="A954">
            <v>1572198</v>
          </cell>
          <cell r="B954" t="str">
            <v>OR/B/Q-1316.00 P3,1E,1J 40UN CTN 2 BAGS</v>
          </cell>
          <cell r="C954">
            <v>1561901</v>
          </cell>
        </row>
        <row r="955">
          <cell r="A955">
            <v>1572218</v>
          </cell>
          <cell r="B955" t="str">
            <v>OR-1232.011 P1,1B 6UN CTN 1 BAG</v>
          </cell>
          <cell r="C955">
            <v>1561901</v>
          </cell>
        </row>
        <row r="956">
          <cell r="A956">
            <v>1572912</v>
          </cell>
          <cell r="B956" t="str">
            <v>PDE GEN ION4 P1E,1J 20UN CTN 1 BAG PK</v>
          </cell>
          <cell r="C956">
            <v>1561901</v>
          </cell>
        </row>
        <row r="957">
          <cell r="A957">
            <v>1572913</v>
          </cell>
          <cell r="B957" t="str">
            <v>OR/B/Q/V-1323.001 P1B,3,1K 20UN CTN 2 BG</v>
          </cell>
          <cell r="C957">
            <v>1561901</v>
          </cell>
        </row>
        <row r="958">
          <cell r="A958">
            <v>1579595</v>
          </cell>
          <cell r="B958" t="str">
            <v>FP/V-344.233 P1L,1B,1C 8UN CTN 1BAG</v>
          </cell>
          <cell r="C958">
            <v>1561901</v>
          </cell>
        </row>
        <row r="959">
          <cell r="A959">
            <v>1581324</v>
          </cell>
          <cell r="B959" t="str">
            <v>LE/B/Q-301.91 P3,1E,1J 40UN CTN 2 BAGS</v>
          </cell>
          <cell r="C959">
            <v>1561901</v>
          </cell>
        </row>
        <row r="960">
          <cell r="A960">
            <v>1582586</v>
          </cell>
          <cell r="B960" t="str">
            <v>MN/B/Q-151.00 P3,1E,1J 40UN CTN 2BAGS</v>
          </cell>
          <cell r="C960">
            <v>1561901</v>
          </cell>
        </row>
        <row r="961">
          <cell r="A961">
            <v>1583419</v>
          </cell>
          <cell r="B961" t="str">
            <v>FP-10.201 P1,1B,1E 4UN CTN 1 BAG</v>
          </cell>
          <cell r="C961">
            <v>1561901</v>
          </cell>
        </row>
        <row r="962">
          <cell r="A962">
            <v>1584870</v>
          </cell>
          <cell r="B962" t="str">
            <v>PA/V-204.131/.133 P1U,1B,1C 6UN CTN 1 BG</v>
          </cell>
          <cell r="C962">
            <v>1561901</v>
          </cell>
        </row>
        <row r="963">
          <cell r="A963">
            <v>1590840</v>
          </cell>
          <cell r="B963" t="str">
            <v>OR-1317.001 P1K,1B 3UN CTN 1 BAG</v>
          </cell>
          <cell r="C963">
            <v>1561901</v>
          </cell>
        </row>
        <row r="964">
          <cell r="A964">
            <v>1593300</v>
          </cell>
          <cell r="B964" t="str">
            <v>CH/AP-8.000/.001 P1,1C,1B 2UN CTN 1 BAG</v>
          </cell>
          <cell r="C964">
            <v>1561901</v>
          </cell>
        </row>
        <row r="965">
          <cell r="A965">
            <v>1593407</v>
          </cell>
          <cell r="B965" t="str">
            <v>HB/V-1.111 1D, 1B 4UN CTN 1 BAG</v>
          </cell>
          <cell r="C965">
            <v>1561901</v>
          </cell>
        </row>
        <row r="966">
          <cell r="A966">
            <v>1250897</v>
          </cell>
          <cell r="B966" t="str">
            <v>CL/LI-1803.00 CL/LE P1E 16UN CTN 2 BAGS</v>
          </cell>
          <cell r="C966">
            <v>1561902</v>
          </cell>
        </row>
        <row r="967">
          <cell r="A967">
            <v>1551993</v>
          </cell>
          <cell r="B967" t="str">
            <v>CI/D-144.501 P3,1B,1C 2UN CTN 1BAG</v>
          </cell>
          <cell r="C967">
            <v>1561903</v>
          </cell>
        </row>
        <row r="968">
          <cell r="A968">
            <v>1564037</v>
          </cell>
          <cell r="B968" t="str">
            <v>RA/G/V-98.00/.01 P1D 24UN CTN 2 BAGS</v>
          </cell>
          <cell r="C968">
            <v>1561904</v>
          </cell>
        </row>
        <row r="969">
          <cell r="A969">
            <v>1564046</v>
          </cell>
          <cell r="B969" t="str">
            <v>DF/G/V-15.00/.01 P1D 36UN CTN 3 BAGS</v>
          </cell>
          <cell r="C969">
            <v>1561904</v>
          </cell>
        </row>
        <row r="970">
          <cell r="A970">
            <v>1421976</v>
          </cell>
          <cell r="B970" t="str">
            <v>LE/G/V-474.10 P1E,1F 6UN CTN 1 BAG</v>
          </cell>
          <cell r="C970">
            <v>1561904</v>
          </cell>
        </row>
        <row r="971">
          <cell r="A971">
            <v>1564647</v>
          </cell>
          <cell r="B971" t="str">
            <v>LE/G/V-563.00 P1D,1E 6UN CTN 1 BAG</v>
          </cell>
          <cell r="C971">
            <v>1561904</v>
          </cell>
        </row>
        <row r="972">
          <cell r="A972">
            <v>1579426</v>
          </cell>
          <cell r="B972" t="str">
            <v>LE/G/V-563.01 P1D,1E 3UN CTN 1 BAG</v>
          </cell>
          <cell r="C972">
            <v>1561904</v>
          </cell>
        </row>
      </sheetData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 Dates"/>
      <sheetName val="SPP"/>
      <sheetName val="YPSR2"/>
      <sheetName val="CapNew"/>
      <sheetName val="ByPart"/>
      <sheetName val="Weights per Bag"/>
      <sheetName val="Part to WIP Key"/>
      <sheetName val="HF 123CF"/>
      <sheetName val="Notes"/>
      <sheetName val="4HR"/>
      <sheetName val="4HRW"/>
      <sheetName val="Relabel Routes"/>
      <sheetName val="Pallets"/>
      <sheetName val="Filter"/>
      <sheetName val="Sortcodes"/>
      <sheetName val="AutoUpdates"/>
      <sheetName val="Setup Groups"/>
      <sheetName val="Relabels PKs"/>
      <sheetName val="Sheet1"/>
      <sheetName val="Admin"/>
      <sheetName val="4HRW _PAL"/>
      <sheetName val="Campaigns"/>
      <sheetName val="Sheet2"/>
      <sheetName val="WHR"/>
      <sheetName val="OEE"/>
      <sheetName val="HF ByPart"/>
      <sheetName val="H3_WIP_Parents"/>
      <sheetName val="HC ByFill"/>
      <sheetName val="H1"/>
      <sheetName val="Flist"/>
      <sheetName val="Timer"/>
      <sheetName val="Move Contr"/>
      <sheetName val="HR"/>
      <sheetName val="Health Checks"/>
      <sheetName val="19. Dry Parts Task List"/>
      <sheetName val="20. Dry Parts Capacity"/>
      <sheetName val="SPK"/>
      <sheetName val="New Shells"/>
      <sheetName val="Filler Weeks"/>
      <sheetName val="Trial"/>
      <sheetName val="Trial (2)"/>
      <sheetName val="ByPart (2)"/>
      <sheetName val="Extra"/>
      <sheetName val="HF ByPart (2)"/>
      <sheetName val="Relabel"/>
      <sheetName val="Sheet3"/>
      <sheetName val="Sheet4"/>
      <sheetName val="HF 123CF (2)"/>
      <sheetName val="Copy"/>
    </sheetNames>
    <sheetDataSet>
      <sheetData sheetId="0"/>
      <sheetData sheetId="1"/>
      <sheetData sheetId="2">
        <row r="46">
          <cell r="M46">
            <v>189</v>
          </cell>
        </row>
      </sheetData>
      <sheetData sheetId="3"/>
      <sheetData sheetId="4"/>
      <sheetData sheetId="5">
        <row r="1">
          <cell r="A1" t="str">
            <v>Number</v>
          </cell>
        </row>
        <row r="2">
          <cell r="A2">
            <v>1000721</v>
          </cell>
        </row>
        <row r="3">
          <cell r="A3">
            <v>1000722</v>
          </cell>
        </row>
        <row r="4">
          <cell r="A4">
            <v>1000967</v>
          </cell>
        </row>
        <row r="5">
          <cell r="A5">
            <v>1000988</v>
          </cell>
        </row>
        <row r="6">
          <cell r="A6">
            <v>1001124</v>
          </cell>
        </row>
        <row r="7">
          <cell r="A7">
            <v>1001140</v>
          </cell>
        </row>
        <row r="8">
          <cell r="A8">
            <v>1001143</v>
          </cell>
        </row>
        <row r="9">
          <cell r="A9">
            <v>1001189</v>
          </cell>
        </row>
        <row r="10">
          <cell r="A10">
            <v>1001193</v>
          </cell>
        </row>
        <row r="11">
          <cell r="A11">
            <v>1001448</v>
          </cell>
        </row>
        <row r="12">
          <cell r="A12">
            <v>1001473</v>
          </cell>
        </row>
        <row r="13">
          <cell r="A13">
            <v>1001474</v>
          </cell>
        </row>
        <row r="14">
          <cell r="A14">
            <v>1001486</v>
          </cell>
        </row>
        <row r="15">
          <cell r="A15">
            <v>1001490</v>
          </cell>
        </row>
        <row r="16">
          <cell r="A16">
            <v>1001494</v>
          </cell>
        </row>
        <row r="17">
          <cell r="A17">
            <v>1001495</v>
          </cell>
        </row>
        <row r="18">
          <cell r="A18">
            <v>1001499</v>
          </cell>
        </row>
        <row r="19">
          <cell r="A19">
            <v>1001508</v>
          </cell>
        </row>
        <row r="20">
          <cell r="A20">
            <v>1001520</v>
          </cell>
        </row>
        <row r="21">
          <cell r="A21">
            <v>1001521</v>
          </cell>
        </row>
        <row r="22">
          <cell r="A22">
            <v>1001604</v>
          </cell>
        </row>
        <row r="23">
          <cell r="A23">
            <v>1001675</v>
          </cell>
        </row>
        <row r="24">
          <cell r="A24">
            <v>1001690</v>
          </cell>
        </row>
        <row r="25">
          <cell r="A25">
            <v>1001737</v>
          </cell>
        </row>
        <row r="26">
          <cell r="A26">
            <v>1001738</v>
          </cell>
        </row>
        <row r="27">
          <cell r="A27">
            <v>1001861</v>
          </cell>
        </row>
        <row r="28">
          <cell r="A28">
            <v>1001884</v>
          </cell>
        </row>
        <row r="29">
          <cell r="A29">
            <v>1005340</v>
          </cell>
        </row>
        <row r="30">
          <cell r="A30">
            <v>1005873</v>
          </cell>
        </row>
        <row r="31">
          <cell r="A31">
            <v>1006395</v>
          </cell>
        </row>
        <row r="32">
          <cell r="A32">
            <v>1006397</v>
          </cell>
        </row>
        <row r="33">
          <cell r="A33">
            <v>1006405</v>
          </cell>
        </row>
        <row r="34">
          <cell r="A34">
            <v>1006541</v>
          </cell>
        </row>
        <row r="35">
          <cell r="A35">
            <v>1006782</v>
          </cell>
        </row>
        <row r="36">
          <cell r="A36">
            <v>1007216</v>
          </cell>
        </row>
        <row r="37">
          <cell r="A37">
            <v>1009573</v>
          </cell>
        </row>
        <row r="38">
          <cell r="A38">
            <v>1014427</v>
          </cell>
        </row>
        <row r="39">
          <cell r="A39">
            <v>1015260</v>
          </cell>
        </row>
        <row r="40">
          <cell r="A40">
            <v>1016847</v>
          </cell>
        </row>
        <row r="41">
          <cell r="A41">
            <v>1017214</v>
          </cell>
        </row>
        <row r="42">
          <cell r="A42">
            <v>1018634</v>
          </cell>
        </row>
        <row r="43">
          <cell r="A43">
            <v>1018636</v>
          </cell>
        </row>
        <row r="44">
          <cell r="A44">
            <v>1018957</v>
          </cell>
        </row>
        <row r="45">
          <cell r="A45">
            <v>1019401</v>
          </cell>
        </row>
        <row r="46">
          <cell r="A46">
            <v>1026641</v>
          </cell>
        </row>
        <row r="47">
          <cell r="A47">
            <v>1026655</v>
          </cell>
        </row>
        <row r="48">
          <cell r="A48">
            <v>1027523</v>
          </cell>
        </row>
        <row r="49">
          <cell r="A49">
            <v>1028172</v>
          </cell>
        </row>
        <row r="50">
          <cell r="A50">
            <v>1032546</v>
          </cell>
        </row>
        <row r="51">
          <cell r="A51">
            <v>1036882</v>
          </cell>
        </row>
        <row r="52">
          <cell r="A52">
            <v>1043394</v>
          </cell>
        </row>
        <row r="53">
          <cell r="A53">
            <v>1059666</v>
          </cell>
        </row>
        <row r="54">
          <cell r="A54">
            <v>1062281</v>
          </cell>
        </row>
        <row r="55">
          <cell r="A55">
            <v>1062585</v>
          </cell>
        </row>
        <row r="56">
          <cell r="A56">
            <v>1062586</v>
          </cell>
        </row>
        <row r="57">
          <cell r="A57">
            <v>1063071</v>
          </cell>
        </row>
        <row r="58">
          <cell r="A58">
            <v>1063337</v>
          </cell>
        </row>
        <row r="59">
          <cell r="A59">
            <v>1085394</v>
          </cell>
        </row>
        <row r="60">
          <cell r="A60">
            <v>1086096</v>
          </cell>
        </row>
        <row r="61">
          <cell r="A61">
            <v>1090424</v>
          </cell>
        </row>
        <row r="62">
          <cell r="A62">
            <v>1092796</v>
          </cell>
        </row>
        <row r="63">
          <cell r="A63">
            <v>1092800</v>
          </cell>
        </row>
        <row r="64">
          <cell r="A64">
            <v>1092801</v>
          </cell>
        </row>
        <row r="65">
          <cell r="A65">
            <v>1092994</v>
          </cell>
        </row>
        <row r="66">
          <cell r="A66">
            <v>1092995</v>
          </cell>
        </row>
        <row r="67">
          <cell r="A67">
            <v>1093095</v>
          </cell>
        </row>
        <row r="68">
          <cell r="A68">
            <v>1093098</v>
          </cell>
        </row>
        <row r="69">
          <cell r="A69">
            <v>1093110</v>
          </cell>
        </row>
        <row r="70">
          <cell r="A70">
            <v>1093115</v>
          </cell>
        </row>
        <row r="71">
          <cell r="A71">
            <v>1096397</v>
          </cell>
        </row>
        <row r="72">
          <cell r="A72">
            <v>1109495</v>
          </cell>
        </row>
        <row r="73">
          <cell r="A73">
            <v>1117400</v>
          </cell>
        </row>
        <row r="74">
          <cell r="A74">
            <v>1118312</v>
          </cell>
        </row>
        <row r="75">
          <cell r="A75">
            <v>1118927</v>
          </cell>
        </row>
        <row r="76">
          <cell r="A76">
            <v>1122395</v>
          </cell>
        </row>
        <row r="77">
          <cell r="A77">
            <v>1122398</v>
          </cell>
        </row>
        <row r="78">
          <cell r="A78">
            <v>1122399</v>
          </cell>
        </row>
        <row r="79">
          <cell r="A79">
            <v>1124898</v>
          </cell>
        </row>
        <row r="80">
          <cell r="A80">
            <v>1126999</v>
          </cell>
        </row>
        <row r="81">
          <cell r="A81">
            <v>1129802</v>
          </cell>
        </row>
        <row r="82">
          <cell r="A82">
            <v>1129810</v>
          </cell>
        </row>
        <row r="83">
          <cell r="A83">
            <v>1135003</v>
          </cell>
        </row>
        <row r="84">
          <cell r="A84">
            <v>1149315</v>
          </cell>
        </row>
        <row r="85">
          <cell r="A85">
            <v>1160094</v>
          </cell>
        </row>
        <row r="86">
          <cell r="A86">
            <v>1165904</v>
          </cell>
        </row>
        <row r="87">
          <cell r="A87">
            <v>1169754</v>
          </cell>
        </row>
        <row r="88">
          <cell r="A88">
            <v>1169756</v>
          </cell>
        </row>
        <row r="89">
          <cell r="A89">
            <v>1172349</v>
          </cell>
        </row>
        <row r="90">
          <cell r="A90">
            <v>1190128</v>
          </cell>
        </row>
        <row r="91">
          <cell r="A91">
            <v>1192009</v>
          </cell>
        </row>
        <row r="92">
          <cell r="A92">
            <v>1194498</v>
          </cell>
        </row>
        <row r="93">
          <cell r="A93">
            <v>1194500</v>
          </cell>
        </row>
        <row r="94">
          <cell r="A94">
            <v>1195301</v>
          </cell>
        </row>
        <row r="95">
          <cell r="A95">
            <v>1198818</v>
          </cell>
        </row>
        <row r="96">
          <cell r="A96">
            <v>1202337</v>
          </cell>
        </row>
        <row r="97">
          <cell r="A97">
            <v>1203034</v>
          </cell>
        </row>
        <row r="98">
          <cell r="A98">
            <v>1203150</v>
          </cell>
        </row>
        <row r="99">
          <cell r="A99">
            <v>1203935</v>
          </cell>
        </row>
        <row r="100">
          <cell r="A100">
            <v>1206361</v>
          </cell>
        </row>
        <row r="101">
          <cell r="A101">
            <v>1211594</v>
          </cell>
        </row>
        <row r="102">
          <cell r="A102">
            <v>1213770</v>
          </cell>
        </row>
        <row r="103">
          <cell r="A103">
            <v>1218097</v>
          </cell>
        </row>
        <row r="104">
          <cell r="A104">
            <v>1218498</v>
          </cell>
        </row>
        <row r="105">
          <cell r="A105">
            <v>1218499</v>
          </cell>
        </row>
        <row r="106">
          <cell r="A106">
            <v>1218500</v>
          </cell>
        </row>
        <row r="107">
          <cell r="A107">
            <v>1231672</v>
          </cell>
        </row>
        <row r="108">
          <cell r="A108">
            <v>1233608</v>
          </cell>
        </row>
        <row r="109">
          <cell r="A109">
            <v>1233611</v>
          </cell>
        </row>
        <row r="110">
          <cell r="A110">
            <v>1233718</v>
          </cell>
        </row>
        <row r="111">
          <cell r="A111">
            <v>1233937</v>
          </cell>
        </row>
        <row r="112">
          <cell r="A112">
            <v>1235308</v>
          </cell>
        </row>
        <row r="113">
          <cell r="A113">
            <v>1241683</v>
          </cell>
        </row>
        <row r="114">
          <cell r="A114">
            <v>1241691</v>
          </cell>
        </row>
        <row r="115">
          <cell r="A115">
            <v>1242109</v>
          </cell>
        </row>
        <row r="116">
          <cell r="A116">
            <v>1242278</v>
          </cell>
        </row>
        <row r="117">
          <cell r="A117">
            <v>1242280</v>
          </cell>
        </row>
        <row r="118">
          <cell r="A118">
            <v>1243142</v>
          </cell>
        </row>
        <row r="119">
          <cell r="A119">
            <v>1243901</v>
          </cell>
        </row>
        <row r="120">
          <cell r="A120">
            <v>1246745</v>
          </cell>
        </row>
        <row r="121">
          <cell r="A121">
            <v>1247509</v>
          </cell>
        </row>
        <row r="122">
          <cell r="A122">
            <v>1250923</v>
          </cell>
        </row>
        <row r="123">
          <cell r="A123">
            <v>1250994</v>
          </cell>
        </row>
        <row r="124">
          <cell r="A124">
            <v>1250995</v>
          </cell>
        </row>
        <row r="125">
          <cell r="A125">
            <v>1251042</v>
          </cell>
        </row>
        <row r="126">
          <cell r="A126">
            <v>1259110</v>
          </cell>
        </row>
        <row r="127">
          <cell r="A127">
            <v>1264319</v>
          </cell>
        </row>
        <row r="128">
          <cell r="A128">
            <v>1271727</v>
          </cell>
        </row>
        <row r="129">
          <cell r="A129">
            <v>1280299</v>
          </cell>
        </row>
        <row r="130">
          <cell r="A130">
            <v>1280300</v>
          </cell>
        </row>
        <row r="131">
          <cell r="A131">
            <v>1281000</v>
          </cell>
        </row>
        <row r="132">
          <cell r="A132">
            <v>1284955</v>
          </cell>
        </row>
        <row r="133">
          <cell r="A133">
            <v>1287863</v>
          </cell>
        </row>
        <row r="134">
          <cell r="A134">
            <v>1288134</v>
          </cell>
        </row>
        <row r="135">
          <cell r="A135">
            <v>1289197</v>
          </cell>
        </row>
        <row r="136">
          <cell r="A136">
            <v>1289222</v>
          </cell>
        </row>
        <row r="137">
          <cell r="A137">
            <v>1291103</v>
          </cell>
        </row>
        <row r="138">
          <cell r="A138">
            <v>1292311</v>
          </cell>
        </row>
        <row r="139">
          <cell r="A139">
            <v>1299354</v>
          </cell>
        </row>
        <row r="140">
          <cell r="A140">
            <v>1304805</v>
          </cell>
        </row>
        <row r="141">
          <cell r="A141">
            <v>1306292</v>
          </cell>
        </row>
        <row r="142">
          <cell r="A142">
            <v>1306533</v>
          </cell>
        </row>
        <row r="143">
          <cell r="A143">
            <v>1307112</v>
          </cell>
        </row>
        <row r="144">
          <cell r="A144">
            <v>1307324</v>
          </cell>
        </row>
        <row r="145">
          <cell r="A145">
            <v>1308456</v>
          </cell>
        </row>
        <row r="146">
          <cell r="A146">
            <v>1308655</v>
          </cell>
        </row>
        <row r="147">
          <cell r="A147">
            <v>1309327</v>
          </cell>
        </row>
        <row r="148">
          <cell r="A148">
            <v>1310725</v>
          </cell>
        </row>
        <row r="149">
          <cell r="A149">
            <v>1310904</v>
          </cell>
        </row>
        <row r="150">
          <cell r="A150">
            <v>1310908</v>
          </cell>
        </row>
        <row r="151">
          <cell r="A151">
            <v>1310911</v>
          </cell>
        </row>
        <row r="152">
          <cell r="A152">
            <v>1310992</v>
          </cell>
        </row>
        <row r="153">
          <cell r="A153">
            <v>1311367</v>
          </cell>
        </row>
        <row r="154">
          <cell r="A154">
            <v>1312821</v>
          </cell>
        </row>
        <row r="155">
          <cell r="A155">
            <v>1314519</v>
          </cell>
        </row>
        <row r="156">
          <cell r="A156">
            <v>1316096</v>
          </cell>
        </row>
        <row r="157">
          <cell r="A157">
            <v>1316100</v>
          </cell>
        </row>
        <row r="158">
          <cell r="A158">
            <v>1316101</v>
          </cell>
        </row>
        <row r="159">
          <cell r="A159">
            <v>1317330</v>
          </cell>
        </row>
        <row r="160">
          <cell r="A160">
            <v>1317332</v>
          </cell>
        </row>
        <row r="161">
          <cell r="A161">
            <v>1323618</v>
          </cell>
        </row>
        <row r="162">
          <cell r="A162">
            <v>1327326</v>
          </cell>
        </row>
        <row r="163">
          <cell r="A163">
            <v>1327373</v>
          </cell>
        </row>
        <row r="164">
          <cell r="A164">
            <v>1327376</v>
          </cell>
        </row>
        <row r="165">
          <cell r="A165">
            <v>1329999</v>
          </cell>
        </row>
        <row r="166">
          <cell r="A166">
            <v>1332094</v>
          </cell>
        </row>
        <row r="167">
          <cell r="A167">
            <v>1332116</v>
          </cell>
        </row>
        <row r="168">
          <cell r="A168">
            <v>1335016</v>
          </cell>
        </row>
        <row r="169">
          <cell r="A169">
            <v>1336301</v>
          </cell>
        </row>
        <row r="170">
          <cell r="A170">
            <v>1337119</v>
          </cell>
        </row>
        <row r="171">
          <cell r="A171">
            <v>1337120</v>
          </cell>
        </row>
        <row r="172">
          <cell r="A172">
            <v>1340313</v>
          </cell>
        </row>
        <row r="173">
          <cell r="A173">
            <v>1340315</v>
          </cell>
        </row>
        <row r="174">
          <cell r="A174">
            <v>1340604</v>
          </cell>
        </row>
        <row r="175">
          <cell r="A175">
            <v>1340607</v>
          </cell>
        </row>
        <row r="176">
          <cell r="A176">
            <v>1341227</v>
          </cell>
        </row>
        <row r="177">
          <cell r="A177">
            <v>1342297</v>
          </cell>
        </row>
        <row r="178">
          <cell r="A178">
            <v>1342298</v>
          </cell>
        </row>
        <row r="179">
          <cell r="A179">
            <v>1343299</v>
          </cell>
        </row>
        <row r="180">
          <cell r="A180">
            <v>1344202</v>
          </cell>
        </row>
        <row r="181">
          <cell r="A181">
            <v>1344755</v>
          </cell>
        </row>
        <row r="182">
          <cell r="A182">
            <v>1345410</v>
          </cell>
        </row>
        <row r="183">
          <cell r="A183">
            <v>1345446</v>
          </cell>
        </row>
        <row r="184">
          <cell r="A184">
            <v>1347937</v>
          </cell>
        </row>
        <row r="185">
          <cell r="A185">
            <v>1347939</v>
          </cell>
        </row>
        <row r="186">
          <cell r="A186">
            <v>1347945</v>
          </cell>
        </row>
        <row r="187">
          <cell r="A187">
            <v>1349005</v>
          </cell>
        </row>
        <row r="188">
          <cell r="A188">
            <v>1349535</v>
          </cell>
        </row>
        <row r="189">
          <cell r="A189">
            <v>1349536</v>
          </cell>
        </row>
        <row r="190">
          <cell r="A190">
            <v>1351729</v>
          </cell>
        </row>
        <row r="191">
          <cell r="A191">
            <v>1352656</v>
          </cell>
        </row>
        <row r="192">
          <cell r="A192">
            <v>1353214</v>
          </cell>
        </row>
        <row r="193">
          <cell r="A193">
            <v>1354369</v>
          </cell>
        </row>
        <row r="194">
          <cell r="A194">
            <v>1357846</v>
          </cell>
        </row>
        <row r="195">
          <cell r="A195">
            <v>1357848</v>
          </cell>
        </row>
        <row r="196">
          <cell r="A196">
            <v>1358031</v>
          </cell>
        </row>
        <row r="197">
          <cell r="A197">
            <v>1359315</v>
          </cell>
        </row>
        <row r="198">
          <cell r="A198">
            <v>1359826</v>
          </cell>
        </row>
        <row r="199">
          <cell r="A199">
            <v>1359926</v>
          </cell>
        </row>
        <row r="200">
          <cell r="A200">
            <v>1360706</v>
          </cell>
        </row>
        <row r="201">
          <cell r="A201">
            <v>1361394</v>
          </cell>
        </row>
        <row r="202">
          <cell r="A202">
            <v>1362215</v>
          </cell>
        </row>
        <row r="203">
          <cell r="A203">
            <v>1364861</v>
          </cell>
        </row>
        <row r="204">
          <cell r="A204">
            <v>1364862</v>
          </cell>
        </row>
        <row r="205">
          <cell r="A205">
            <v>1365797</v>
          </cell>
        </row>
        <row r="206">
          <cell r="A206">
            <v>1365934</v>
          </cell>
        </row>
        <row r="207">
          <cell r="A207">
            <v>1365935</v>
          </cell>
        </row>
        <row r="208">
          <cell r="A208">
            <v>1366102</v>
          </cell>
        </row>
        <row r="209">
          <cell r="A209">
            <v>1366108</v>
          </cell>
        </row>
        <row r="210">
          <cell r="A210">
            <v>1367597</v>
          </cell>
        </row>
        <row r="211">
          <cell r="A211">
            <v>1368023</v>
          </cell>
        </row>
        <row r="212">
          <cell r="A212">
            <v>1368255</v>
          </cell>
        </row>
        <row r="213">
          <cell r="A213">
            <v>1368507</v>
          </cell>
        </row>
        <row r="214">
          <cell r="A214">
            <v>1372008</v>
          </cell>
        </row>
        <row r="215">
          <cell r="A215">
            <v>1372009</v>
          </cell>
        </row>
        <row r="216">
          <cell r="A216">
            <v>1372201</v>
          </cell>
        </row>
        <row r="217">
          <cell r="A217">
            <v>1372204</v>
          </cell>
        </row>
        <row r="218">
          <cell r="A218">
            <v>1372218</v>
          </cell>
        </row>
        <row r="219">
          <cell r="A219">
            <v>1372681</v>
          </cell>
        </row>
        <row r="220">
          <cell r="A220">
            <v>1376531</v>
          </cell>
        </row>
        <row r="221">
          <cell r="A221">
            <v>1378628</v>
          </cell>
        </row>
        <row r="222">
          <cell r="A222">
            <v>1379488</v>
          </cell>
        </row>
        <row r="223">
          <cell r="A223">
            <v>1379490</v>
          </cell>
        </row>
        <row r="224">
          <cell r="A224">
            <v>1379544</v>
          </cell>
        </row>
        <row r="225">
          <cell r="A225">
            <v>1379547</v>
          </cell>
        </row>
        <row r="226">
          <cell r="A226">
            <v>1379549</v>
          </cell>
        </row>
        <row r="227">
          <cell r="A227">
            <v>1379954</v>
          </cell>
        </row>
        <row r="228">
          <cell r="A228">
            <v>1380758</v>
          </cell>
        </row>
        <row r="229">
          <cell r="A229">
            <v>1383270</v>
          </cell>
        </row>
        <row r="230">
          <cell r="A230">
            <v>1384394</v>
          </cell>
        </row>
        <row r="231">
          <cell r="A231">
            <v>1384396</v>
          </cell>
        </row>
        <row r="232">
          <cell r="A232">
            <v>1389038</v>
          </cell>
        </row>
        <row r="233">
          <cell r="A233">
            <v>1391579</v>
          </cell>
        </row>
        <row r="234">
          <cell r="A234">
            <v>1393857</v>
          </cell>
        </row>
        <row r="235">
          <cell r="A235">
            <v>1393859</v>
          </cell>
        </row>
        <row r="236">
          <cell r="A236">
            <v>1395345</v>
          </cell>
        </row>
        <row r="237">
          <cell r="A237">
            <v>1395356</v>
          </cell>
        </row>
        <row r="238">
          <cell r="A238">
            <v>1395716</v>
          </cell>
        </row>
        <row r="239">
          <cell r="A239">
            <v>1397317</v>
          </cell>
        </row>
        <row r="240">
          <cell r="A240">
            <v>1397701</v>
          </cell>
        </row>
        <row r="241">
          <cell r="A241">
            <v>1397795</v>
          </cell>
        </row>
        <row r="242">
          <cell r="A242">
            <v>1397921</v>
          </cell>
        </row>
        <row r="243">
          <cell r="A243">
            <v>1399299</v>
          </cell>
        </row>
        <row r="244">
          <cell r="A244">
            <v>1399324</v>
          </cell>
        </row>
        <row r="245">
          <cell r="A245">
            <v>1399325</v>
          </cell>
        </row>
        <row r="246">
          <cell r="A246">
            <v>1399943</v>
          </cell>
        </row>
        <row r="247">
          <cell r="A247">
            <v>1399997</v>
          </cell>
        </row>
        <row r="248">
          <cell r="A248">
            <v>1400124</v>
          </cell>
        </row>
        <row r="249">
          <cell r="A249">
            <v>1400407</v>
          </cell>
        </row>
        <row r="250">
          <cell r="A250">
            <v>1400408</v>
          </cell>
        </row>
        <row r="251">
          <cell r="A251">
            <v>1402917</v>
          </cell>
        </row>
        <row r="252">
          <cell r="A252">
            <v>1402936</v>
          </cell>
        </row>
        <row r="253">
          <cell r="A253">
            <v>1404811</v>
          </cell>
        </row>
        <row r="254">
          <cell r="A254">
            <v>1404817</v>
          </cell>
        </row>
        <row r="255">
          <cell r="A255">
            <v>1405653</v>
          </cell>
        </row>
        <row r="256">
          <cell r="A256">
            <v>1405726</v>
          </cell>
        </row>
        <row r="257">
          <cell r="A257">
            <v>1405757</v>
          </cell>
        </row>
        <row r="258">
          <cell r="A258">
            <v>1405759</v>
          </cell>
        </row>
        <row r="259">
          <cell r="A259">
            <v>1405761</v>
          </cell>
        </row>
        <row r="260">
          <cell r="A260">
            <v>1408319</v>
          </cell>
        </row>
        <row r="261">
          <cell r="A261">
            <v>1408447</v>
          </cell>
        </row>
        <row r="262">
          <cell r="A262">
            <v>1408451</v>
          </cell>
        </row>
        <row r="263">
          <cell r="A263">
            <v>1408452</v>
          </cell>
        </row>
        <row r="264">
          <cell r="A264">
            <v>1408495</v>
          </cell>
        </row>
        <row r="265">
          <cell r="A265">
            <v>1408496</v>
          </cell>
        </row>
        <row r="266">
          <cell r="A266">
            <v>1410447</v>
          </cell>
        </row>
        <row r="267">
          <cell r="A267">
            <v>1410448</v>
          </cell>
        </row>
        <row r="268">
          <cell r="A268">
            <v>1411899</v>
          </cell>
        </row>
        <row r="269">
          <cell r="A269">
            <v>1412211</v>
          </cell>
        </row>
        <row r="270">
          <cell r="A270">
            <v>1412212</v>
          </cell>
        </row>
        <row r="271">
          <cell r="A271">
            <v>1412653</v>
          </cell>
        </row>
        <row r="272">
          <cell r="A272">
            <v>1413513</v>
          </cell>
        </row>
        <row r="273">
          <cell r="A273">
            <v>1414125</v>
          </cell>
        </row>
        <row r="274">
          <cell r="A274">
            <v>1414130</v>
          </cell>
        </row>
        <row r="275">
          <cell r="A275">
            <v>1414131</v>
          </cell>
        </row>
        <row r="276">
          <cell r="A276">
            <v>1414132</v>
          </cell>
        </row>
        <row r="277">
          <cell r="A277">
            <v>1414133</v>
          </cell>
        </row>
        <row r="278">
          <cell r="A278">
            <v>1414808</v>
          </cell>
        </row>
        <row r="279">
          <cell r="A279">
            <v>1415008</v>
          </cell>
        </row>
        <row r="280">
          <cell r="A280">
            <v>1415472</v>
          </cell>
        </row>
        <row r="281">
          <cell r="A281">
            <v>1415798</v>
          </cell>
        </row>
        <row r="282">
          <cell r="A282">
            <v>1415799</v>
          </cell>
        </row>
        <row r="283">
          <cell r="A283">
            <v>1415801</v>
          </cell>
        </row>
        <row r="284">
          <cell r="A284">
            <v>1417295</v>
          </cell>
        </row>
        <row r="285">
          <cell r="A285">
            <v>1417301</v>
          </cell>
        </row>
        <row r="286">
          <cell r="A286">
            <v>1418548</v>
          </cell>
        </row>
        <row r="287">
          <cell r="A287">
            <v>1418549</v>
          </cell>
        </row>
        <row r="288">
          <cell r="A288">
            <v>1419396</v>
          </cell>
        </row>
        <row r="289">
          <cell r="A289">
            <v>1420006</v>
          </cell>
        </row>
        <row r="290">
          <cell r="A290">
            <v>1420012</v>
          </cell>
        </row>
        <row r="291">
          <cell r="A291">
            <v>1421843</v>
          </cell>
        </row>
        <row r="292">
          <cell r="A292">
            <v>1423651</v>
          </cell>
        </row>
        <row r="293">
          <cell r="A293">
            <v>1423656</v>
          </cell>
        </row>
        <row r="294">
          <cell r="A294">
            <v>1423657</v>
          </cell>
        </row>
        <row r="295">
          <cell r="A295">
            <v>1423854</v>
          </cell>
        </row>
        <row r="296">
          <cell r="A296">
            <v>1423860</v>
          </cell>
        </row>
        <row r="297">
          <cell r="A297">
            <v>1423862</v>
          </cell>
        </row>
        <row r="298">
          <cell r="A298">
            <v>1425194</v>
          </cell>
        </row>
        <row r="299">
          <cell r="A299">
            <v>1425509</v>
          </cell>
        </row>
        <row r="300">
          <cell r="A300">
            <v>1425514</v>
          </cell>
        </row>
        <row r="301">
          <cell r="A301">
            <v>1428198</v>
          </cell>
        </row>
        <row r="302">
          <cell r="A302">
            <v>1428456</v>
          </cell>
        </row>
        <row r="303">
          <cell r="A303">
            <v>1428460</v>
          </cell>
        </row>
        <row r="304">
          <cell r="A304">
            <v>1430298</v>
          </cell>
        </row>
        <row r="305">
          <cell r="A305">
            <v>1431396</v>
          </cell>
        </row>
        <row r="306">
          <cell r="A306">
            <v>1432647</v>
          </cell>
        </row>
        <row r="307">
          <cell r="A307">
            <v>1432716</v>
          </cell>
        </row>
        <row r="308">
          <cell r="A308">
            <v>1434193</v>
          </cell>
        </row>
        <row r="309">
          <cell r="A309">
            <v>1434725</v>
          </cell>
        </row>
        <row r="310">
          <cell r="A310">
            <v>1436220</v>
          </cell>
        </row>
        <row r="311">
          <cell r="A311">
            <v>1437306</v>
          </cell>
        </row>
        <row r="312">
          <cell r="A312">
            <v>1438146</v>
          </cell>
        </row>
        <row r="313">
          <cell r="A313">
            <v>1439299</v>
          </cell>
        </row>
        <row r="314">
          <cell r="A314">
            <v>1439403</v>
          </cell>
        </row>
        <row r="315">
          <cell r="A315">
            <v>1440497</v>
          </cell>
        </row>
        <row r="316">
          <cell r="A316">
            <v>1441537</v>
          </cell>
        </row>
        <row r="317">
          <cell r="A317">
            <v>1442606</v>
          </cell>
        </row>
        <row r="318">
          <cell r="A318">
            <v>1444914</v>
          </cell>
        </row>
        <row r="319">
          <cell r="A319">
            <v>1445031</v>
          </cell>
        </row>
        <row r="320">
          <cell r="A320">
            <v>1447638</v>
          </cell>
        </row>
        <row r="321">
          <cell r="A321">
            <v>1447639</v>
          </cell>
        </row>
        <row r="322">
          <cell r="A322">
            <v>1451697</v>
          </cell>
        </row>
        <row r="323">
          <cell r="A323">
            <v>1451701</v>
          </cell>
        </row>
        <row r="324">
          <cell r="A324">
            <v>1457226</v>
          </cell>
        </row>
        <row r="325">
          <cell r="A325">
            <v>1458823</v>
          </cell>
        </row>
        <row r="326">
          <cell r="A326">
            <v>1458826</v>
          </cell>
        </row>
        <row r="327">
          <cell r="A327">
            <v>1458829</v>
          </cell>
        </row>
        <row r="328">
          <cell r="A328">
            <v>1459767</v>
          </cell>
        </row>
        <row r="329">
          <cell r="A329">
            <v>1459769</v>
          </cell>
        </row>
        <row r="330">
          <cell r="A330">
            <v>1459770</v>
          </cell>
        </row>
        <row r="331">
          <cell r="A331">
            <v>1459806</v>
          </cell>
        </row>
        <row r="332">
          <cell r="A332">
            <v>1460729</v>
          </cell>
        </row>
        <row r="333">
          <cell r="A333">
            <v>1462938</v>
          </cell>
        </row>
        <row r="334">
          <cell r="A334">
            <v>1463824</v>
          </cell>
        </row>
        <row r="335">
          <cell r="A335">
            <v>1465496</v>
          </cell>
        </row>
        <row r="336">
          <cell r="A336">
            <v>1471102</v>
          </cell>
        </row>
        <row r="337">
          <cell r="A337">
            <v>1473931</v>
          </cell>
        </row>
        <row r="338">
          <cell r="A338">
            <v>1474539</v>
          </cell>
        </row>
        <row r="339">
          <cell r="A339">
            <v>1475004</v>
          </cell>
        </row>
        <row r="340">
          <cell r="A340">
            <v>1475007</v>
          </cell>
        </row>
        <row r="341">
          <cell r="A341">
            <v>1475912</v>
          </cell>
        </row>
        <row r="342">
          <cell r="A342">
            <v>1475938</v>
          </cell>
        </row>
        <row r="343">
          <cell r="A343">
            <v>1479701</v>
          </cell>
        </row>
        <row r="344">
          <cell r="A344">
            <v>1479703</v>
          </cell>
        </row>
        <row r="345">
          <cell r="A345">
            <v>1481115</v>
          </cell>
        </row>
        <row r="346">
          <cell r="A346">
            <v>1481117</v>
          </cell>
        </row>
        <row r="347">
          <cell r="A347">
            <v>1481202</v>
          </cell>
        </row>
        <row r="348">
          <cell r="A348">
            <v>1482613</v>
          </cell>
        </row>
        <row r="349">
          <cell r="A349">
            <v>1484140</v>
          </cell>
        </row>
        <row r="350">
          <cell r="A350">
            <v>1486028</v>
          </cell>
        </row>
        <row r="351">
          <cell r="A351">
            <v>1486035</v>
          </cell>
        </row>
        <row r="352">
          <cell r="A352">
            <v>1486036</v>
          </cell>
        </row>
        <row r="353">
          <cell r="A353">
            <v>1486039</v>
          </cell>
        </row>
        <row r="354">
          <cell r="A354">
            <v>1486496</v>
          </cell>
        </row>
        <row r="355">
          <cell r="A355">
            <v>1487133</v>
          </cell>
        </row>
        <row r="356">
          <cell r="A356">
            <v>1487134</v>
          </cell>
        </row>
        <row r="357">
          <cell r="A357">
            <v>1489702</v>
          </cell>
        </row>
        <row r="358">
          <cell r="A358">
            <v>1489705</v>
          </cell>
        </row>
        <row r="359">
          <cell r="A359">
            <v>1490605</v>
          </cell>
        </row>
        <row r="360">
          <cell r="A360">
            <v>1490606</v>
          </cell>
        </row>
        <row r="361">
          <cell r="A361">
            <v>1490608</v>
          </cell>
        </row>
        <row r="362">
          <cell r="A362">
            <v>1494715</v>
          </cell>
        </row>
        <row r="363">
          <cell r="A363">
            <v>1498401</v>
          </cell>
        </row>
        <row r="364">
          <cell r="A364">
            <v>1498403</v>
          </cell>
        </row>
        <row r="365">
          <cell r="A365">
            <v>1498406</v>
          </cell>
        </row>
        <row r="366">
          <cell r="A366">
            <v>1498517</v>
          </cell>
        </row>
        <row r="367">
          <cell r="A367">
            <v>1498542</v>
          </cell>
        </row>
        <row r="368">
          <cell r="A368">
            <v>1498545</v>
          </cell>
        </row>
        <row r="369">
          <cell r="A369">
            <v>1500833</v>
          </cell>
        </row>
        <row r="370">
          <cell r="A370">
            <v>1501913</v>
          </cell>
        </row>
        <row r="371">
          <cell r="A371">
            <v>1503954</v>
          </cell>
        </row>
        <row r="372">
          <cell r="A372">
            <v>1503963</v>
          </cell>
        </row>
        <row r="373">
          <cell r="A373">
            <v>1508657</v>
          </cell>
        </row>
        <row r="374">
          <cell r="A374">
            <v>1510104</v>
          </cell>
        </row>
        <row r="375">
          <cell r="A375">
            <v>1512501</v>
          </cell>
        </row>
        <row r="376">
          <cell r="A376">
            <v>1512504</v>
          </cell>
        </row>
        <row r="377">
          <cell r="A377">
            <v>1512698</v>
          </cell>
        </row>
        <row r="378">
          <cell r="A378">
            <v>1512699</v>
          </cell>
        </row>
        <row r="379">
          <cell r="A379">
            <v>1512702</v>
          </cell>
        </row>
        <row r="380">
          <cell r="A380">
            <v>1515404</v>
          </cell>
        </row>
        <row r="381">
          <cell r="A381">
            <v>1516881</v>
          </cell>
        </row>
        <row r="382">
          <cell r="A382">
            <v>1516994</v>
          </cell>
        </row>
        <row r="383">
          <cell r="A383">
            <v>1516996</v>
          </cell>
        </row>
        <row r="384">
          <cell r="A384">
            <v>1517638</v>
          </cell>
        </row>
        <row r="385">
          <cell r="A385">
            <v>1517897</v>
          </cell>
        </row>
        <row r="386">
          <cell r="A386">
            <v>1518767</v>
          </cell>
        </row>
        <row r="387">
          <cell r="A387">
            <v>1519569</v>
          </cell>
        </row>
        <row r="388">
          <cell r="A388">
            <v>1519597</v>
          </cell>
        </row>
        <row r="389">
          <cell r="A389">
            <v>1520721</v>
          </cell>
        </row>
        <row r="390">
          <cell r="A390">
            <v>1521800</v>
          </cell>
        </row>
        <row r="391">
          <cell r="A391">
            <v>1524052</v>
          </cell>
        </row>
        <row r="392">
          <cell r="A392">
            <v>1524063</v>
          </cell>
        </row>
        <row r="393">
          <cell r="A393">
            <v>1524251</v>
          </cell>
        </row>
        <row r="394">
          <cell r="A394">
            <v>1525216</v>
          </cell>
        </row>
        <row r="395">
          <cell r="A395">
            <v>1525219</v>
          </cell>
        </row>
        <row r="396">
          <cell r="A396">
            <v>1525227</v>
          </cell>
        </row>
        <row r="397">
          <cell r="A397">
            <v>1525363</v>
          </cell>
        </row>
        <row r="398">
          <cell r="A398">
            <v>1525366</v>
          </cell>
        </row>
        <row r="399">
          <cell r="A399">
            <v>1525826</v>
          </cell>
        </row>
        <row r="400">
          <cell r="A400">
            <v>1528368</v>
          </cell>
        </row>
        <row r="401">
          <cell r="A401">
            <v>1528371</v>
          </cell>
        </row>
        <row r="402">
          <cell r="A402">
            <v>1528375</v>
          </cell>
        </row>
        <row r="403">
          <cell r="A403">
            <v>1528484</v>
          </cell>
        </row>
        <row r="404">
          <cell r="A404">
            <v>1529074</v>
          </cell>
        </row>
        <row r="405">
          <cell r="A405">
            <v>1534047</v>
          </cell>
        </row>
        <row r="406">
          <cell r="A406">
            <v>1534095</v>
          </cell>
        </row>
        <row r="407">
          <cell r="A407">
            <v>1534098</v>
          </cell>
        </row>
        <row r="408">
          <cell r="A408">
            <v>1536360</v>
          </cell>
        </row>
        <row r="409">
          <cell r="A409">
            <v>1536373</v>
          </cell>
        </row>
        <row r="410">
          <cell r="A410">
            <v>1536376</v>
          </cell>
        </row>
        <row r="411">
          <cell r="A411">
            <v>1538980</v>
          </cell>
        </row>
        <row r="412">
          <cell r="A412">
            <v>1539192</v>
          </cell>
        </row>
        <row r="413">
          <cell r="A413">
            <v>1540037</v>
          </cell>
        </row>
        <row r="414">
          <cell r="A414">
            <v>1540046</v>
          </cell>
        </row>
        <row r="415">
          <cell r="A415">
            <v>1540056</v>
          </cell>
        </row>
        <row r="416">
          <cell r="A416">
            <v>1540129</v>
          </cell>
        </row>
        <row r="417">
          <cell r="A417">
            <v>1540557</v>
          </cell>
        </row>
        <row r="418">
          <cell r="A418">
            <v>1540560</v>
          </cell>
        </row>
        <row r="419">
          <cell r="A419">
            <v>1540996</v>
          </cell>
        </row>
        <row r="420">
          <cell r="A420">
            <v>1543841</v>
          </cell>
        </row>
        <row r="421">
          <cell r="A421">
            <v>1544514</v>
          </cell>
        </row>
        <row r="422">
          <cell r="A422">
            <v>1544517</v>
          </cell>
        </row>
        <row r="423">
          <cell r="A423">
            <v>1548047</v>
          </cell>
        </row>
        <row r="424">
          <cell r="A424">
            <v>1549145</v>
          </cell>
        </row>
        <row r="425">
          <cell r="A425">
            <v>1549148</v>
          </cell>
        </row>
        <row r="426">
          <cell r="A426">
            <v>1549413</v>
          </cell>
        </row>
        <row r="427">
          <cell r="A427">
            <v>1549415</v>
          </cell>
        </row>
        <row r="428">
          <cell r="A428">
            <v>1551108</v>
          </cell>
        </row>
        <row r="429">
          <cell r="A429">
            <v>1551461</v>
          </cell>
        </row>
        <row r="430">
          <cell r="A430">
            <v>1551602</v>
          </cell>
        </row>
        <row r="431">
          <cell r="A431">
            <v>1551608</v>
          </cell>
        </row>
        <row r="432">
          <cell r="A432">
            <v>1551729</v>
          </cell>
        </row>
        <row r="433">
          <cell r="A433">
            <v>1551842</v>
          </cell>
        </row>
        <row r="434">
          <cell r="A434">
            <v>1552496</v>
          </cell>
        </row>
        <row r="435">
          <cell r="A435">
            <v>1552498</v>
          </cell>
        </row>
        <row r="436">
          <cell r="A436">
            <v>1552506</v>
          </cell>
        </row>
        <row r="437">
          <cell r="A437">
            <v>1552509</v>
          </cell>
        </row>
        <row r="438">
          <cell r="A438">
            <v>1552511</v>
          </cell>
        </row>
        <row r="439">
          <cell r="A439">
            <v>1552514</v>
          </cell>
        </row>
        <row r="440">
          <cell r="A440">
            <v>1552520</v>
          </cell>
        </row>
        <row r="441">
          <cell r="A441">
            <v>1552529</v>
          </cell>
        </row>
        <row r="442">
          <cell r="A442">
            <v>1553125</v>
          </cell>
        </row>
        <row r="443">
          <cell r="A443">
            <v>1553128</v>
          </cell>
        </row>
        <row r="444">
          <cell r="A444">
            <v>1553174</v>
          </cell>
        </row>
        <row r="445">
          <cell r="A445">
            <v>1554924</v>
          </cell>
        </row>
        <row r="446">
          <cell r="A446">
            <v>1554926</v>
          </cell>
        </row>
        <row r="447">
          <cell r="A447">
            <v>1554927</v>
          </cell>
        </row>
        <row r="448">
          <cell r="A448">
            <v>1555105</v>
          </cell>
        </row>
        <row r="449">
          <cell r="A449">
            <v>1555843</v>
          </cell>
        </row>
        <row r="450">
          <cell r="A450">
            <v>1561345</v>
          </cell>
        </row>
        <row r="451">
          <cell r="A451">
            <v>1561998</v>
          </cell>
        </row>
        <row r="452">
          <cell r="A452">
            <v>1562594</v>
          </cell>
        </row>
        <row r="453">
          <cell r="A453">
            <v>1564128</v>
          </cell>
        </row>
        <row r="454">
          <cell r="A454">
            <v>1564194</v>
          </cell>
        </row>
        <row r="455">
          <cell r="A455">
            <v>1564233</v>
          </cell>
        </row>
        <row r="456">
          <cell r="A456">
            <v>1564234</v>
          </cell>
        </row>
        <row r="457">
          <cell r="A457">
            <v>1565514</v>
          </cell>
        </row>
        <row r="458">
          <cell r="A458">
            <v>1568414</v>
          </cell>
        </row>
        <row r="459">
          <cell r="A459">
            <v>1568417</v>
          </cell>
        </row>
        <row r="460">
          <cell r="A460">
            <v>1570759</v>
          </cell>
        </row>
        <row r="461">
          <cell r="A461">
            <v>1571329</v>
          </cell>
        </row>
        <row r="462">
          <cell r="A462">
            <v>1572299</v>
          </cell>
        </row>
        <row r="463">
          <cell r="A463">
            <v>1572326</v>
          </cell>
        </row>
        <row r="464">
          <cell r="A464">
            <v>1572328</v>
          </cell>
        </row>
        <row r="465">
          <cell r="A465">
            <v>1572337</v>
          </cell>
        </row>
        <row r="466">
          <cell r="A466">
            <v>1572915</v>
          </cell>
        </row>
        <row r="467">
          <cell r="A467">
            <v>1572943</v>
          </cell>
        </row>
        <row r="468">
          <cell r="A468">
            <v>1574031</v>
          </cell>
        </row>
        <row r="469">
          <cell r="A469">
            <v>1574037</v>
          </cell>
        </row>
        <row r="470">
          <cell r="A470">
            <v>1574943</v>
          </cell>
        </row>
        <row r="471">
          <cell r="A471">
            <v>1575571</v>
          </cell>
        </row>
        <row r="472">
          <cell r="A472">
            <v>1575572</v>
          </cell>
        </row>
        <row r="473">
          <cell r="A473">
            <v>1577298</v>
          </cell>
        </row>
        <row r="474">
          <cell r="A474">
            <v>1578208</v>
          </cell>
        </row>
        <row r="475">
          <cell r="A475">
            <v>1578209</v>
          </cell>
        </row>
        <row r="476">
          <cell r="A476">
            <v>1581429</v>
          </cell>
        </row>
        <row r="477">
          <cell r="A477">
            <v>1582362</v>
          </cell>
        </row>
        <row r="478">
          <cell r="A478">
            <v>1582507</v>
          </cell>
        </row>
        <row r="479">
          <cell r="A479">
            <v>1583413</v>
          </cell>
        </row>
        <row r="480">
          <cell r="A480">
            <v>1583416</v>
          </cell>
        </row>
        <row r="481">
          <cell r="A481">
            <v>1587838</v>
          </cell>
        </row>
        <row r="482">
          <cell r="A482">
            <v>1590839</v>
          </cell>
        </row>
        <row r="483">
          <cell r="A483">
            <v>1590840</v>
          </cell>
        </row>
        <row r="484">
          <cell r="A484">
            <v>1593295</v>
          </cell>
        </row>
        <row r="485">
          <cell r="A485">
            <v>1593297</v>
          </cell>
        </row>
        <row r="486">
          <cell r="A486">
            <v>1593300</v>
          </cell>
        </row>
        <row r="487">
          <cell r="A487">
            <v>1596718</v>
          </cell>
        </row>
        <row r="488">
          <cell r="A488">
            <v>1596739</v>
          </cell>
        </row>
        <row r="489">
          <cell r="A489">
            <v>1596740</v>
          </cell>
        </row>
        <row r="490">
          <cell r="A490">
            <v>1597844</v>
          </cell>
        </row>
        <row r="491">
          <cell r="A491">
            <v>1600130</v>
          </cell>
        </row>
        <row r="492">
          <cell r="A492">
            <v>1600155</v>
          </cell>
        </row>
        <row r="493">
          <cell r="A493">
            <v>1600158</v>
          </cell>
        </row>
        <row r="494">
          <cell r="A494">
            <v>1600410</v>
          </cell>
        </row>
        <row r="495">
          <cell r="A495">
            <v>1600412</v>
          </cell>
        </row>
        <row r="496">
          <cell r="A496">
            <v>1602375</v>
          </cell>
        </row>
        <row r="497">
          <cell r="A497">
            <v>1602385</v>
          </cell>
        </row>
        <row r="498">
          <cell r="A498">
            <v>1602434</v>
          </cell>
        </row>
        <row r="499">
          <cell r="A499">
            <v>1603436</v>
          </cell>
        </row>
        <row r="500">
          <cell r="A500">
            <v>1603439</v>
          </cell>
        </row>
        <row r="501">
          <cell r="A501">
            <v>1606832</v>
          </cell>
        </row>
        <row r="502">
          <cell r="A502">
            <v>1608706</v>
          </cell>
        </row>
        <row r="503">
          <cell r="A503">
            <v>1608708</v>
          </cell>
        </row>
        <row r="504">
          <cell r="A504">
            <v>1608711</v>
          </cell>
        </row>
        <row r="505">
          <cell r="A505">
            <v>1609532</v>
          </cell>
        </row>
        <row r="506">
          <cell r="A506">
            <v>1610510</v>
          </cell>
        </row>
        <row r="507">
          <cell r="A507">
            <v>1611496</v>
          </cell>
        </row>
        <row r="508">
          <cell r="A508">
            <v>1611552</v>
          </cell>
        </row>
        <row r="509">
          <cell r="A509">
            <v>1612006</v>
          </cell>
        </row>
        <row r="510">
          <cell r="A510">
            <v>1614308</v>
          </cell>
        </row>
        <row r="511">
          <cell r="A511">
            <v>1614311</v>
          </cell>
        </row>
        <row r="512">
          <cell r="A512">
            <v>1614319</v>
          </cell>
        </row>
        <row r="513">
          <cell r="A513">
            <v>1614322</v>
          </cell>
        </row>
        <row r="514">
          <cell r="A514">
            <v>1616417</v>
          </cell>
        </row>
        <row r="515">
          <cell r="A515">
            <v>1616895</v>
          </cell>
        </row>
        <row r="516">
          <cell r="A516">
            <v>1616896</v>
          </cell>
        </row>
        <row r="517">
          <cell r="A517">
            <v>1617831</v>
          </cell>
        </row>
        <row r="518">
          <cell r="A518">
            <v>1617847</v>
          </cell>
        </row>
        <row r="519">
          <cell r="A519">
            <v>1618407</v>
          </cell>
        </row>
        <row r="520">
          <cell r="A520">
            <v>1618408</v>
          </cell>
        </row>
        <row r="521">
          <cell r="A521">
            <v>1619497</v>
          </cell>
        </row>
        <row r="522">
          <cell r="A522">
            <v>1624201</v>
          </cell>
        </row>
        <row r="523">
          <cell r="A523">
            <v>1624202</v>
          </cell>
        </row>
        <row r="524">
          <cell r="A524">
            <v>1624204</v>
          </cell>
        </row>
        <row r="525">
          <cell r="A525">
            <v>1624232</v>
          </cell>
        </row>
        <row r="526">
          <cell r="A526">
            <v>1624234</v>
          </cell>
        </row>
        <row r="527">
          <cell r="A527">
            <v>1624243</v>
          </cell>
        </row>
        <row r="528">
          <cell r="A528">
            <v>1624244</v>
          </cell>
        </row>
        <row r="529">
          <cell r="A529">
            <v>1624490</v>
          </cell>
        </row>
        <row r="530">
          <cell r="A530">
            <v>1627827</v>
          </cell>
        </row>
        <row r="531">
          <cell r="A531">
            <v>1628006</v>
          </cell>
        </row>
        <row r="532">
          <cell r="A532">
            <v>1628400</v>
          </cell>
        </row>
        <row r="533">
          <cell r="A533">
            <v>1628403</v>
          </cell>
        </row>
        <row r="534">
          <cell r="A534">
            <v>1630171</v>
          </cell>
        </row>
        <row r="535">
          <cell r="A535">
            <v>1630312</v>
          </cell>
        </row>
        <row r="536">
          <cell r="A536">
            <v>1630314</v>
          </cell>
        </row>
        <row r="537">
          <cell r="A537">
            <v>1631931</v>
          </cell>
        </row>
        <row r="538">
          <cell r="A538">
            <v>1633311</v>
          </cell>
        </row>
        <row r="539">
          <cell r="A539">
            <v>1633312</v>
          </cell>
        </row>
        <row r="540">
          <cell r="A540">
            <v>1633325</v>
          </cell>
        </row>
        <row r="541">
          <cell r="A541">
            <v>1633438</v>
          </cell>
        </row>
        <row r="542">
          <cell r="A542">
            <v>1633442</v>
          </cell>
        </row>
        <row r="543">
          <cell r="A543">
            <v>1634199</v>
          </cell>
        </row>
        <row r="544">
          <cell r="A544">
            <v>1634200</v>
          </cell>
        </row>
        <row r="545">
          <cell r="A545">
            <v>1634202</v>
          </cell>
        </row>
        <row r="546">
          <cell r="A546">
            <v>1634203</v>
          </cell>
        </row>
        <row r="547">
          <cell r="A547">
            <v>1636206</v>
          </cell>
        </row>
        <row r="548">
          <cell r="A548">
            <v>1637626</v>
          </cell>
        </row>
        <row r="549">
          <cell r="A549">
            <v>1638200</v>
          </cell>
        </row>
        <row r="550">
          <cell r="A550">
            <v>1639216</v>
          </cell>
        </row>
        <row r="551">
          <cell r="A551">
            <v>1639218</v>
          </cell>
        </row>
        <row r="552">
          <cell r="A552">
            <v>1639220</v>
          </cell>
        </row>
        <row r="553">
          <cell r="A553">
            <v>1641018</v>
          </cell>
        </row>
        <row r="554">
          <cell r="A554">
            <v>1643854</v>
          </cell>
        </row>
        <row r="555">
          <cell r="A555">
            <v>1643857</v>
          </cell>
        </row>
        <row r="556">
          <cell r="A556">
            <v>1644502</v>
          </cell>
        </row>
        <row r="557">
          <cell r="A557">
            <v>1644603</v>
          </cell>
        </row>
        <row r="558">
          <cell r="A558">
            <v>1644610</v>
          </cell>
        </row>
        <row r="559">
          <cell r="A559">
            <v>1645598</v>
          </cell>
        </row>
        <row r="560">
          <cell r="A560">
            <v>1645600</v>
          </cell>
        </row>
        <row r="561">
          <cell r="A561">
            <v>1645647</v>
          </cell>
        </row>
        <row r="562">
          <cell r="A562">
            <v>1645650</v>
          </cell>
        </row>
        <row r="563">
          <cell r="A563">
            <v>1645653</v>
          </cell>
        </row>
        <row r="564">
          <cell r="A564">
            <v>1648438</v>
          </cell>
        </row>
        <row r="565">
          <cell r="A565">
            <v>1648439</v>
          </cell>
        </row>
        <row r="566">
          <cell r="A566">
            <v>1648639</v>
          </cell>
        </row>
        <row r="567">
          <cell r="A567">
            <v>1648706</v>
          </cell>
        </row>
        <row r="568">
          <cell r="A568">
            <v>1648708</v>
          </cell>
        </row>
        <row r="569">
          <cell r="A569">
            <v>1649205</v>
          </cell>
        </row>
        <row r="570">
          <cell r="A570">
            <v>1649208</v>
          </cell>
        </row>
        <row r="571">
          <cell r="A571">
            <v>1649516</v>
          </cell>
        </row>
        <row r="572">
          <cell r="A572">
            <v>1649523</v>
          </cell>
        </row>
        <row r="573">
          <cell r="A573">
            <v>1650107</v>
          </cell>
        </row>
        <row r="574">
          <cell r="A574">
            <v>1650110</v>
          </cell>
        </row>
        <row r="575">
          <cell r="A575">
            <v>1650628</v>
          </cell>
        </row>
        <row r="576">
          <cell r="A576">
            <v>1650631</v>
          </cell>
        </row>
        <row r="577">
          <cell r="A577">
            <v>1652707</v>
          </cell>
        </row>
        <row r="578">
          <cell r="A578">
            <v>1652709</v>
          </cell>
        </row>
        <row r="579">
          <cell r="A579">
            <v>1652714</v>
          </cell>
        </row>
        <row r="580">
          <cell r="A580">
            <v>1652810</v>
          </cell>
        </row>
        <row r="581">
          <cell r="A581">
            <v>1652813</v>
          </cell>
        </row>
        <row r="582">
          <cell r="A582">
            <v>1652815</v>
          </cell>
        </row>
        <row r="583">
          <cell r="A583">
            <v>1655112</v>
          </cell>
        </row>
        <row r="584">
          <cell r="A584">
            <v>1655141</v>
          </cell>
        </row>
        <row r="585">
          <cell r="A585">
            <v>1655197</v>
          </cell>
        </row>
        <row r="586">
          <cell r="A586">
            <v>1655598</v>
          </cell>
        </row>
        <row r="587">
          <cell r="A587">
            <v>1655599</v>
          </cell>
        </row>
        <row r="588">
          <cell r="A588">
            <v>1655604</v>
          </cell>
        </row>
        <row r="589">
          <cell r="A589">
            <v>1657243</v>
          </cell>
        </row>
        <row r="590">
          <cell r="A590">
            <v>1659995</v>
          </cell>
        </row>
        <row r="591">
          <cell r="A591">
            <v>1660000</v>
          </cell>
        </row>
        <row r="592">
          <cell r="A592">
            <v>1660013</v>
          </cell>
        </row>
        <row r="593">
          <cell r="A593">
            <v>1661198</v>
          </cell>
        </row>
        <row r="594">
          <cell r="A594">
            <v>1661200</v>
          </cell>
        </row>
        <row r="595">
          <cell r="A595">
            <v>1662532</v>
          </cell>
        </row>
        <row r="596">
          <cell r="A596">
            <v>1662894</v>
          </cell>
        </row>
        <row r="597">
          <cell r="A597">
            <v>1662961</v>
          </cell>
        </row>
        <row r="598">
          <cell r="A598">
            <v>1662963</v>
          </cell>
        </row>
        <row r="599">
          <cell r="A599">
            <v>1662965</v>
          </cell>
        </row>
        <row r="600">
          <cell r="A600">
            <v>1662966</v>
          </cell>
        </row>
        <row r="601">
          <cell r="A601">
            <v>1662968</v>
          </cell>
        </row>
        <row r="602">
          <cell r="A602">
            <v>1663597</v>
          </cell>
        </row>
        <row r="603">
          <cell r="A603">
            <v>1663914</v>
          </cell>
        </row>
        <row r="604">
          <cell r="A604">
            <v>1663915</v>
          </cell>
        </row>
        <row r="605">
          <cell r="A605">
            <v>1664994</v>
          </cell>
        </row>
        <row r="606">
          <cell r="A606">
            <v>1664995</v>
          </cell>
        </row>
        <row r="607">
          <cell r="A607">
            <v>1664996</v>
          </cell>
        </row>
        <row r="608">
          <cell r="A608">
            <v>1668555</v>
          </cell>
        </row>
        <row r="609">
          <cell r="A609">
            <v>1668657</v>
          </cell>
        </row>
        <row r="610">
          <cell r="A610">
            <v>1668660</v>
          </cell>
        </row>
        <row r="611">
          <cell r="A611">
            <v>1668837</v>
          </cell>
        </row>
        <row r="612">
          <cell r="A612">
            <v>1668839</v>
          </cell>
        </row>
        <row r="613">
          <cell r="A613">
            <v>1669077</v>
          </cell>
        </row>
        <row r="614">
          <cell r="A614">
            <v>1670095</v>
          </cell>
        </row>
        <row r="615">
          <cell r="A615">
            <v>1670599</v>
          </cell>
        </row>
        <row r="616">
          <cell r="A616">
            <v>1670602</v>
          </cell>
        </row>
        <row r="617">
          <cell r="A617">
            <v>1670603</v>
          </cell>
        </row>
        <row r="618">
          <cell r="A618">
            <v>1671194</v>
          </cell>
        </row>
        <row r="619">
          <cell r="A619">
            <v>1674314</v>
          </cell>
        </row>
        <row r="620">
          <cell r="A620">
            <v>1674316</v>
          </cell>
        </row>
        <row r="621">
          <cell r="A621">
            <v>1674334</v>
          </cell>
        </row>
        <row r="622">
          <cell r="A622">
            <v>1675517</v>
          </cell>
        </row>
        <row r="623">
          <cell r="A623">
            <v>1676695</v>
          </cell>
        </row>
        <row r="624">
          <cell r="A624">
            <v>1676696</v>
          </cell>
        </row>
        <row r="625">
          <cell r="A625">
            <v>1677144</v>
          </cell>
        </row>
        <row r="626">
          <cell r="A626">
            <v>1677245</v>
          </cell>
        </row>
        <row r="627">
          <cell r="A627">
            <v>1679198</v>
          </cell>
        </row>
        <row r="628">
          <cell r="A628">
            <v>1680220</v>
          </cell>
        </row>
        <row r="629">
          <cell r="A629">
            <v>1680222</v>
          </cell>
        </row>
        <row r="630">
          <cell r="A630">
            <v>1682913</v>
          </cell>
        </row>
        <row r="631">
          <cell r="A631">
            <v>1683539</v>
          </cell>
        </row>
        <row r="632">
          <cell r="A632">
            <v>1684000</v>
          </cell>
        </row>
        <row r="633">
          <cell r="A633">
            <v>1684298</v>
          </cell>
        </row>
        <row r="634">
          <cell r="A634">
            <v>1684299</v>
          </cell>
        </row>
        <row r="635">
          <cell r="A635">
            <v>1684300</v>
          </cell>
        </row>
        <row r="636">
          <cell r="A636">
            <v>1684497</v>
          </cell>
        </row>
        <row r="637">
          <cell r="A637">
            <v>1684498</v>
          </cell>
        </row>
        <row r="638">
          <cell r="A638">
            <v>1684601</v>
          </cell>
        </row>
        <row r="639">
          <cell r="A639">
            <v>1684603</v>
          </cell>
        </row>
        <row r="640">
          <cell r="A640">
            <v>1686738</v>
          </cell>
        </row>
        <row r="641">
          <cell r="A641">
            <v>1686739</v>
          </cell>
        </row>
        <row r="642">
          <cell r="A642">
            <v>1686741</v>
          </cell>
        </row>
        <row r="643">
          <cell r="A643">
            <v>1686822</v>
          </cell>
        </row>
        <row r="644">
          <cell r="A644">
            <v>1687119</v>
          </cell>
        </row>
        <row r="645">
          <cell r="A645">
            <v>1687120</v>
          </cell>
        </row>
        <row r="646">
          <cell r="A646">
            <v>1687123</v>
          </cell>
        </row>
        <row r="647">
          <cell r="A647">
            <v>1688919</v>
          </cell>
        </row>
        <row r="648">
          <cell r="A648">
            <v>1688921</v>
          </cell>
        </row>
        <row r="649">
          <cell r="A649">
            <v>1689107</v>
          </cell>
        </row>
        <row r="650">
          <cell r="A650">
            <v>1692308</v>
          </cell>
        </row>
        <row r="651">
          <cell r="A651">
            <v>1692309</v>
          </cell>
        </row>
        <row r="652">
          <cell r="A652">
            <v>1692311</v>
          </cell>
        </row>
        <row r="653">
          <cell r="A653">
            <v>1692956</v>
          </cell>
        </row>
        <row r="654">
          <cell r="A654">
            <v>1693647</v>
          </cell>
        </row>
        <row r="655">
          <cell r="A655">
            <v>1695301</v>
          </cell>
        </row>
        <row r="656">
          <cell r="A656">
            <v>1695302</v>
          </cell>
        </row>
        <row r="657">
          <cell r="A657">
            <v>1695304</v>
          </cell>
        </row>
        <row r="658">
          <cell r="A658">
            <v>1695307</v>
          </cell>
        </row>
        <row r="659">
          <cell r="A659">
            <v>1695840</v>
          </cell>
        </row>
        <row r="660">
          <cell r="A660">
            <v>1695842</v>
          </cell>
        </row>
        <row r="661">
          <cell r="A661">
            <v>1695845</v>
          </cell>
        </row>
        <row r="662">
          <cell r="A662">
            <v>1697404</v>
          </cell>
        </row>
        <row r="663">
          <cell r="A663">
            <v>1697406</v>
          </cell>
        </row>
        <row r="664">
          <cell r="A664">
            <v>1699333</v>
          </cell>
        </row>
        <row r="665">
          <cell r="A665">
            <v>1699336</v>
          </cell>
        </row>
        <row r="666">
          <cell r="A666">
            <v>1700510</v>
          </cell>
        </row>
        <row r="667">
          <cell r="A667">
            <v>1702840</v>
          </cell>
        </row>
        <row r="668">
          <cell r="A668">
            <v>1705080</v>
          </cell>
        </row>
        <row r="669">
          <cell r="A669">
            <v>1705311</v>
          </cell>
        </row>
        <row r="670">
          <cell r="A670">
            <v>1705756</v>
          </cell>
        </row>
        <row r="671">
          <cell r="A671">
            <v>1705759</v>
          </cell>
        </row>
        <row r="672">
          <cell r="A672">
            <v>1705762</v>
          </cell>
        </row>
        <row r="673">
          <cell r="A673">
            <v>1705768</v>
          </cell>
        </row>
        <row r="674">
          <cell r="A674">
            <v>1705770</v>
          </cell>
        </row>
        <row r="675">
          <cell r="A675">
            <v>1705816</v>
          </cell>
        </row>
        <row r="676">
          <cell r="A676">
            <v>1705819</v>
          </cell>
        </row>
        <row r="677">
          <cell r="A677">
            <v>1706054</v>
          </cell>
        </row>
        <row r="678">
          <cell r="A678">
            <v>1706065</v>
          </cell>
        </row>
        <row r="679">
          <cell r="A679">
            <v>1706230</v>
          </cell>
        </row>
        <row r="680">
          <cell r="A680">
            <v>1706232</v>
          </cell>
        </row>
        <row r="681">
          <cell r="A681">
            <v>1706799</v>
          </cell>
        </row>
        <row r="682">
          <cell r="A682">
            <v>1706800</v>
          </cell>
        </row>
        <row r="683">
          <cell r="A683">
            <v>1706802</v>
          </cell>
        </row>
        <row r="684">
          <cell r="A684">
            <v>1706803</v>
          </cell>
        </row>
        <row r="685">
          <cell r="A685">
            <v>1706804</v>
          </cell>
        </row>
        <row r="686">
          <cell r="A686">
            <v>1706806</v>
          </cell>
        </row>
        <row r="687">
          <cell r="A687">
            <v>1707305</v>
          </cell>
        </row>
        <row r="688">
          <cell r="A688">
            <v>1707308</v>
          </cell>
        </row>
        <row r="689">
          <cell r="A689">
            <v>1707311</v>
          </cell>
        </row>
        <row r="690">
          <cell r="A690">
            <v>1707318</v>
          </cell>
        </row>
        <row r="691">
          <cell r="A691">
            <v>1707369</v>
          </cell>
        </row>
        <row r="692">
          <cell r="A692">
            <v>1707513</v>
          </cell>
        </row>
        <row r="693">
          <cell r="A693">
            <v>1707937</v>
          </cell>
        </row>
        <row r="694">
          <cell r="A694">
            <v>1707939</v>
          </cell>
        </row>
        <row r="695">
          <cell r="A695">
            <v>1708308</v>
          </cell>
        </row>
        <row r="696">
          <cell r="A696">
            <v>1708311</v>
          </cell>
        </row>
        <row r="697">
          <cell r="A697">
            <v>1711734</v>
          </cell>
        </row>
        <row r="698">
          <cell r="A698">
            <v>1712619</v>
          </cell>
        </row>
        <row r="699">
          <cell r="A699">
            <v>1712620</v>
          </cell>
        </row>
        <row r="700">
          <cell r="A700">
            <v>1712621</v>
          </cell>
        </row>
        <row r="701">
          <cell r="A701">
            <v>1712622</v>
          </cell>
        </row>
        <row r="702">
          <cell r="A702">
            <v>1712624</v>
          </cell>
        </row>
        <row r="703">
          <cell r="A703">
            <v>1713300</v>
          </cell>
        </row>
        <row r="704">
          <cell r="A704">
            <v>1713302</v>
          </cell>
        </row>
        <row r="705">
          <cell r="A705">
            <v>1713809</v>
          </cell>
        </row>
        <row r="706">
          <cell r="A706">
            <v>1715495</v>
          </cell>
        </row>
        <row r="707">
          <cell r="A707">
            <v>1715498</v>
          </cell>
        </row>
        <row r="708">
          <cell r="A708">
            <v>1715783</v>
          </cell>
        </row>
        <row r="709">
          <cell r="A709">
            <v>1715785</v>
          </cell>
        </row>
        <row r="710">
          <cell r="A710">
            <v>1715786</v>
          </cell>
        </row>
        <row r="711">
          <cell r="A711">
            <v>1718613</v>
          </cell>
        </row>
        <row r="712">
          <cell r="A712">
            <v>1718615</v>
          </cell>
        </row>
        <row r="713">
          <cell r="A713">
            <v>1719598</v>
          </cell>
        </row>
        <row r="714">
          <cell r="A714">
            <v>1719846</v>
          </cell>
        </row>
        <row r="715">
          <cell r="A715">
            <v>1721245</v>
          </cell>
        </row>
        <row r="716">
          <cell r="A716">
            <v>1722840</v>
          </cell>
        </row>
        <row r="717">
          <cell r="A717">
            <v>1723638</v>
          </cell>
        </row>
        <row r="718">
          <cell r="A718">
            <v>1726595</v>
          </cell>
        </row>
        <row r="719">
          <cell r="A719">
            <v>1726596</v>
          </cell>
        </row>
        <row r="720">
          <cell r="A720">
            <v>1726597</v>
          </cell>
        </row>
        <row r="721">
          <cell r="A721">
            <v>1727208</v>
          </cell>
        </row>
        <row r="722">
          <cell r="A722">
            <v>1727215</v>
          </cell>
        </row>
        <row r="723">
          <cell r="A723">
            <v>1727218</v>
          </cell>
        </row>
        <row r="724">
          <cell r="A724">
            <v>1728314</v>
          </cell>
        </row>
        <row r="725">
          <cell r="A725">
            <v>1728359</v>
          </cell>
        </row>
        <row r="726">
          <cell r="A726">
            <v>1730321</v>
          </cell>
        </row>
        <row r="727">
          <cell r="A727">
            <v>1732397</v>
          </cell>
        </row>
        <row r="728">
          <cell r="A728">
            <v>1732399</v>
          </cell>
        </row>
        <row r="729">
          <cell r="A729">
            <v>1732421</v>
          </cell>
        </row>
        <row r="730">
          <cell r="A730">
            <v>1732743</v>
          </cell>
        </row>
        <row r="731">
          <cell r="A731">
            <v>1732745</v>
          </cell>
        </row>
        <row r="732">
          <cell r="A732">
            <v>1733211</v>
          </cell>
        </row>
        <row r="733">
          <cell r="A733">
            <v>1733906</v>
          </cell>
        </row>
        <row r="734">
          <cell r="A734">
            <v>1735260</v>
          </cell>
        </row>
        <row r="735">
          <cell r="A735">
            <v>1735264</v>
          </cell>
        </row>
        <row r="736">
          <cell r="A736">
            <v>1736447</v>
          </cell>
        </row>
        <row r="737">
          <cell r="A737">
            <v>1736450</v>
          </cell>
        </row>
        <row r="738">
          <cell r="A738">
            <v>1737306</v>
          </cell>
        </row>
        <row r="739">
          <cell r="A739">
            <v>1737307</v>
          </cell>
        </row>
        <row r="740">
          <cell r="A740">
            <v>1737520</v>
          </cell>
        </row>
        <row r="741">
          <cell r="A741">
            <v>1737613</v>
          </cell>
        </row>
        <row r="742">
          <cell r="A742">
            <v>1737615</v>
          </cell>
        </row>
        <row r="743">
          <cell r="A743">
            <v>1738218</v>
          </cell>
        </row>
        <row r="744">
          <cell r="A744">
            <v>1738220</v>
          </cell>
        </row>
        <row r="745">
          <cell r="A745">
            <v>1738223</v>
          </cell>
        </row>
        <row r="746">
          <cell r="A746">
            <v>1738500</v>
          </cell>
        </row>
        <row r="747">
          <cell r="A747">
            <v>1738502</v>
          </cell>
        </row>
        <row r="748">
          <cell r="A748">
            <v>1738505</v>
          </cell>
        </row>
        <row r="749">
          <cell r="A749">
            <v>1738515</v>
          </cell>
        </row>
        <row r="750">
          <cell r="A750">
            <v>1739132</v>
          </cell>
        </row>
        <row r="751">
          <cell r="A751">
            <v>1739238</v>
          </cell>
        </row>
        <row r="752">
          <cell r="A752">
            <v>1739381</v>
          </cell>
        </row>
        <row r="753">
          <cell r="A753">
            <v>1739804</v>
          </cell>
        </row>
        <row r="754">
          <cell r="A754">
            <v>1739807</v>
          </cell>
        </row>
        <row r="755">
          <cell r="A755">
            <v>1740896</v>
          </cell>
        </row>
        <row r="756">
          <cell r="A756">
            <v>1740898</v>
          </cell>
        </row>
        <row r="757">
          <cell r="A757">
            <v>1740899</v>
          </cell>
        </row>
        <row r="758">
          <cell r="A758">
            <v>1741860</v>
          </cell>
        </row>
        <row r="759">
          <cell r="A759">
            <v>1742402</v>
          </cell>
        </row>
        <row r="760">
          <cell r="A760">
            <v>1743107</v>
          </cell>
        </row>
        <row r="761">
          <cell r="A761">
            <v>1744796</v>
          </cell>
        </row>
        <row r="762">
          <cell r="A762">
            <v>1744798</v>
          </cell>
        </row>
        <row r="763">
          <cell r="A763">
            <v>1744799</v>
          </cell>
        </row>
        <row r="764">
          <cell r="A764">
            <v>1744800</v>
          </cell>
        </row>
        <row r="765">
          <cell r="A765">
            <v>1744804</v>
          </cell>
        </row>
        <row r="766">
          <cell r="A766">
            <v>1745468</v>
          </cell>
        </row>
        <row r="767">
          <cell r="A767">
            <v>1745828</v>
          </cell>
        </row>
        <row r="768">
          <cell r="A768">
            <v>1745829</v>
          </cell>
        </row>
        <row r="769">
          <cell r="A769">
            <v>1745833</v>
          </cell>
        </row>
        <row r="770">
          <cell r="A770">
            <v>1745837</v>
          </cell>
        </row>
        <row r="771">
          <cell r="A771">
            <v>1745898</v>
          </cell>
        </row>
        <row r="772">
          <cell r="A772">
            <v>1745903</v>
          </cell>
        </row>
        <row r="773">
          <cell r="A773">
            <v>1745907</v>
          </cell>
        </row>
        <row r="774">
          <cell r="A774">
            <v>1745908</v>
          </cell>
        </row>
        <row r="775">
          <cell r="A775">
            <v>1746495</v>
          </cell>
        </row>
        <row r="776">
          <cell r="A776">
            <v>1746497</v>
          </cell>
        </row>
        <row r="777">
          <cell r="A777">
            <v>1746514</v>
          </cell>
        </row>
        <row r="778">
          <cell r="A778">
            <v>1748116</v>
          </cell>
        </row>
        <row r="779">
          <cell r="A779">
            <v>1748722</v>
          </cell>
        </row>
        <row r="780">
          <cell r="A780">
            <v>1749311</v>
          </cell>
        </row>
        <row r="781">
          <cell r="A781">
            <v>1749312</v>
          </cell>
        </row>
        <row r="782">
          <cell r="A782">
            <v>1749896</v>
          </cell>
        </row>
        <row r="783">
          <cell r="A783">
            <v>1749898</v>
          </cell>
        </row>
        <row r="784">
          <cell r="A784">
            <v>1749905</v>
          </cell>
        </row>
        <row r="785">
          <cell r="A785">
            <v>1749906</v>
          </cell>
        </row>
        <row r="786">
          <cell r="A786">
            <v>1749908</v>
          </cell>
        </row>
        <row r="787">
          <cell r="A787">
            <v>1749909</v>
          </cell>
        </row>
        <row r="788">
          <cell r="A788">
            <v>1749912</v>
          </cell>
        </row>
        <row r="789">
          <cell r="A789">
            <v>1750998</v>
          </cell>
        </row>
        <row r="790">
          <cell r="A790">
            <v>1753308</v>
          </cell>
        </row>
        <row r="791">
          <cell r="A791">
            <v>1753310</v>
          </cell>
        </row>
        <row r="792">
          <cell r="A792">
            <v>1754026</v>
          </cell>
        </row>
        <row r="793">
          <cell r="A793">
            <v>1755097</v>
          </cell>
        </row>
        <row r="794">
          <cell r="A794">
            <v>1755099</v>
          </cell>
        </row>
        <row r="795">
          <cell r="A795">
            <v>1755500</v>
          </cell>
        </row>
        <row r="796">
          <cell r="A796">
            <v>1755504</v>
          </cell>
        </row>
        <row r="797">
          <cell r="A797">
            <v>1755507</v>
          </cell>
        </row>
        <row r="798">
          <cell r="A798">
            <v>1756380</v>
          </cell>
        </row>
        <row r="799">
          <cell r="A799">
            <v>1756620</v>
          </cell>
        </row>
        <row r="800">
          <cell r="A800">
            <v>1757495</v>
          </cell>
        </row>
        <row r="801">
          <cell r="A801">
            <v>1758399</v>
          </cell>
        </row>
        <row r="802">
          <cell r="A802">
            <v>1759102</v>
          </cell>
        </row>
        <row r="803">
          <cell r="A803">
            <v>1759103</v>
          </cell>
        </row>
        <row r="804">
          <cell r="A804">
            <v>1759106</v>
          </cell>
        </row>
        <row r="805">
          <cell r="A805">
            <v>1759107</v>
          </cell>
        </row>
        <row r="806">
          <cell r="A806">
            <v>1759806</v>
          </cell>
        </row>
        <row r="807">
          <cell r="A807">
            <v>1760406</v>
          </cell>
        </row>
        <row r="808">
          <cell r="A808">
            <v>1760408</v>
          </cell>
        </row>
        <row r="809">
          <cell r="A809">
            <v>1760705</v>
          </cell>
        </row>
        <row r="810">
          <cell r="A810">
            <v>1760707</v>
          </cell>
        </row>
        <row r="811">
          <cell r="A811">
            <v>1760709</v>
          </cell>
        </row>
        <row r="812">
          <cell r="A812">
            <v>1761032</v>
          </cell>
        </row>
        <row r="813">
          <cell r="A813">
            <v>1761033</v>
          </cell>
        </row>
        <row r="814">
          <cell r="A814">
            <v>1761035</v>
          </cell>
        </row>
        <row r="815">
          <cell r="A815">
            <v>1761995</v>
          </cell>
        </row>
        <row r="816">
          <cell r="A816">
            <v>1762312</v>
          </cell>
        </row>
        <row r="817">
          <cell r="A817">
            <v>1762556</v>
          </cell>
        </row>
        <row r="818">
          <cell r="A818">
            <v>1762559</v>
          </cell>
        </row>
        <row r="819">
          <cell r="A819">
            <v>1762562</v>
          </cell>
        </row>
        <row r="820">
          <cell r="A820">
            <v>1762631</v>
          </cell>
        </row>
        <row r="821">
          <cell r="A821">
            <v>1763013</v>
          </cell>
        </row>
        <row r="822">
          <cell r="A822">
            <v>1764954</v>
          </cell>
        </row>
        <row r="823">
          <cell r="A823">
            <v>1769610</v>
          </cell>
        </row>
        <row r="824">
          <cell r="A824">
            <v>1769706</v>
          </cell>
        </row>
        <row r="825">
          <cell r="A825">
            <v>1769915</v>
          </cell>
        </row>
        <row r="826">
          <cell r="A826">
            <v>1769917</v>
          </cell>
        </row>
        <row r="827">
          <cell r="A827">
            <v>1770317</v>
          </cell>
        </row>
        <row r="828">
          <cell r="A828">
            <v>1770318</v>
          </cell>
        </row>
        <row r="829">
          <cell r="A829">
            <v>1770324</v>
          </cell>
        </row>
        <row r="830">
          <cell r="A830">
            <v>1770641</v>
          </cell>
        </row>
        <row r="831">
          <cell r="A831">
            <v>1770651</v>
          </cell>
        </row>
        <row r="832">
          <cell r="A832">
            <v>1770694</v>
          </cell>
        </row>
        <row r="833">
          <cell r="A833">
            <v>1770695</v>
          </cell>
        </row>
        <row r="834">
          <cell r="A834">
            <v>1770731</v>
          </cell>
        </row>
        <row r="835">
          <cell r="A835">
            <v>1770733</v>
          </cell>
        </row>
        <row r="836">
          <cell r="A836">
            <v>1770734</v>
          </cell>
        </row>
        <row r="837">
          <cell r="A837">
            <v>1770835</v>
          </cell>
        </row>
        <row r="838">
          <cell r="A838">
            <v>1770841</v>
          </cell>
        </row>
        <row r="839">
          <cell r="A839">
            <v>1770842</v>
          </cell>
        </row>
        <row r="840">
          <cell r="A840">
            <v>1771031</v>
          </cell>
        </row>
        <row r="841">
          <cell r="A841">
            <v>1771034</v>
          </cell>
        </row>
        <row r="842">
          <cell r="A842">
            <v>1771399</v>
          </cell>
        </row>
        <row r="843">
          <cell r="A843">
            <v>1771400</v>
          </cell>
        </row>
        <row r="844">
          <cell r="A844">
            <v>1771598</v>
          </cell>
        </row>
        <row r="845">
          <cell r="A845">
            <v>1771897</v>
          </cell>
        </row>
        <row r="846">
          <cell r="A846">
            <v>1772110</v>
          </cell>
        </row>
        <row r="847">
          <cell r="A847">
            <v>1772112</v>
          </cell>
        </row>
        <row r="848">
          <cell r="A848">
            <v>1772114</v>
          </cell>
        </row>
        <row r="849">
          <cell r="A849">
            <v>1772520</v>
          </cell>
        </row>
        <row r="850">
          <cell r="A850">
            <v>1772914</v>
          </cell>
        </row>
        <row r="851">
          <cell r="A851">
            <v>1772917</v>
          </cell>
        </row>
        <row r="852">
          <cell r="A852">
            <v>1774289</v>
          </cell>
        </row>
        <row r="853">
          <cell r="A853">
            <v>1774741</v>
          </cell>
        </row>
        <row r="854">
          <cell r="A854">
            <v>1774744</v>
          </cell>
        </row>
        <row r="855">
          <cell r="A855">
            <v>1780505</v>
          </cell>
        </row>
        <row r="856">
          <cell r="A856">
            <v>1780507</v>
          </cell>
        </row>
        <row r="857">
          <cell r="A857">
            <v>1780614</v>
          </cell>
        </row>
        <row r="858">
          <cell r="A858">
            <v>1780616</v>
          </cell>
        </row>
        <row r="859">
          <cell r="A859">
            <v>1781399</v>
          </cell>
        </row>
        <row r="860">
          <cell r="A860">
            <v>1781407</v>
          </cell>
        </row>
        <row r="861">
          <cell r="A861">
            <v>1781850</v>
          </cell>
        </row>
        <row r="862">
          <cell r="A862">
            <v>1781853</v>
          </cell>
        </row>
        <row r="863">
          <cell r="A863">
            <v>1783400</v>
          </cell>
        </row>
        <row r="864">
          <cell r="A864">
            <v>1783403</v>
          </cell>
        </row>
        <row r="865">
          <cell r="A865">
            <v>1783785</v>
          </cell>
        </row>
        <row r="866">
          <cell r="A866">
            <v>1786899</v>
          </cell>
        </row>
        <row r="867">
          <cell r="A867">
            <v>1787241</v>
          </cell>
        </row>
        <row r="868">
          <cell r="A868">
            <v>1788327</v>
          </cell>
        </row>
        <row r="869">
          <cell r="A869">
            <v>1788743</v>
          </cell>
        </row>
        <row r="870">
          <cell r="A870">
            <v>1788744</v>
          </cell>
        </row>
        <row r="871">
          <cell r="A871">
            <v>1790219</v>
          </cell>
        </row>
        <row r="872">
          <cell r="A872">
            <v>1790221</v>
          </cell>
        </row>
        <row r="873">
          <cell r="A873">
            <v>1791746</v>
          </cell>
        </row>
        <row r="874">
          <cell r="A874">
            <v>1791748</v>
          </cell>
        </row>
        <row r="875">
          <cell r="A875">
            <v>1793956</v>
          </cell>
        </row>
        <row r="876">
          <cell r="A876">
            <v>1794710</v>
          </cell>
        </row>
        <row r="877">
          <cell r="A877">
            <v>1794716</v>
          </cell>
        </row>
        <row r="878">
          <cell r="A878">
            <v>1794719</v>
          </cell>
        </row>
        <row r="879">
          <cell r="A879">
            <v>1794720</v>
          </cell>
        </row>
        <row r="880">
          <cell r="A880">
            <v>1794723</v>
          </cell>
        </row>
        <row r="881">
          <cell r="A881">
            <v>1795016</v>
          </cell>
        </row>
        <row r="882">
          <cell r="A882">
            <v>1795129</v>
          </cell>
        </row>
        <row r="883">
          <cell r="A883">
            <v>1795811</v>
          </cell>
        </row>
        <row r="884">
          <cell r="A884">
            <v>1796220</v>
          </cell>
        </row>
        <row r="885">
          <cell r="A885">
            <v>1797504</v>
          </cell>
        </row>
        <row r="886">
          <cell r="A886">
            <v>1800016</v>
          </cell>
        </row>
        <row r="887">
          <cell r="A887">
            <v>1802897</v>
          </cell>
        </row>
        <row r="888">
          <cell r="A888">
            <v>1807103</v>
          </cell>
        </row>
        <row r="889">
          <cell r="A889">
            <v>1807105</v>
          </cell>
        </row>
        <row r="890">
          <cell r="A890">
            <v>1807111</v>
          </cell>
        </row>
        <row r="891">
          <cell r="A891">
            <v>1808400</v>
          </cell>
        </row>
        <row r="892">
          <cell r="A892">
            <v>1811303</v>
          </cell>
        </row>
        <row r="893">
          <cell r="A893">
            <v>1811304</v>
          </cell>
        </row>
        <row r="894">
          <cell r="A894">
            <v>1811398</v>
          </cell>
        </row>
        <row r="895">
          <cell r="A895">
            <v>1811400</v>
          </cell>
        </row>
        <row r="896">
          <cell r="A896">
            <v>1811751</v>
          </cell>
        </row>
        <row r="897">
          <cell r="A897">
            <v>1812532</v>
          </cell>
        </row>
        <row r="898">
          <cell r="A898">
            <v>1816696</v>
          </cell>
        </row>
        <row r="899">
          <cell r="A899">
            <v>1816896</v>
          </cell>
        </row>
        <row r="900">
          <cell r="A900">
            <v>1817628</v>
          </cell>
        </row>
        <row r="901">
          <cell r="A901">
            <v>1818099</v>
          </cell>
        </row>
        <row r="902">
          <cell r="A902">
            <v>1819196</v>
          </cell>
        </row>
        <row r="903">
          <cell r="A903">
            <v>1819198</v>
          </cell>
        </row>
        <row r="904">
          <cell r="A904">
            <v>1819206</v>
          </cell>
        </row>
        <row r="905">
          <cell r="A905">
            <v>1819273</v>
          </cell>
        </row>
        <row r="906">
          <cell r="A906">
            <v>1819275</v>
          </cell>
        </row>
        <row r="907">
          <cell r="A907">
            <v>1821536</v>
          </cell>
        </row>
        <row r="908">
          <cell r="A908">
            <v>1822396</v>
          </cell>
        </row>
        <row r="909">
          <cell r="A909">
            <v>1824403</v>
          </cell>
        </row>
        <row r="910">
          <cell r="A910">
            <v>1824406</v>
          </cell>
        </row>
        <row r="911">
          <cell r="A911">
            <v>1824913</v>
          </cell>
        </row>
        <row r="912">
          <cell r="A912">
            <v>1824916</v>
          </cell>
        </row>
        <row r="913">
          <cell r="A913">
            <v>1825106</v>
          </cell>
        </row>
        <row r="914">
          <cell r="A914">
            <v>1825107</v>
          </cell>
        </row>
        <row r="915">
          <cell r="A915">
            <v>1825115</v>
          </cell>
        </row>
        <row r="916">
          <cell r="A916">
            <v>1825401</v>
          </cell>
        </row>
        <row r="917">
          <cell r="A917">
            <v>1827494</v>
          </cell>
        </row>
        <row r="918">
          <cell r="A918">
            <v>1827563</v>
          </cell>
        </row>
        <row r="919">
          <cell r="A919">
            <v>1827570</v>
          </cell>
        </row>
        <row r="920">
          <cell r="A920">
            <v>1827572</v>
          </cell>
        </row>
        <row r="921">
          <cell r="A921">
            <v>1828628</v>
          </cell>
        </row>
        <row r="922">
          <cell r="A922">
            <v>1828694</v>
          </cell>
        </row>
        <row r="923">
          <cell r="A923">
            <v>1830611</v>
          </cell>
        </row>
        <row r="924">
          <cell r="A924">
            <v>1830612</v>
          </cell>
        </row>
        <row r="925">
          <cell r="A925">
            <v>1830614</v>
          </cell>
        </row>
        <row r="926">
          <cell r="A926">
            <v>1830617</v>
          </cell>
        </row>
        <row r="927">
          <cell r="A927">
            <v>1830620</v>
          </cell>
        </row>
        <row r="928">
          <cell r="A928">
            <v>1830622</v>
          </cell>
        </row>
        <row r="929">
          <cell r="A929">
            <v>1830811</v>
          </cell>
        </row>
        <row r="930">
          <cell r="A930">
            <v>1830814</v>
          </cell>
        </row>
        <row r="931">
          <cell r="A931">
            <v>1831401</v>
          </cell>
        </row>
        <row r="932">
          <cell r="A932">
            <v>1832614</v>
          </cell>
        </row>
        <row r="933">
          <cell r="A933">
            <v>1832632</v>
          </cell>
        </row>
        <row r="934">
          <cell r="A934">
            <v>1832633</v>
          </cell>
        </row>
        <row r="935">
          <cell r="A935">
            <v>1833623</v>
          </cell>
        </row>
        <row r="936">
          <cell r="A936">
            <v>1833624</v>
          </cell>
        </row>
        <row r="937">
          <cell r="A937">
            <v>1833626</v>
          </cell>
        </row>
        <row r="938">
          <cell r="A938">
            <v>1833648</v>
          </cell>
        </row>
        <row r="939">
          <cell r="A939">
            <v>1835097</v>
          </cell>
        </row>
        <row r="940">
          <cell r="A940">
            <v>1835099</v>
          </cell>
        </row>
        <row r="941">
          <cell r="A941">
            <v>1835102</v>
          </cell>
        </row>
        <row r="942">
          <cell r="A942">
            <v>1835110</v>
          </cell>
        </row>
        <row r="943">
          <cell r="A943">
            <v>1835112</v>
          </cell>
        </row>
        <row r="944">
          <cell r="A944">
            <v>1838598</v>
          </cell>
        </row>
        <row r="945">
          <cell r="A945">
            <v>1838601</v>
          </cell>
        </row>
        <row r="946">
          <cell r="A946">
            <v>1838605</v>
          </cell>
        </row>
        <row r="947">
          <cell r="A947">
            <v>1838638</v>
          </cell>
        </row>
        <row r="948">
          <cell r="A948">
            <v>1838639</v>
          </cell>
        </row>
        <row r="949">
          <cell r="A949">
            <v>1838958</v>
          </cell>
        </row>
        <row r="950">
          <cell r="A950">
            <v>1838986</v>
          </cell>
        </row>
        <row r="951">
          <cell r="A951">
            <v>1838989</v>
          </cell>
        </row>
        <row r="952">
          <cell r="A952">
            <v>1838992</v>
          </cell>
        </row>
        <row r="953">
          <cell r="A953">
            <v>1838998</v>
          </cell>
        </row>
        <row r="954">
          <cell r="A954">
            <v>1839098</v>
          </cell>
        </row>
        <row r="955">
          <cell r="A955">
            <v>1839101</v>
          </cell>
        </row>
        <row r="956">
          <cell r="A956">
            <v>1839797</v>
          </cell>
        </row>
        <row r="957">
          <cell r="A957">
            <v>1839803</v>
          </cell>
        </row>
        <row r="958">
          <cell r="A958">
            <v>1839805</v>
          </cell>
        </row>
        <row r="959">
          <cell r="A959">
            <v>1839807</v>
          </cell>
        </row>
        <row r="960">
          <cell r="A960">
            <v>1839915</v>
          </cell>
        </row>
        <row r="961">
          <cell r="A961">
            <v>1839917</v>
          </cell>
        </row>
        <row r="962">
          <cell r="A962">
            <v>1840507</v>
          </cell>
        </row>
        <row r="963">
          <cell r="A963">
            <v>1840510</v>
          </cell>
        </row>
        <row r="964">
          <cell r="A964">
            <v>1840512</v>
          </cell>
        </row>
        <row r="965">
          <cell r="A965">
            <v>1840515</v>
          </cell>
        </row>
        <row r="966">
          <cell r="A966">
            <v>1840522</v>
          </cell>
        </row>
        <row r="967">
          <cell r="A967">
            <v>1840525</v>
          </cell>
        </row>
        <row r="968">
          <cell r="A968">
            <v>1840831</v>
          </cell>
        </row>
        <row r="969">
          <cell r="A969">
            <v>1840837</v>
          </cell>
        </row>
        <row r="970">
          <cell r="A970">
            <v>1841313</v>
          </cell>
        </row>
        <row r="971">
          <cell r="A971">
            <v>1842413</v>
          </cell>
        </row>
        <row r="972">
          <cell r="A972">
            <v>1843856</v>
          </cell>
        </row>
        <row r="973">
          <cell r="A973">
            <v>1843873</v>
          </cell>
        </row>
        <row r="974">
          <cell r="A974">
            <v>1843874</v>
          </cell>
        </row>
        <row r="975">
          <cell r="A975">
            <v>1843877</v>
          </cell>
        </row>
        <row r="976">
          <cell r="A976">
            <v>1843878</v>
          </cell>
        </row>
        <row r="977">
          <cell r="A977">
            <v>1843879</v>
          </cell>
        </row>
        <row r="978">
          <cell r="A978">
            <v>1843880</v>
          </cell>
        </row>
        <row r="979">
          <cell r="A979">
            <v>1843881</v>
          </cell>
        </row>
        <row r="980">
          <cell r="A980">
            <v>1844240</v>
          </cell>
        </row>
        <row r="981">
          <cell r="A981">
            <v>1844242</v>
          </cell>
        </row>
        <row r="982">
          <cell r="A982">
            <v>1844250</v>
          </cell>
        </row>
        <row r="983">
          <cell r="A983">
            <v>1844253</v>
          </cell>
        </row>
        <row r="984">
          <cell r="A984">
            <v>1844417</v>
          </cell>
        </row>
        <row r="985">
          <cell r="A985">
            <v>1844418</v>
          </cell>
        </row>
        <row r="986">
          <cell r="A986">
            <v>1844497</v>
          </cell>
        </row>
        <row r="987">
          <cell r="A987">
            <v>1844902</v>
          </cell>
        </row>
        <row r="988">
          <cell r="A988">
            <v>1845099</v>
          </cell>
        </row>
        <row r="989">
          <cell r="A989">
            <v>1845100</v>
          </cell>
        </row>
        <row r="990">
          <cell r="A990">
            <v>1845102</v>
          </cell>
        </row>
        <row r="991">
          <cell r="A991">
            <v>1845104</v>
          </cell>
        </row>
        <row r="992">
          <cell r="A992">
            <v>1847114</v>
          </cell>
        </row>
        <row r="993">
          <cell r="A993">
            <v>1847416</v>
          </cell>
        </row>
        <row r="994">
          <cell r="A994">
            <v>1849045</v>
          </cell>
        </row>
        <row r="995">
          <cell r="A995">
            <v>1849298</v>
          </cell>
        </row>
        <row r="996">
          <cell r="A996">
            <v>1849698</v>
          </cell>
        </row>
        <row r="997">
          <cell r="A997">
            <v>1849699</v>
          </cell>
        </row>
        <row r="998">
          <cell r="A998">
            <v>1850553</v>
          </cell>
        </row>
        <row r="999">
          <cell r="A999">
            <v>1851227</v>
          </cell>
        </row>
        <row r="1000">
          <cell r="A1000">
            <v>1852555</v>
          </cell>
        </row>
        <row r="1001">
          <cell r="A1001">
            <v>1852560</v>
          </cell>
        </row>
        <row r="1002">
          <cell r="A1002">
            <v>1852561</v>
          </cell>
        </row>
        <row r="1003">
          <cell r="A1003">
            <v>1852563</v>
          </cell>
        </row>
        <row r="1004">
          <cell r="A1004">
            <v>1854518</v>
          </cell>
        </row>
        <row r="1005">
          <cell r="A1005">
            <v>1856516</v>
          </cell>
        </row>
        <row r="1006">
          <cell r="A1006">
            <v>1856533</v>
          </cell>
        </row>
        <row r="1007">
          <cell r="A1007">
            <v>1856535</v>
          </cell>
        </row>
        <row r="1008">
          <cell r="A1008">
            <v>1857091</v>
          </cell>
        </row>
        <row r="1009">
          <cell r="A1009">
            <v>1857802</v>
          </cell>
        </row>
        <row r="1010">
          <cell r="A1010">
            <v>1857803</v>
          </cell>
        </row>
        <row r="1011">
          <cell r="A1011">
            <v>1857804</v>
          </cell>
        </row>
        <row r="1012">
          <cell r="A1012">
            <v>1857805</v>
          </cell>
        </row>
        <row r="1013">
          <cell r="A1013">
            <v>1857810</v>
          </cell>
        </row>
        <row r="1014">
          <cell r="A1014">
            <v>1861000</v>
          </cell>
        </row>
        <row r="1015">
          <cell r="A1015">
            <v>1861002</v>
          </cell>
        </row>
        <row r="1016">
          <cell r="A1016">
            <v>1862408</v>
          </cell>
        </row>
        <row r="1017">
          <cell r="A1017">
            <v>1865515</v>
          </cell>
        </row>
        <row r="1018">
          <cell r="A1018">
            <v>1865721</v>
          </cell>
        </row>
        <row r="1019">
          <cell r="A1019">
            <v>1865722</v>
          </cell>
        </row>
        <row r="1020">
          <cell r="A1020">
            <v>1866238</v>
          </cell>
        </row>
        <row r="1021">
          <cell r="A1021">
            <v>1866295</v>
          </cell>
        </row>
        <row r="1022">
          <cell r="A1022">
            <v>1866296</v>
          </cell>
        </row>
        <row r="1023">
          <cell r="A1023">
            <v>1866297</v>
          </cell>
        </row>
        <row r="1024">
          <cell r="A1024">
            <v>1866625</v>
          </cell>
        </row>
        <row r="1025">
          <cell r="A1025">
            <v>1866626</v>
          </cell>
        </row>
        <row r="1026">
          <cell r="A1026">
            <v>1866799</v>
          </cell>
        </row>
        <row r="1027">
          <cell r="A1027">
            <v>1867619</v>
          </cell>
        </row>
        <row r="1028">
          <cell r="A1028">
            <v>1867621</v>
          </cell>
        </row>
        <row r="1029">
          <cell r="A1029">
            <v>1867624</v>
          </cell>
        </row>
        <row r="1030">
          <cell r="A1030">
            <v>1867627</v>
          </cell>
        </row>
        <row r="1031">
          <cell r="A1031">
            <v>1867925</v>
          </cell>
        </row>
        <row r="1032">
          <cell r="A1032">
            <v>1868305</v>
          </cell>
        </row>
        <row r="1033">
          <cell r="A1033">
            <v>1868307</v>
          </cell>
        </row>
        <row r="1034">
          <cell r="A1034">
            <v>1868397</v>
          </cell>
        </row>
        <row r="1035">
          <cell r="A1035">
            <v>1868399</v>
          </cell>
        </row>
        <row r="1036">
          <cell r="A1036">
            <v>1868932</v>
          </cell>
        </row>
        <row r="1037">
          <cell r="A1037">
            <v>1870604</v>
          </cell>
        </row>
        <row r="1038">
          <cell r="A1038">
            <v>1870795</v>
          </cell>
        </row>
        <row r="1039">
          <cell r="A1039">
            <v>1870798</v>
          </cell>
        </row>
        <row r="1040">
          <cell r="A1040">
            <v>1871299</v>
          </cell>
        </row>
        <row r="1041">
          <cell r="A1041">
            <v>1871811</v>
          </cell>
        </row>
        <row r="1042">
          <cell r="A1042">
            <v>1871816</v>
          </cell>
        </row>
        <row r="1043">
          <cell r="A1043">
            <v>1871817</v>
          </cell>
        </row>
        <row r="1044">
          <cell r="A1044">
            <v>1871818</v>
          </cell>
        </row>
        <row r="1045">
          <cell r="A1045">
            <v>1871820</v>
          </cell>
        </row>
        <row r="1046">
          <cell r="A1046">
            <v>1871825</v>
          </cell>
        </row>
        <row r="1047">
          <cell r="A1047">
            <v>1871827</v>
          </cell>
        </row>
        <row r="1048">
          <cell r="A1048">
            <v>1872504</v>
          </cell>
        </row>
        <row r="1049">
          <cell r="A1049">
            <v>1872505</v>
          </cell>
        </row>
        <row r="1050">
          <cell r="A1050">
            <v>1873199</v>
          </cell>
        </row>
        <row r="1051">
          <cell r="A1051">
            <v>1873455</v>
          </cell>
        </row>
        <row r="1052">
          <cell r="A1052">
            <v>1873457</v>
          </cell>
        </row>
        <row r="1053">
          <cell r="A1053">
            <v>1873459</v>
          </cell>
        </row>
        <row r="1054">
          <cell r="A1054">
            <v>1873555</v>
          </cell>
        </row>
        <row r="1055">
          <cell r="A1055">
            <v>1873557</v>
          </cell>
        </row>
        <row r="1056">
          <cell r="A1056">
            <v>1873564</v>
          </cell>
        </row>
        <row r="1057">
          <cell r="A1057">
            <v>1873565</v>
          </cell>
        </row>
        <row r="1058">
          <cell r="A1058">
            <v>1873806</v>
          </cell>
        </row>
        <row r="1059">
          <cell r="A1059">
            <v>1873809</v>
          </cell>
        </row>
        <row r="1060">
          <cell r="A1060">
            <v>1873999</v>
          </cell>
        </row>
        <row r="1061">
          <cell r="A1061">
            <v>1874001</v>
          </cell>
        </row>
        <row r="1062">
          <cell r="A1062">
            <v>1874302</v>
          </cell>
        </row>
        <row r="1063">
          <cell r="A1063">
            <v>1874303</v>
          </cell>
        </row>
        <row r="1064">
          <cell r="A1064">
            <v>1874521</v>
          </cell>
        </row>
        <row r="1065">
          <cell r="A1065">
            <v>1874522</v>
          </cell>
        </row>
        <row r="1066">
          <cell r="A1066">
            <v>1875504</v>
          </cell>
        </row>
        <row r="1067">
          <cell r="A1067">
            <v>1875506</v>
          </cell>
        </row>
        <row r="1068">
          <cell r="A1068">
            <v>1875508</v>
          </cell>
        </row>
        <row r="1069">
          <cell r="A1069">
            <v>1875510</v>
          </cell>
        </row>
        <row r="1070">
          <cell r="A1070">
            <v>1875629</v>
          </cell>
        </row>
        <row r="1071">
          <cell r="A1071">
            <v>1875630</v>
          </cell>
        </row>
        <row r="1072">
          <cell r="A1072">
            <v>1875635</v>
          </cell>
        </row>
        <row r="1073">
          <cell r="A1073">
            <v>1875636</v>
          </cell>
        </row>
        <row r="1074">
          <cell r="A1074">
            <v>1875638</v>
          </cell>
        </row>
        <row r="1075">
          <cell r="A1075">
            <v>1875898</v>
          </cell>
        </row>
        <row r="1076">
          <cell r="A1076">
            <v>1875899</v>
          </cell>
        </row>
        <row r="1077">
          <cell r="A1077">
            <v>1875901</v>
          </cell>
        </row>
        <row r="1078">
          <cell r="A1078">
            <v>1876095</v>
          </cell>
        </row>
        <row r="1079">
          <cell r="A1079">
            <v>1878998</v>
          </cell>
        </row>
        <row r="1080">
          <cell r="A1080">
            <v>1879125</v>
          </cell>
        </row>
        <row r="1081">
          <cell r="A1081">
            <v>1879126</v>
          </cell>
        </row>
        <row r="1082">
          <cell r="A1082">
            <v>1879127</v>
          </cell>
        </row>
        <row r="1083">
          <cell r="A1083">
            <v>1879128</v>
          </cell>
        </row>
        <row r="1084">
          <cell r="A1084">
            <v>1879137</v>
          </cell>
        </row>
        <row r="1085">
          <cell r="A1085">
            <v>1879138</v>
          </cell>
        </row>
        <row r="1086">
          <cell r="A1086">
            <v>1880107</v>
          </cell>
        </row>
        <row r="1087">
          <cell r="A1087">
            <v>1880224</v>
          </cell>
        </row>
        <row r="1088">
          <cell r="A1088">
            <v>1880413</v>
          </cell>
        </row>
        <row r="1089">
          <cell r="A1089">
            <v>1880698</v>
          </cell>
        </row>
        <row r="1090">
          <cell r="A1090">
            <v>1880700</v>
          </cell>
        </row>
        <row r="1091">
          <cell r="A1091">
            <v>1881400</v>
          </cell>
        </row>
        <row r="1092">
          <cell r="A1092">
            <v>1881401</v>
          </cell>
        </row>
        <row r="1093">
          <cell r="A1093">
            <v>1881402</v>
          </cell>
        </row>
        <row r="1094">
          <cell r="A1094">
            <v>1881408</v>
          </cell>
        </row>
        <row r="1095">
          <cell r="A1095">
            <v>1881411</v>
          </cell>
        </row>
        <row r="1096">
          <cell r="A1096">
            <v>1881594</v>
          </cell>
        </row>
        <row r="1097">
          <cell r="A1097">
            <v>1881595</v>
          </cell>
        </row>
        <row r="1098">
          <cell r="A1098">
            <v>1881596</v>
          </cell>
        </row>
        <row r="1099">
          <cell r="A1099">
            <v>1882465</v>
          </cell>
        </row>
        <row r="1100">
          <cell r="A1100">
            <v>1882466</v>
          </cell>
        </row>
        <row r="1101">
          <cell r="A1101">
            <v>1883495</v>
          </cell>
        </row>
        <row r="1102">
          <cell r="A1102">
            <v>1883496</v>
          </cell>
        </row>
        <row r="1103">
          <cell r="A1103">
            <v>1883498</v>
          </cell>
        </row>
        <row r="1104">
          <cell r="A1104">
            <v>1884325</v>
          </cell>
        </row>
        <row r="1105">
          <cell r="A1105">
            <v>1884327</v>
          </cell>
        </row>
        <row r="1106">
          <cell r="A1106">
            <v>1884707</v>
          </cell>
        </row>
        <row r="1107">
          <cell r="A1107">
            <v>1884801</v>
          </cell>
        </row>
        <row r="1108">
          <cell r="A1108">
            <v>1884803</v>
          </cell>
        </row>
        <row r="1109">
          <cell r="A1109">
            <v>1891411</v>
          </cell>
        </row>
        <row r="1110">
          <cell r="A1110">
            <v>1895417</v>
          </cell>
        </row>
        <row r="1111">
          <cell r="A1111">
            <v>1895418</v>
          </cell>
        </row>
        <row r="1112">
          <cell r="A1112">
            <v>1895419</v>
          </cell>
        </row>
        <row r="1113">
          <cell r="A1113">
            <v>1896994</v>
          </cell>
        </row>
        <row r="1114">
          <cell r="A1114">
            <v>1896996</v>
          </cell>
        </row>
        <row r="1115">
          <cell r="A1115">
            <v>1898351</v>
          </cell>
        </row>
        <row r="1116">
          <cell r="A1116">
            <v>1899332</v>
          </cell>
        </row>
        <row r="1117">
          <cell r="A1117">
            <v>1899334</v>
          </cell>
        </row>
        <row r="1118">
          <cell r="A1118">
            <v>1899804</v>
          </cell>
        </row>
        <row r="1119">
          <cell r="A1119">
            <v>1908840</v>
          </cell>
        </row>
        <row r="1120">
          <cell r="A1120">
            <v>1908912</v>
          </cell>
        </row>
        <row r="1121">
          <cell r="A1121">
            <v>1908995</v>
          </cell>
        </row>
        <row r="1122">
          <cell r="A1122">
            <v>1908996</v>
          </cell>
        </row>
        <row r="1123">
          <cell r="A1123">
            <v>1909196</v>
          </cell>
        </row>
        <row r="1124">
          <cell r="A1124">
            <v>1909199</v>
          </cell>
        </row>
        <row r="1125">
          <cell r="A1125">
            <v>1910100</v>
          </cell>
        </row>
        <row r="1126">
          <cell r="A1126">
            <v>1910737</v>
          </cell>
        </row>
        <row r="1127">
          <cell r="A1127">
            <v>1910738</v>
          </cell>
        </row>
        <row r="1128">
          <cell r="A1128">
            <v>1910740</v>
          </cell>
        </row>
        <row r="1129">
          <cell r="A1129">
            <v>1913327</v>
          </cell>
        </row>
        <row r="1130">
          <cell r="A1130">
            <v>1913332</v>
          </cell>
        </row>
        <row r="1131">
          <cell r="A1131">
            <v>1914437</v>
          </cell>
        </row>
        <row r="1132">
          <cell r="A1132">
            <v>1914444</v>
          </cell>
        </row>
        <row r="1133">
          <cell r="A1133">
            <v>1914446</v>
          </cell>
        </row>
        <row r="1134">
          <cell r="A1134">
            <v>1914614</v>
          </cell>
        </row>
        <row r="1135">
          <cell r="A1135">
            <v>1914616</v>
          </cell>
        </row>
        <row r="1136">
          <cell r="A1136">
            <v>1914621</v>
          </cell>
        </row>
        <row r="1137">
          <cell r="A1137">
            <v>1914695</v>
          </cell>
        </row>
        <row r="1138">
          <cell r="A1138">
            <v>1914696</v>
          </cell>
        </row>
        <row r="1139">
          <cell r="A1139">
            <v>1914702</v>
          </cell>
        </row>
        <row r="1140">
          <cell r="A1140">
            <v>1920699</v>
          </cell>
        </row>
        <row r="1141">
          <cell r="A1141">
            <v>1920820</v>
          </cell>
        </row>
        <row r="1142">
          <cell r="A1142">
            <v>1920821</v>
          </cell>
        </row>
        <row r="1143">
          <cell r="A1143">
            <v>1920834</v>
          </cell>
        </row>
        <row r="1144">
          <cell r="A1144">
            <v>1920835</v>
          </cell>
        </row>
        <row r="1145">
          <cell r="A1145">
            <v>1922231</v>
          </cell>
        </row>
        <row r="1146">
          <cell r="A1146">
            <v>1922235</v>
          </cell>
        </row>
        <row r="1147">
          <cell r="A1147">
            <v>1922236</v>
          </cell>
        </row>
        <row r="1148">
          <cell r="A1148">
            <v>1922705</v>
          </cell>
        </row>
        <row r="1149">
          <cell r="A1149">
            <v>1922706</v>
          </cell>
        </row>
        <row r="1150">
          <cell r="A1150">
            <v>1922707</v>
          </cell>
        </row>
        <row r="1151">
          <cell r="A1151">
            <v>1922708</v>
          </cell>
        </row>
        <row r="1152">
          <cell r="A1152">
            <v>1922799</v>
          </cell>
        </row>
        <row r="1153">
          <cell r="A1153">
            <v>1922802</v>
          </cell>
        </row>
        <row r="1154">
          <cell r="A1154">
            <v>1922804</v>
          </cell>
        </row>
        <row r="1155">
          <cell r="A1155">
            <v>1922807</v>
          </cell>
        </row>
        <row r="1156">
          <cell r="A1156">
            <v>1924010</v>
          </cell>
        </row>
        <row r="1157">
          <cell r="A1157">
            <v>1924111</v>
          </cell>
        </row>
        <row r="1158">
          <cell r="A1158">
            <v>1924297</v>
          </cell>
        </row>
        <row r="1159">
          <cell r="A1159">
            <v>1924300</v>
          </cell>
        </row>
        <row r="1160">
          <cell r="A1160">
            <v>1924698</v>
          </cell>
        </row>
        <row r="1161">
          <cell r="A1161">
            <v>1924703</v>
          </cell>
        </row>
        <row r="1162">
          <cell r="A1162">
            <v>1924707</v>
          </cell>
        </row>
        <row r="1163">
          <cell r="A1163">
            <v>1924865</v>
          </cell>
        </row>
        <row r="1164">
          <cell r="A1164">
            <v>1924906</v>
          </cell>
        </row>
        <row r="1165">
          <cell r="A1165">
            <v>1924997</v>
          </cell>
        </row>
        <row r="1166">
          <cell r="A1166">
            <v>1925002</v>
          </cell>
        </row>
        <row r="1167">
          <cell r="A1167">
            <v>1925105</v>
          </cell>
        </row>
        <row r="1168">
          <cell r="A1168">
            <v>1925106</v>
          </cell>
        </row>
        <row r="1169">
          <cell r="A1169">
            <v>1925109</v>
          </cell>
        </row>
        <row r="1170">
          <cell r="A1170">
            <v>1925112</v>
          </cell>
        </row>
        <row r="1171">
          <cell r="A1171">
            <v>1925115</v>
          </cell>
        </row>
        <row r="1172">
          <cell r="A1172">
            <v>1925119</v>
          </cell>
        </row>
        <row r="1173">
          <cell r="A1173">
            <v>1925120</v>
          </cell>
        </row>
        <row r="1174">
          <cell r="A1174">
            <v>1925175</v>
          </cell>
        </row>
        <row r="1175">
          <cell r="A1175">
            <v>1925176</v>
          </cell>
        </row>
        <row r="1176">
          <cell r="A1176">
            <v>1925178</v>
          </cell>
        </row>
        <row r="1177">
          <cell r="A1177">
            <v>1925179</v>
          </cell>
        </row>
        <row r="1178">
          <cell r="A1178">
            <v>1925421</v>
          </cell>
        </row>
        <row r="1179">
          <cell r="A1179">
            <v>1925422</v>
          </cell>
        </row>
        <row r="1180">
          <cell r="A1180">
            <v>1925432</v>
          </cell>
        </row>
        <row r="1181">
          <cell r="A1181">
            <v>1925433</v>
          </cell>
        </row>
        <row r="1182">
          <cell r="A1182">
            <v>1927026</v>
          </cell>
        </row>
        <row r="1183">
          <cell r="A1183">
            <v>1927128</v>
          </cell>
        </row>
        <row r="1184">
          <cell r="A1184">
            <v>1927130</v>
          </cell>
        </row>
        <row r="1185">
          <cell r="A1185">
            <v>1927132</v>
          </cell>
        </row>
        <row r="1186">
          <cell r="A1186">
            <v>1927135</v>
          </cell>
        </row>
        <row r="1187">
          <cell r="A1187">
            <v>1927511</v>
          </cell>
        </row>
        <row r="1188">
          <cell r="A1188">
            <v>1928024</v>
          </cell>
        </row>
        <row r="1189">
          <cell r="A1189">
            <v>1928028</v>
          </cell>
        </row>
        <row r="1190">
          <cell r="A1190">
            <v>1928031</v>
          </cell>
        </row>
        <row r="1191">
          <cell r="A1191">
            <v>1928053</v>
          </cell>
        </row>
        <row r="1192">
          <cell r="A1192">
            <v>1928056</v>
          </cell>
        </row>
        <row r="1193">
          <cell r="A1193">
            <v>1928066</v>
          </cell>
        </row>
        <row r="1194">
          <cell r="A1194">
            <v>1928069</v>
          </cell>
        </row>
        <row r="1195">
          <cell r="A1195">
            <v>1928188</v>
          </cell>
        </row>
        <row r="1196">
          <cell r="A1196">
            <v>1928189</v>
          </cell>
        </row>
        <row r="1197">
          <cell r="A1197">
            <v>1928191</v>
          </cell>
        </row>
        <row r="1198">
          <cell r="A1198">
            <v>1928211</v>
          </cell>
        </row>
        <row r="1199">
          <cell r="A1199">
            <v>1928221</v>
          </cell>
        </row>
        <row r="1200">
          <cell r="A1200">
            <v>1928224</v>
          </cell>
        </row>
        <row r="1201">
          <cell r="A1201">
            <v>1928694</v>
          </cell>
        </row>
        <row r="1202">
          <cell r="A1202">
            <v>1928697</v>
          </cell>
        </row>
        <row r="1203">
          <cell r="A1203">
            <v>1928698</v>
          </cell>
        </row>
        <row r="1204">
          <cell r="A1204">
            <v>1928709</v>
          </cell>
        </row>
        <row r="1205">
          <cell r="A1205">
            <v>1928711</v>
          </cell>
        </row>
        <row r="1206">
          <cell r="A1206">
            <v>1928712</v>
          </cell>
        </row>
        <row r="1207">
          <cell r="A1207">
            <v>1928713</v>
          </cell>
        </row>
        <row r="1208">
          <cell r="A1208">
            <v>1928714</v>
          </cell>
        </row>
        <row r="1209">
          <cell r="A1209">
            <v>1928717</v>
          </cell>
        </row>
        <row r="1210">
          <cell r="A1210">
            <v>1928720</v>
          </cell>
        </row>
        <row r="1211">
          <cell r="A1211">
            <v>1928721</v>
          </cell>
        </row>
        <row r="1212">
          <cell r="A1212">
            <v>1928724</v>
          </cell>
        </row>
        <row r="1213">
          <cell r="A1213">
            <v>1929251</v>
          </cell>
        </row>
        <row r="1214">
          <cell r="A1214">
            <v>1929252</v>
          </cell>
        </row>
        <row r="1215">
          <cell r="A1215">
            <v>1929274</v>
          </cell>
        </row>
        <row r="1216">
          <cell r="A1216">
            <v>1929308</v>
          </cell>
        </row>
        <row r="1217">
          <cell r="A1217">
            <v>1929724</v>
          </cell>
        </row>
        <row r="1218">
          <cell r="A1218">
            <v>1943424</v>
          </cell>
        </row>
        <row r="1219">
          <cell r="A1219">
            <v>1943425</v>
          </cell>
        </row>
        <row r="1220">
          <cell r="A1220">
            <v>1943431</v>
          </cell>
        </row>
        <row r="1221">
          <cell r="A1221">
            <v>1943432</v>
          </cell>
        </row>
        <row r="1222">
          <cell r="A1222">
            <v>1943435</v>
          </cell>
        </row>
        <row r="1223">
          <cell r="A1223">
            <v>1943446</v>
          </cell>
        </row>
        <row r="1224">
          <cell r="A1224">
            <v>1943449</v>
          </cell>
        </row>
        <row r="1225">
          <cell r="A1225">
            <v>1943540</v>
          </cell>
        </row>
        <row r="1226">
          <cell r="A1226">
            <v>1944412</v>
          </cell>
        </row>
        <row r="1227">
          <cell r="A1227">
            <v>1944413</v>
          </cell>
        </row>
        <row r="1228">
          <cell r="A1228">
            <v>1944414</v>
          </cell>
        </row>
        <row r="1229">
          <cell r="A1229">
            <v>1944419</v>
          </cell>
        </row>
        <row r="1230">
          <cell r="A1230">
            <v>1944421</v>
          </cell>
        </row>
        <row r="1231">
          <cell r="A1231">
            <v>1944610</v>
          </cell>
        </row>
        <row r="1232">
          <cell r="A1232">
            <v>1944611</v>
          </cell>
        </row>
        <row r="1233">
          <cell r="A1233">
            <v>1944614</v>
          </cell>
        </row>
        <row r="1234">
          <cell r="A1234">
            <v>1944666</v>
          </cell>
        </row>
        <row r="1235">
          <cell r="A1235">
            <v>1944670</v>
          </cell>
        </row>
        <row r="1236">
          <cell r="A1236">
            <v>1944673</v>
          </cell>
        </row>
        <row r="1237">
          <cell r="A1237">
            <v>1945298</v>
          </cell>
        </row>
        <row r="1238">
          <cell r="A1238">
            <v>1945299</v>
          </cell>
        </row>
        <row r="1239">
          <cell r="A1239">
            <v>1945307</v>
          </cell>
        </row>
        <row r="1240">
          <cell r="A1240">
            <v>1945312</v>
          </cell>
        </row>
        <row r="1241">
          <cell r="A1241">
            <v>1945313</v>
          </cell>
        </row>
        <row r="1242">
          <cell r="A1242">
            <v>1945421</v>
          </cell>
        </row>
        <row r="1243">
          <cell r="A1243">
            <v>1945422</v>
          </cell>
        </row>
        <row r="1244">
          <cell r="A1244">
            <v>1945423</v>
          </cell>
        </row>
        <row r="1245">
          <cell r="A1245">
            <v>1945424</v>
          </cell>
        </row>
        <row r="1246">
          <cell r="A1246">
            <v>1945425</v>
          </cell>
        </row>
        <row r="1247">
          <cell r="A1247">
            <v>1945426</v>
          </cell>
        </row>
        <row r="1248">
          <cell r="A1248">
            <v>1945431</v>
          </cell>
        </row>
        <row r="1249">
          <cell r="A1249">
            <v>1945434</v>
          </cell>
        </row>
        <row r="1250">
          <cell r="A1250">
            <v>1945448</v>
          </cell>
        </row>
        <row r="1251">
          <cell r="A1251">
            <v>1945450</v>
          </cell>
        </row>
        <row r="1252">
          <cell r="A1252">
            <v>1945451</v>
          </cell>
        </row>
        <row r="1253">
          <cell r="A1253">
            <v>1945454</v>
          </cell>
        </row>
        <row r="1254">
          <cell r="A1254">
            <v>1945612</v>
          </cell>
        </row>
        <row r="1255">
          <cell r="A1255">
            <v>1945998</v>
          </cell>
        </row>
        <row r="1256">
          <cell r="A1256">
            <v>1945999</v>
          </cell>
        </row>
        <row r="1257">
          <cell r="A1257">
            <v>1946000</v>
          </cell>
        </row>
        <row r="1258">
          <cell r="A1258">
            <v>1946001</v>
          </cell>
        </row>
        <row r="1259">
          <cell r="A1259">
            <v>1946003</v>
          </cell>
        </row>
        <row r="1260">
          <cell r="A1260">
            <v>1946200</v>
          </cell>
        </row>
        <row r="1261">
          <cell r="A1261">
            <v>1946201</v>
          </cell>
        </row>
        <row r="1262">
          <cell r="A1262">
            <v>1947127</v>
          </cell>
        </row>
        <row r="1263">
          <cell r="A1263">
            <v>1947130</v>
          </cell>
        </row>
        <row r="1264">
          <cell r="A1264">
            <v>1948701</v>
          </cell>
        </row>
        <row r="1265">
          <cell r="A1265">
            <v>1949343</v>
          </cell>
        </row>
        <row r="1266">
          <cell r="A1266">
            <v>1949364</v>
          </cell>
        </row>
        <row r="1267">
          <cell r="A1267">
            <v>1949410</v>
          </cell>
        </row>
        <row r="1268">
          <cell r="A1268">
            <v>1949411</v>
          </cell>
        </row>
        <row r="1269">
          <cell r="A1269">
            <v>1949413</v>
          </cell>
        </row>
        <row r="1270">
          <cell r="A1270">
            <v>1949414</v>
          </cell>
        </row>
        <row r="1271">
          <cell r="A1271">
            <v>1950338</v>
          </cell>
        </row>
        <row r="1272">
          <cell r="A1272">
            <v>1950341</v>
          </cell>
        </row>
        <row r="1273">
          <cell r="A1273">
            <v>1950344</v>
          </cell>
        </row>
        <row r="1274">
          <cell r="A1274">
            <v>1950360</v>
          </cell>
        </row>
        <row r="1275">
          <cell r="A1275">
            <v>1950361</v>
          </cell>
        </row>
        <row r="1276">
          <cell r="A1276">
            <v>1950364</v>
          </cell>
        </row>
        <row r="1277">
          <cell r="A1277">
            <v>1950395</v>
          </cell>
        </row>
        <row r="1278">
          <cell r="A1278">
            <v>1951142</v>
          </cell>
        </row>
        <row r="1279">
          <cell r="A1279">
            <v>1951608</v>
          </cell>
        </row>
        <row r="1280">
          <cell r="A1280">
            <v>1951610</v>
          </cell>
        </row>
        <row r="1281">
          <cell r="A1281">
            <v>1952405</v>
          </cell>
        </row>
        <row r="1282">
          <cell r="A1282">
            <v>1952407</v>
          </cell>
        </row>
        <row r="1283">
          <cell r="A1283">
            <v>1952520</v>
          </cell>
        </row>
        <row r="1284">
          <cell r="A1284">
            <v>1953064</v>
          </cell>
        </row>
        <row r="1285">
          <cell r="A1285">
            <v>1953065</v>
          </cell>
        </row>
        <row r="1286">
          <cell r="A1286">
            <v>1953066</v>
          </cell>
        </row>
        <row r="1287">
          <cell r="A1287">
            <v>1953069</v>
          </cell>
        </row>
        <row r="1288">
          <cell r="A1288">
            <v>1956827</v>
          </cell>
        </row>
        <row r="1289">
          <cell r="A1289">
            <v>1956829</v>
          </cell>
        </row>
        <row r="1290">
          <cell r="A1290">
            <v>1957096</v>
          </cell>
        </row>
        <row r="1291">
          <cell r="A1291">
            <v>1957098</v>
          </cell>
        </row>
        <row r="1292">
          <cell r="A1292">
            <v>1957102</v>
          </cell>
        </row>
        <row r="1293">
          <cell r="A1293">
            <v>1957106</v>
          </cell>
        </row>
        <row r="1294">
          <cell r="A1294">
            <v>1957321</v>
          </cell>
        </row>
        <row r="1295">
          <cell r="A1295">
            <v>1957326</v>
          </cell>
        </row>
        <row r="1296">
          <cell r="A1296">
            <v>1957354</v>
          </cell>
        </row>
        <row r="1297">
          <cell r="A1297">
            <v>1958000</v>
          </cell>
        </row>
        <row r="1298">
          <cell r="A1298">
            <v>1958006</v>
          </cell>
        </row>
        <row r="1299">
          <cell r="A1299">
            <v>1958027</v>
          </cell>
        </row>
        <row r="1300">
          <cell r="A1300">
            <v>1958029</v>
          </cell>
        </row>
        <row r="1301">
          <cell r="A1301">
            <v>1958615</v>
          </cell>
        </row>
        <row r="1302">
          <cell r="A1302">
            <v>1958617</v>
          </cell>
        </row>
        <row r="1303">
          <cell r="A1303">
            <v>1958620</v>
          </cell>
        </row>
        <row r="1304">
          <cell r="A1304">
            <v>1958626</v>
          </cell>
        </row>
        <row r="1305">
          <cell r="A1305">
            <v>1958628</v>
          </cell>
        </row>
        <row r="1306">
          <cell r="A1306">
            <v>1958635</v>
          </cell>
        </row>
        <row r="1307">
          <cell r="A1307">
            <v>1960396</v>
          </cell>
        </row>
        <row r="1308">
          <cell r="A1308">
            <v>1960400</v>
          </cell>
        </row>
        <row r="1309">
          <cell r="A1309">
            <v>1960407</v>
          </cell>
        </row>
        <row r="1310">
          <cell r="A1310">
            <v>1960674</v>
          </cell>
        </row>
        <row r="1311">
          <cell r="A1311">
            <v>1960675</v>
          </cell>
        </row>
        <row r="1312">
          <cell r="A1312">
            <v>1960679</v>
          </cell>
        </row>
        <row r="1313">
          <cell r="A1313">
            <v>1960682</v>
          </cell>
        </row>
        <row r="1314">
          <cell r="A1314">
            <v>1960685</v>
          </cell>
        </row>
        <row r="1315">
          <cell r="A1315">
            <v>1960809</v>
          </cell>
        </row>
        <row r="1316">
          <cell r="A1316">
            <v>1960908</v>
          </cell>
        </row>
        <row r="1317">
          <cell r="A1317">
            <v>1960909</v>
          </cell>
        </row>
        <row r="1318">
          <cell r="A1318">
            <v>1960910</v>
          </cell>
        </row>
        <row r="1319">
          <cell r="A1319">
            <v>1960915</v>
          </cell>
        </row>
        <row r="1320">
          <cell r="A1320">
            <v>1960918</v>
          </cell>
        </row>
        <row r="1321">
          <cell r="A1321">
            <v>1960921</v>
          </cell>
        </row>
        <row r="1322">
          <cell r="A1322">
            <v>1960924</v>
          </cell>
        </row>
        <row r="1323">
          <cell r="A1323">
            <v>1960950</v>
          </cell>
        </row>
        <row r="1324">
          <cell r="A1324">
            <v>1960951</v>
          </cell>
        </row>
        <row r="1325">
          <cell r="A1325">
            <v>1961036</v>
          </cell>
        </row>
        <row r="1326">
          <cell r="A1326">
            <v>1961214</v>
          </cell>
        </row>
        <row r="1327">
          <cell r="A1327">
            <v>1961439</v>
          </cell>
        </row>
        <row r="1328">
          <cell r="A1328">
            <v>1961440</v>
          </cell>
        </row>
        <row r="1329">
          <cell r="A1329">
            <v>1961453</v>
          </cell>
        </row>
        <row r="1330">
          <cell r="A1330">
            <v>1962419</v>
          </cell>
        </row>
        <row r="1331">
          <cell r="A1331">
            <v>1962420</v>
          </cell>
        </row>
        <row r="1332">
          <cell r="A1332">
            <v>1962426</v>
          </cell>
        </row>
        <row r="1333">
          <cell r="A1333">
            <v>1962433</v>
          </cell>
        </row>
        <row r="1334">
          <cell r="A1334">
            <v>1962607</v>
          </cell>
        </row>
        <row r="1335">
          <cell r="A1335">
            <v>1962608</v>
          </cell>
        </row>
        <row r="1336">
          <cell r="A1336">
            <v>1962741</v>
          </cell>
        </row>
        <row r="1337">
          <cell r="A1337">
            <v>1962929</v>
          </cell>
        </row>
        <row r="1338">
          <cell r="A1338">
            <v>1962968</v>
          </cell>
        </row>
        <row r="1339">
          <cell r="A1339">
            <v>1963345</v>
          </cell>
        </row>
        <row r="1340">
          <cell r="A1340">
            <v>1963348</v>
          </cell>
        </row>
        <row r="1341">
          <cell r="A1341">
            <v>1963432</v>
          </cell>
        </row>
        <row r="1342">
          <cell r="A1342">
            <v>1963434</v>
          </cell>
        </row>
        <row r="1343">
          <cell r="A1343">
            <v>1963548</v>
          </cell>
        </row>
        <row r="1344">
          <cell r="A1344">
            <v>1963549</v>
          </cell>
        </row>
        <row r="1345">
          <cell r="A1345">
            <v>1963550</v>
          </cell>
        </row>
        <row r="1346">
          <cell r="A1346">
            <v>1963555</v>
          </cell>
        </row>
        <row r="1347">
          <cell r="A1347">
            <v>1963557</v>
          </cell>
        </row>
        <row r="1348">
          <cell r="A1348">
            <v>1963606</v>
          </cell>
        </row>
        <row r="1349">
          <cell r="A1349">
            <v>1963666</v>
          </cell>
        </row>
        <row r="1350">
          <cell r="A1350">
            <v>1963816</v>
          </cell>
        </row>
        <row r="1351">
          <cell r="A1351">
            <v>1963898</v>
          </cell>
        </row>
        <row r="1352">
          <cell r="A1352">
            <v>1963900</v>
          </cell>
        </row>
        <row r="1353">
          <cell r="A1353">
            <v>1964460</v>
          </cell>
        </row>
        <row r="1354">
          <cell r="A1354">
            <v>1964462</v>
          </cell>
        </row>
        <row r="1355">
          <cell r="A1355">
            <v>1964497</v>
          </cell>
        </row>
        <row r="1356">
          <cell r="A1356">
            <v>1964500</v>
          </cell>
        </row>
        <row r="1357">
          <cell r="A1357">
            <v>1964501</v>
          </cell>
        </row>
        <row r="1358">
          <cell r="A1358">
            <v>1964613</v>
          </cell>
        </row>
        <row r="1359">
          <cell r="A1359">
            <v>1964616</v>
          </cell>
        </row>
        <row r="1360">
          <cell r="A1360">
            <v>1964679</v>
          </cell>
        </row>
        <row r="1361">
          <cell r="A1361">
            <v>1964681</v>
          </cell>
        </row>
        <row r="1362">
          <cell r="A1362">
            <v>1964684</v>
          </cell>
        </row>
        <row r="1363">
          <cell r="A1363">
            <v>1964686</v>
          </cell>
        </row>
        <row r="1364">
          <cell r="A1364">
            <v>1964688</v>
          </cell>
        </row>
        <row r="1365">
          <cell r="A1365">
            <v>1964690</v>
          </cell>
        </row>
        <row r="1366">
          <cell r="A1366">
            <v>1964692</v>
          </cell>
        </row>
        <row r="1367">
          <cell r="A1367">
            <v>1964721</v>
          </cell>
        </row>
        <row r="1368">
          <cell r="A1368">
            <v>1964723</v>
          </cell>
        </row>
        <row r="1369">
          <cell r="A1369">
            <v>1964725</v>
          </cell>
        </row>
        <row r="1370">
          <cell r="A1370">
            <v>1964727</v>
          </cell>
        </row>
        <row r="1371">
          <cell r="A1371">
            <v>1964851</v>
          </cell>
        </row>
        <row r="1372">
          <cell r="A1372">
            <v>1964967</v>
          </cell>
        </row>
        <row r="1373">
          <cell r="A1373">
            <v>1964969</v>
          </cell>
        </row>
        <row r="1374">
          <cell r="A1374">
            <v>1964987</v>
          </cell>
        </row>
        <row r="1375">
          <cell r="A1375">
            <v>1964990</v>
          </cell>
        </row>
        <row r="1376">
          <cell r="A1376">
            <v>1964991</v>
          </cell>
        </row>
        <row r="1377">
          <cell r="A1377">
            <v>1965001</v>
          </cell>
        </row>
        <row r="1378">
          <cell r="A1378">
            <v>1965005</v>
          </cell>
        </row>
        <row r="1379">
          <cell r="A1379">
            <v>1965037</v>
          </cell>
        </row>
        <row r="1380">
          <cell r="A1380">
            <v>1965039</v>
          </cell>
        </row>
        <row r="1381">
          <cell r="A1381">
            <v>1965042</v>
          </cell>
        </row>
        <row r="1382">
          <cell r="A1382">
            <v>1965185</v>
          </cell>
        </row>
        <row r="1383">
          <cell r="A1383">
            <v>1965221</v>
          </cell>
        </row>
        <row r="1384">
          <cell r="A1384">
            <v>1965225</v>
          </cell>
        </row>
        <row r="1385">
          <cell r="A1385">
            <v>1965228</v>
          </cell>
        </row>
        <row r="1386">
          <cell r="A1386">
            <v>1965394</v>
          </cell>
        </row>
        <row r="1387">
          <cell r="A1387">
            <v>1965529</v>
          </cell>
        </row>
        <row r="1388">
          <cell r="A1388">
            <v>1965530</v>
          </cell>
        </row>
        <row r="1389">
          <cell r="A1389">
            <v>1965539</v>
          </cell>
        </row>
        <row r="1390">
          <cell r="A1390">
            <v>1966028</v>
          </cell>
        </row>
        <row r="1391">
          <cell r="A1391">
            <v>1966029</v>
          </cell>
        </row>
        <row r="1392">
          <cell r="A1392">
            <v>1966030</v>
          </cell>
        </row>
        <row r="1393">
          <cell r="A1393">
            <v>1966031</v>
          </cell>
        </row>
        <row r="1394">
          <cell r="A1394">
            <v>1966041</v>
          </cell>
        </row>
        <row r="1395">
          <cell r="A1395">
            <v>1966246</v>
          </cell>
        </row>
        <row r="1396">
          <cell r="A1396">
            <v>1966795</v>
          </cell>
        </row>
        <row r="1397">
          <cell r="A1397">
            <v>1966796</v>
          </cell>
        </row>
        <row r="1398">
          <cell r="A1398">
            <v>1966799</v>
          </cell>
        </row>
        <row r="1399">
          <cell r="A1399">
            <v>1966802</v>
          </cell>
        </row>
        <row r="1400">
          <cell r="A1400">
            <v>1966805</v>
          </cell>
        </row>
        <row r="1401">
          <cell r="A1401">
            <v>1966807</v>
          </cell>
        </row>
        <row r="1402">
          <cell r="A1402">
            <v>1966808</v>
          </cell>
        </row>
        <row r="1403">
          <cell r="A1403">
            <v>1966809</v>
          </cell>
        </row>
        <row r="1404">
          <cell r="A1404">
            <v>1966810</v>
          </cell>
        </row>
        <row r="1405">
          <cell r="A1405">
            <v>1966812</v>
          </cell>
        </row>
        <row r="1406">
          <cell r="A1406">
            <v>1966817</v>
          </cell>
        </row>
        <row r="1407">
          <cell r="A1407">
            <v>1966836</v>
          </cell>
        </row>
        <row r="1408">
          <cell r="A1408">
            <v>1966837</v>
          </cell>
        </row>
        <row r="1409">
          <cell r="A1409">
            <v>1966842</v>
          </cell>
        </row>
        <row r="1410">
          <cell r="A1410">
            <v>1966870</v>
          </cell>
        </row>
        <row r="1411">
          <cell r="A1411">
            <v>1966871</v>
          </cell>
        </row>
        <row r="1412">
          <cell r="A1412">
            <v>1967960</v>
          </cell>
        </row>
        <row r="1413">
          <cell r="A1413">
            <v>1967961</v>
          </cell>
        </row>
        <row r="1414">
          <cell r="A1414">
            <v>1968301</v>
          </cell>
        </row>
        <row r="1415">
          <cell r="A1415">
            <v>1968302</v>
          </cell>
        </row>
        <row r="1416">
          <cell r="A1416">
            <v>1968606</v>
          </cell>
        </row>
        <row r="1417">
          <cell r="A1417">
            <v>1968610</v>
          </cell>
        </row>
        <row r="1418">
          <cell r="A1418">
            <v>1969052</v>
          </cell>
        </row>
        <row r="1419">
          <cell r="A1419">
            <v>1969056</v>
          </cell>
        </row>
        <row r="1420">
          <cell r="A1420">
            <v>1969057</v>
          </cell>
        </row>
        <row r="1421">
          <cell r="A1421">
            <v>1969059</v>
          </cell>
        </row>
        <row r="1422">
          <cell r="A1422">
            <v>1969073</v>
          </cell>
        </row>
        <row r="1423">
          <cell r="A1423">
            <v>1969264</v>
          </cell>
        </row>
        <row r="1424">
          <cell r="A1424">
            <v>1969310</v>
          </cell>
        </row>
        <row r="1425">
          <cell r="A1425">
            <v>1969312</v>
          </cell>
        </row>
        <row r="1426">
          <cell r="A1426">
            <v>1969314</v>
          </cell>
        </row>
        <row r="1427">
          <cell r="A1427">
            <v>1969432</v>
          </cell>
        </row>
        <row r="1428">
          <cell r="A1428">
            <v>1969434</v>
          </cell>
        </row>
        <row r="1429">
          <cell r="A1429">
            <v>1969437</v>
          </cell>
        </row>
        <row r="1430">
          <cell r="A1430">
            <v>1974266</v>
          </cell>
        </row>
        <row r="1431">
          <cell r="A1431">
            <v>1974268</v>
          </cell>
        </row>
        <row r="1432">
          <cell r="A1432">
            <v>1974314</v>
          </cell>
        </row>
        <row r="1433">
          <cell r="A1433">
            <v>1974676</v>
          </cell>
        </row>
        <row r="1434">
          <cell r="A1434">
            <v>1974713</v>
          </cell>
        </row>
        <row r="1435">
          <cell r="A1435">
            <v>1974718</v>
          </cell>
        </row>
        <row r="1436">
          <cell r="A1436">
            <v>1975334</v>
          </cell>
        </row>
        <row r="1437">
          <cell r="A1437">
            <v>1975400</v>
          </cell>
        </row>
        <row r="1438">
          <cell r="A1438">
            <v>1975419</v>
          </cell>
        </row>
        <row r="1439">
          <cell r="A1439">
            <v>1975483</v>
          </cell>
        </row>
        <row r="1440">
          <cell r="A1440">
            <v>1975486</v>
          </cell>
        </row>
        <row r="1441">
          <cell r="A1441">
            <v>1975653</v>
          </cell>
        </row>
        <row r="1442">
          <cell r="A1442">
            <v>1975655</v>
          </cell>
        </row>
        <row r="1443">
          <cell r="A1443">
            <v>1975665</v>
          </cell>
        </row>
        <row r="1444">
          <cell r="A1444">
            <v>1975667</v>
          </cell>
        </row>
        <row r="1445">
          <cell r="A1445">
            <v>1975669</v>
          </cell>
        </row>
        <row r="1446">
          <cell r="A1446">
            <v>1975671</v>
          </cell>
        </row>
        <row r="1447">
          <cell r="A1447">
            <v>1975673</v>
          </cell>
        </row>
        <row r="1448">
          <cell r="A1448">
            <v>1975743</v>
          </cell>
        </row>
        <row r="1449">
          <cell r="A1449">
            <v>1975746</v>
          </cell>
        </row>
        <row r="1450">
          <cell r="A1450">
            <v>1975749</v>
          </cell>
        </row>
        <row r="1451">
          <cell r="A1451">
            <v>1975796</v>
          </cell>
        </row>
        <row r="1452">
          <cell r="A1452">
            <v>1975799</v>
          </cell>
        </row>
        <row r="1453">
          <cell r="A1453">
            <v>1975812</v>
          </cell>
        </row>
        <row r="1454">
          <cell r="A1454">
            <v>1975814</v>
          </cell>
        </row>
        <row r="1455">
          <cell r="A1455">
            <v>1975819</v>
          </cell>
        </row>
        <row r="1456">
          <cell r="A1456">
            <v>1975860</v>
          </cell>
        </row>
        <row r="1457">
          <cell r="A1457">
            <v>1975861</v>
          </cell>
        </row>
        <row r="1458">
          <cell r="A1458">
            <v>1975864</v>
          </cell>
        </row>
        <row r="1459">
          <cell r="A1459">
            <v>1975995</v>
          </cell>
        </row>
        <row r="1460">
          <cell r="A1460">
            <v>1975996</v>
          </cell>
        </row>
        <row r="1461">
          <cell r="A1461">
            <v>1975998</v>
          </cell>
        </row>
        <row r="1462">
          <cell r="A1462">
            <v>1976284</v>
          </cell>
        </row>
        <row r="1463">
          <cell r="A1463">
            <v>1976339</v>
          </cell>
        </row>
        <row r="1464">
          <cell r="A1464">
            <v>1976340</v>
          </cell>
        </row>
        <row r="1465">
          <cell r="A1465">
            <v>1976341</v>
          </cell>
        </row>
        <row r="1466">
          <cell r="A1466">
            <v>1976342</v>
          </cell>
        </row>
        <row r="1467">
          <cell r="A1467">
            <v>1976404</v>
          </cell>
        </row>
        <row r="1468">
          <cell r="A1468">
            <v>1976410</v>
          </cell>
        </row>
        <row r="1469">
          <cell r="A1469">
            <v>1976414</v>
          </cell>
        </row>
        <row r="1470">
          <cell r="A1470">
            <v>1976415</v>
          </cell>
        </row>
        <row r="1471">
          <cell r="A1471">
            <v>1976761</v>
          </cell>
        </row>
        <row r="1472">
          <cell r="A1472">
            <v>1977034</v>
          </cell>
        </row>
        <row r="1473">
          <cell r="A1473">
            <v>1977037</v>
          </cell>
        </row>
        <row r="1474">
          <cell r="A1474">
            <v>1977038</v>
          </cell>
        </row>
        <row r="1475">
          <cell r="A1475">
            <v>1977041</v>
          </cell>
        </row>
        <row r="1476">
          <cell r="A1476">
            <v>1977081</v>
          </cell>
        </row>
        <row r="1477">
          <cell r="A1477">
            <v>1977084</v>
          </cell>
        </row>
        <row r="1478">
          <cell r="A1478">
            <v>1977087</v>
          </cell>
        </row>
        <row r="1479">
          <cell r="A1479">
            <v>1977179</v>
          </cell>
        </row>
        <row r="1480">
          <cell r="A1480">
            <v>1982295</v>
          </cell>
        </row>
        <row r="1481">
          <cell r="A1481">
            <v>1982303</v>
          </cell>
        </row>
        <row r="1482">
          <cell r="A1482">
            <v>1982320</v>
          </cell>
        </row>
        <row r="1483">
          <cell r="A1483">
            <v>1982556</v>
          </cell>
        </row>
        <row r="1484">
          <cell r="A1484">
            <v>1982564</v>
          </cell>
        </row>
        <row r="1485">
          <cell r="A1485">
            <v>1982566</v>
          </cell>
        </row>
        <row r="1486">
          <cell r="A1486">
            <v>1982759</v>
          </cell>
        </row>
        <row r="1487">
          <cell r="A1487">
            <v>1983804</v>
          </cell>
        </row>
        <row r="1488">
          <cell r="A1488">
            <v>1983807</v>
          </cell>
        </row>
        <row r="1489">
          <cell r="A1489">
            <v>1983809</v>
          </cell>
        </row>
        <row r="1490">
          <cell r="A1490">
            <v>1983812</v>
          </cell>
        </row>
        <row r="1491">
          <cell r="A1491">
            <v>1983822</v>
          </cell>
        </row>
        <row r="1492">
          <cell r="A1492">
            <v>1983827</v>
          </cell>
        </row>
        <row r="1493">
          <cell r="A1493">
            <v>1984227</v>
          </cell>
        </row>
        <row r="1494">
          <cell r="A1494">
            <v>1984229</v>
          </cell>
        </row>
        <row r="1495">
          <cell r="A1495">
            <v>1985023</v>
          </cell>
        </row>
        <row r="1496">
          <cell r="A1496">
            <v>1985096</v>
          </cell>
        </row>
        <row r="1497">
          <cell r="A1497">
            <v>1985097</v>
          </cell>
        </row>
        <row r="1498">
          <cell r="A1498">
            <v>1985104</v>
          </cell>
        </row>
        <row r="1499">
          <cell r="A1499">
            <v>1985106</v>
          </cell>
        </row>
        <row r="1500">
          <cell r="A1500">
            <v>1985109</v>
          </cell>
        </row>
        <row r="1501">
          <cell r="A1501">
            <v>1985513</v>
          </cell>
        </row>
        <row r="1502">
          <cell r="A1502">
            <v>1985518</v>
          </cell>
        </row>
        <row r="1503">
          <cell r="A1503">
            <v>1985982</v>
          </cell>
        </row>
        <row r="1504">
          <cell r="A1504">
            <v>1986125</v>
          </cell>
        </row>
        <row r="1505">
          <cell r="A1505">
            <v>1986996</v>
          </cell>
        </row>
        <row r="1506">
          <cell r="A1506">
            <v>1995403</v>
          </cell>
        </row>
        <row r="1507">
          <cell r="A1507">
            <v>1995405</v>
          </cell>
        </row>
        <row r="1508">
          <cell r="A1508">
            <v>1996800</v>
          </cell>
        </row>
        <row r="1509">
          <cell r="A1509">
            <v>1997217</v>
          </cell>
        </row>
        <row r="1510">
          <cell r="A1510">
            <v>1997219</v>
          </cell>
        </row>
        <row r="1511">
          <cell r="A1511">
            <v>1997435</v>
          </cell>
        </row>
        <row r="1512">
          <cell r="A1512">
            <v>1997437</v>
          </cell>
        </row>
        <row r="1513">
          <cell r="A1513">
            <v>1997441</v>
          </cell>
        </row>
        <row r="1514">
          <cell r="A1514">
            <v>1997442</v>
          </cell>
        </row>
        <row r="1515">
          <cell r="A1515">
            <v>1997811</v>
          </cell>
        </row>
        <row r="1516">
          <cell r="A1516">
            <v>1997859</v>
          </cell>
        </row>
        <row r="1517">
          <cell r="A1517">
            <v>1998008</v>
          </cell>
        </row>
        <row r="1518">
          <cell r="A1518">
            <v>1998009</v>
          </cell>
        </row>
        <row r="1519">
          <cell r="A1519">
            <v>1998010</v>
          </cell>
        </row>
        <row r="1520">
          <cell r="A1520">
            <v>1998011</v>
          </cell>
        </row>
        <row r="1521">
          <cell r="A1521">
            <v>1998013</v>
          </cell>
        </row>
        <row r="1522">
          <cell r="A1522">
            <v>1998015</v>
          </cell>
        </row>
        <row r="1523">
          <cell r="A1523">
            <v>1998709</v>
          </cell>
        </row>
        <row r="1524">
          <cell r="A1524">
            <v>2003297</v>
          </cell>
        </row>
        <row r="1525">
          <cell r="A1525">
            <v>2003320</v>
          </cell>
        </row>
        <row r="1526">
          <cell r="A1526">
            <v>2003347</v>
          </cell>
        </row>
        <row r="1527">
          <cell r="A1527">
            <v>2003363</v>
          </cell>
        </row>
        <row r="1528">
          <cell r="A1528">
            <v>2003364</v>
          </cell>
        </row>
        <row r="1529">
          <cell r="A1529">
            <v>2003367</v>
          </cell>
        </row>
        <row r="1530">
          <cell r="A1530">
            <v>2003370</v>
          </cell>
        </row>
        <row r="1531">
          <cell r="A1531">
            <v>2003372</v>
          </cell>
        </row>
        <row r="1532">
          <cell r="A1532">
            <v>2003376</v>
          </cell>
        </row>
        <row r="1533">
          <cell r="A1533">
            <v>2003379</v>
          </cell>
        </row>
        <row r="1534">
          <cell r="A1534">
            <v>2003382</v>
          </cell>
        </row>
        <row r="1535">
          <cell r="A1535">
            <v>2003411</v>
          </cell>
        </row>
        <row r="1536">
          <cell r="A1536">
            <v>2003413</v>
          </cell>
        </row>
        <row r="1537">
          <cell r="A1537">
            <v>2003415</v>
          </cell>
        </row>
        <row r="1538">
          <cell r="A1538">
            <v>2003594</v>
          </cell>
        </row>
        <row r="1539">
          <cell r="A1539">
            <v>2003598</v>
          </cell>
        </row>
        <row r="1540">
          <cell r="A1540">
            <v>2003641</v>
          </cell>
        </row>
        <row r="1541">
          <cell r="A1541">
            <v>2003916</v>
          </cell>
        </row>
        <row r="1542">
          <cell r="A1542">
            <v>2003917</v>
          </cell>
        </row>
        <row r="1543">
          <cell r="A1543">
            <v>2003918</v>
          </cell>
        </row>
        <row r="1544">
          <cell r="A1544">
            <v>2003919</v>
          </cell>
        </row>
        <row r="1545">
          <cell r="A1545">
            <v>2003922</v>
          </cell>
        </row>
        <row r="1546">
          <cell r="A1546">
            <v>2004987</v>
          </cell>
        </row>
        <row r="1547">
          <cell r="A1547">
            <v>2004991</v>
          </cell>
        </row>
        <row r="1548">
          <cell r="A1548">
            <v>2004993</v>
          </cell>
        </row>
        <row r="1549">
          <cell r="A1549">
            <v>2005063</v>
          </cell>
        </row>
        <row r="1550">
          <cell r="A1550">
            <v>2005070</v>
          </cell>
        </row>
        <row r="1551">
          <cell r="A1551">
            <v>2005073</v>
          </cell>
        </row>
        <row r="1552">
          <cell r="A1552">
            <v>2005076</v>
          </cell>
        </row>
        <row r="1553">
          <cell r="A1553">
            <v>2005257</v>
          </cell>
        </row>
        <row r="1554">
          <cell r="A1554">
            <v>2005275</v>
          </cell>
        </row>
        <row r="1555">
          <cell r="A1555">
            <v>2005297</v>
          </cell>
        </row>
        <row r="1556">
          <cell r="A1556">
            <v>2005800</v>
          </cell>
        </row>
        <row r="1557">
          <cell r="A1557">
            <v>2005801</v>
          </cell>
        </row>
        <row r="1558">
          <cell r="A1558">
            <v>2005803</v>
          </cell>
        </row>
        <row r="1559">
          <cell r="A1559">
            <v>2005954</v>
          </cell>
        </row>
        <row r="1560">
          <cell r="A1560">
            <v>2005960</v>
          </cell>
        </row>
        <row r="1561">
          <cell r="A1561">
            <v>2005961</v>
          </cell>
        </row>
        <row r="1562">
          <cell r="A1562">
            <v>2005962</v>
          </cell>
        </row>
        <row r="1563">
          <cell r="A1563">
            <v>2005969</v>
          </cell>
        </row>
        <row r="1564">
          <cell r="A1564">
            <v>2006060</v>
          </cell>
        </row>
        <row r="1565">
          <cell r="A1565">
            <v>2006062</v>
          </cell>
        </row>
        <row r="1566">
          <cell r="A1566">
            <v>2006152</v>
          </cell>
        </row>
        <row r="1567">
          <cell r="A1567">
            <v>2006250</v>
          </cell>
        </row>
        <row r="1568">
          <cell r="A1568">
            <v>2006527</v>
          </cell>
        </row>
        <row r="1569">
          <cell r="A1569">
            <v>2006531</v>
          </cell>
        </row>
        <row r="1570">
          <cell r="A1570">
            <v>2006534</v>
          </cell>
        </row>
        <row r="1571">
          <cell r="A1571">
            <v>2007627</v>
          </cell>
        </row>
        <row r="1572">
          <cell r="A1572">
            <v>2007696</v>
          </cell>
        </row>
        <row r="1573">
          <cell r="A1573">
            <v>2007701</v>
          </cell>
        </row>
        <row r="1574">
          <cell r="A1574">
            <v>2007836</v>
          </cell>
        </row>
        <row r="1575">
          <cell r="A1575">
            <v>2007837</v>
          </cell>
        </row>
        <row r="1576">
          <cell r="A1576">
            <v>2007838</v>
          </cell>
        </row>
        <row r="1577">
          <cell r="A1577">
            <v>2008331</v>
          </cell>
        </row>
        <row r="1578">
          <cell r="A1578">
            <v>2008407</v>
          </cell>
        </row>
        <row r="1579">
          <cell r="A1579">
            <v>2008408</v>
          </cell>
        </row>
        <row r="1580">
          <cell r="A1580">
            <v>2009212</v>
          </cell>
        </row>
        <row r="1581">
          <cell r="A1581">
            <v>2009215</v>
          </cell>
        </row>
        <row r="1582">
          <cell r="A1582">
            <v>2009216</v>
          </cell>
        </row>
        <row r="1583">
          <cell r="A1583">
            <v>2009217</v>
          </cell>
        </row>
        <row r="1584">
          <cell r="A1584">
            <v>2009218</v>
          </cell>
        </row>
        <row r="1585">
          <cell r="A1585">
            <v>2009221</v>
          </cell>
        </row>
        <row r="1586">
          <cell r="A1586">
            <v>2009223</v>
          </cell>
        </row>
        <row r="1587">
          <cell r="A1587">
            <v>2009291</v>
          </cell>
        </row>
        <row r="1588">
          <cell r="A1588">
            <v>2009292</v>
          </cell>
        </row>
        <row r="1589">
          <cell r="A1589">
            <v>2009611</v>
          </cell>
        </row>
        <row r="1590">
          <cell r="A1590">
            <v>2010009</v>
          </cell>
        </row>
        <row r="1591">
          <cell r="A1591">
            <v>2010142</v>
          </cell>
        </row>
        <row r="1592">
          <cell r="A1592">
            <v>2010144</v>
          </cell>
        </row>
        <row r="1593">
          <cell r="A1593">
            <v>2010146</v>
          </cell>
        </row>
        <row r="1594">
          <cell r="A1594">
            <v>2010149</v>
          </cell>
        </row>
        <row r="1595">
          <cell r="A1595">
            <v>2010286</v>
          </cell>
        </row>
        <row r="1596">
          <cell r="A1596">
            <v>2010292</v>
          </cell>
        </row>
        <row r="1597">
          <cell r="A1597">
            <v>2010361</v>
          </cell>
        </row>
        <row r="1598">
          <cell r="A1598">
            <v>2010365</v>
          </cell>
        </row>
        <row r="1599">
          <cell r="A1599">
            <v>2010447</v>
          </cell>
        </row>
        <row r="1600">
          <cell r="A1600">
            <v>2010749</v>
          </cell>
        </row>
        <row r="1601">
          <cell r="A1601">
            <v>2010910</v>
          </cell>
        </row>
        <row r="1602">
          <cell r="A1602">
            <v>2010914</v>
          </cell>
        </row>
        <row r="1603">
          <cell r="A1603">
            <v>2010947</v>
          </cell>
        </row>
        <row r="1604">
          <cell r="A1604">
            <v>2010949</v>
          </cell>
        </row>
        <row r="1605">
          <cell r="A1605">
            <v>2010975</v>
          </cell>
        </row>
        <row r="1606">
          <cell r="A1606">
            <v>2010976</v>
          </cell>
        </row>
        <row r="1607">
          <cell r="A1607">
            <v>2010978</v>
          </cell>
        </row>
        <row r="1608">
          <cell r="A1608">
            <v>2010979</v>
          </cell>
        </row>
        <row r="1609">
          <cell r="A1609">
            <v>2010980</v>
          </cell>
        </row>
        <row r="1610">
          <cell r="A1610">
            <v>2010981</v>
          </cell>
        </row>
        <row r="1611">
          <cell r="A1611">
            <v>2010982</v>
          </cell>
        </row>
        <row r="1612">
          <cell r="A1612">
            <v>2010995</v>
          </cell>
        </row>
        <row r="1613">
          <cell r="A1613">
            <v>2010998</v>
          </cell>
        </row>
        <row r="1614">
          <cell r="A1614">
            <v>2011298</v>
          </cell>
        </row>
        <row r="1615">
          <cell r="A1615">
            <v>2011546</v>
          </cell>
        </row>
        <row r="1616">
          <cell r="A1616">
            <v>2011547</v>
          </cell>
        </row>
        <row r="1617">
          <cell r="A1617">
            <v>2011820</v>
          </cell>
        </row>
        <row r="1618">
          <cell r="A1618">
            <v>2011821</v>
          </cell>
        </row>
        <row r="1619">
          <cell r="A1619">
            <v>2011822</v>
          </cell>
        </row>
        <row r="1620">
          <cell r="A1620">
            <v>2011823</v>
          </cell>
        </row>
        <row r="1621">
          <cell r="A1621">
            <v>2012562</v>
          </cell>
        </row>
        <row r="1622">
          <cell r="A1622">
            <v>2012564</v>
          </cell>
        </row>
        <row r="1623">
          <cell r="A1623">
            <v>2012921</v>
          </cell>
        </row>
        <row r="1624">
          <cell r="A1624">
            <v>2014572</v>
          </cell>
        </row>
        <row r="1625">
          <cell r="A1625">
            <v>2014573</v>
          </cell>
        </row>
        <row r="1626">
          <cell r="A1626">
            <v>2014955</v>
          </cell>
        </row>
        <row r="1627">
          <cell r="A1627">
            <v>2015083</v>
          </cell>
        </row>
        <row r="1628">
          <cell r="A1628">
            <v>2015085</v>
          </cell>
        </row>
        <row r="1629">
          <cell r="A1629">
            <v>2015108</v>
          </cell>
        </row>
        <row r="1630">
          <cell r="A1630">
            <v>2015110</v>
          </cell>
        </row>
        <row r="1631">
          <cell r="A1631">
            <v>2015112</v>
          </cell>
        </row>
        <row r="1632">
          <cell r="A1632">
            <v>2015129</v>
          </cell>
        </row>
        <row r="1633">
          <cell r="A1633">
            <v>2015131</v>
          </cell>
        </row>
        <row r="1634">
          <cell r="A1634">
            <v>2015133</v>
          </cell>
        </row>
        <row r="1635">
          <cell r="A1635">
            <v>2015148</v>
          </cell>
        </row>
        <row r="1636">
          <cell r="A1636">
            <v>2015153</v>
          </cell>
        </row>
        <row r="1637">
          <cell r="A1637">
            <v>2015156</v>
          </cell>
        </row>
        <row r="1638">
          <cell r="A1638">
            <v>2015614</v>
          </cell>
        </row>
        <row r="1639">
          <cell r="A1639">
            <v>2015616</v>
          </cell>
        </row>
        <row r="1640">
          <cell r="A1640">
            <v>2015630</v>
          </cell>
        </row>
        <row r="1641">
          <cell r="A1641">
            <v>2015631</v>
          </cell>
        </row>
        <row r="1642">
          <cell r="A1642">
            <v>2015636</v>
          </cell>
        </row>
        <row r="1643">
          <cell r="A1643">
            <v>2015638</v>
          </cell>
        </row>
        <row r="1644">
          <cell r="A1644">
            <v>2015712</v>
          </cell>
        </row>
        <row r="1645">
          <cell r="A1645">
            <v>2015718</v>
          </cell>
        </row>
        <row r="1646">
          <cell r="A1646">
            <v>2015721</v>
          </cell>
        </row>
        <row r="1647">
          <cell r="A1647">
            <v>2016095</v>
          </cell>
        </row>
        <row r="1648">
          <cell r="A1648">
            <v>2016098</v>
          </cell>
        </row>
        <row r="1649">
          <cell r="A1649">
            <v>2016147</v>
          </cell>
        </row>
        <row r="1650">
          <cell r="A1650">
            <v>2016150</v>
          </cell>
        </row>
        <row r="1651">
          <cell r="A1651">
            <v>2016152</v>
          </cell>
        </row>
        <row r="1652">
          <cell r="A1652">
            <v>2016179</v>
          </cell>
        </row>
        <row r="1653">
          <cell r="A1653">
            <v>2016180</v>
          </cell>
        </row>
        <row r="1654">
          <cell r="A1654">
            <v>2016332</v>
          </cell>
        </row>
        <row r="1655">
          <cell r="A1655">
            <v>2016335</v>
          </cell>
        </row>
        <row r="1656">
          <cell r="A1656">
            <v>2016434</v>
          </cell>
        </row>
        <row r="1657">
          <cell r="A1657">
            <v>2016784</v>
          </cell>
        </row>
        <row r="1658">
          <cell r="A1658">
            <v>2016789</v>
          </cell>
        </row>
        <row r="1659">
          <cell r="A1659">
            <v>2016852</v>
          </cell>
        </row>
        <row r="1660">
          <cell r="A1660">
            <v>2016853</v>
          </cell>
        </row>
        <row r="1661">
          <cell r="A1661">
            <v>2016857</v>
          </cell>
        </row>
        <row r="1662">
          <cell r="A1662">
            <v>2016882</v>
          </cell>
        </row>
        <row r="1663">
          <cell r="A1663">
            <v>2017215</v>
          </cell>
        </row>
        <row r="1664">
          <cell r="A1664">
            <v>2017278</v>
          </cell>
        </row>
        <row r="1665">
          <cell r="A1665">
            <v>2017295</v>
          </cell>
        </row>
        <row r="1666">
          <cell r="A1666">
            <v>2017297</v>
          </cell>
        </row>
        <row r="1667">
          <cell r="A1667">
            <v>2017299</v>
          </cell>
        </row>
        <row r="1668">
          <cell r="A1668">
            <v>2017302</v>
          </cell>
        </row>
        <row r="1669">
          <cell r="A1669">
            <v>2017319</v>
          </cell>
        </row>
        <row r="1670">
          <cell r="A1670">
            <v>2017321</v>
          </cell>
        </row>
        <row r="1671">
          <cell r="A1671">
            <v>2017622</v>
          </cell>
        </row>
        <row r="1672">
          <cell r="A1672">
            <v>2017643</v>
          </cell>
        </row>
        <row r="1673">
          <cell r="A1673">
            <v>2017645</v>
          </cell>
        </row>
        <row r="1674">
          <cell r="A1674">
            <v>2017690</v>
          </cell>
        </row>
        <row r="1675">
          <cell r="A1675">
            <v>2017693</v>
          </cell>
        </row>
        <row r="1676">
          <cell r="A1676">
            <v>2026625</v>
          </cell>
        </row>
        <row r="1677">
          <cell r="A1677">
            <v>2026627</v>
          </cell>
        </row>
        <row r="1678">
          <cell r="A1678">
            <v>2026644</v>
          </cell>
        </row>
        <row r="1679">
          <cell r="A1679">
            <v>2032921</v>
          </cell>
        </row>
        <row r="1680">
          <cell r="A1680">
            <v>2033607</v>
          </cell>
        </row>
        <row r="1681">
          <cell r="A1681">
            <v>2033609</v>
          </cell>
        </row>
        <row r="1682">
          <cell r="A1682">
            <v>2033700</v>
          </cell>
        </row>
        <row r="1683">
          <cell r="A1683">
            <v>2033905</v>
          </cell>
        </row>
        <row r="1684">
          <cell r="A1684">
            <v>2033999</v>
          </cell>
        </row>
        <row r="1685">
          <cell r="A1685">
            <v>2034001</v>
          </cell>
        </row>
        <row r="1686">
          <cell r="A1686">
            <v>2034218</v>
          </cell>
        </row>
        <row r="1687">
          <cell r="A1687">
            <v>2034219</v>
          </cell>
        </row>
        <row r="1688">
          <cell r="A1688">
            <v>2034230</v>
          </cell>
        </row>
        <row r="1689">
          <cell r="A1689">
            <v>2034233</v>
          </cell>
        </row>
        <row r="1690">
          <cell r="A1690">
            <v>2034236</v>
          </cell>
        </row>
        <row r="1691">
          <cell r="A1691">
            <v>2034238</v>
          </cell>
        </row>
        <row r="1692">
          <cell r="A1692">
            <v>2034239</v>
          </cell>
        </row>
        <row r="1693">
          <cell r="A1693">
            <v>2034250</v>
          </cell>
        </row>
        <row r="1694">
          <cell r="A1694">
            <v>2034293</v>
          </cell>
        </row>
        <row r="1695">
          <cell r="A1695">
            <v>2034346</v>
          </cell>
        </row>
        <row r="1696">
          <cell r="A1696">
            <v>2034400</v>
          </cell>
        </row>
        <row r="1697">
          <cell r="A1697">
            <v>2034401</v>
          </cell>
        </row>
        <row r="1698">
          <cell r="A1698">
            <v>2034402</v>
          </cell>
        </row>
        <row r="1699">
          <cell r="A1699">
            <v>2034410</v>
          </cell>
        </row>
        <row r="1700">
          <cell r="A1700">
            <v>2034413</v>
          </cell>
        </row>
        <row r="1701">
          <cell r="A1701">
            <v>2034584</v>
          </cell>
        </row>
        <row r="1702">
          <cell r="A1702">
            <v>2034587</v>
          </cell>
        </row>
        <row r="1703">
          <cell r="A1703">
            <v>2034735</v>
          </cell>
        </row>
        <row r="1704">
          <cell r="A1704">
            <v>2034794</v>
          </cell>
        </row>
        <row r="1705">
          <cell r="A1705">
            <v>2034795</v>
          </cell>
        </row>
        <row r="1706">
          <cell r="A1706">
            <v>2034798</v>
          </cell>
        </row>
        <row r="1707">
          <cell r="A1707">
            <v>2035003</v>
          </cell>
        </row>
        <row r="1708">
          <cell r="A1708">
            <v>2035010</v>
          </cell>
        </row>
        <row r="1709">
          <cell r="A1709">
            <v>2035012</v>
          </cell>
        </row>
        <row r="1710">
          <cell r="A1710">
            <v>2035153</v>
          </cell>
        </row>
        <row r="1711">
          <cell r="A1711">
            <v>2035155</v>
          </cell>
        </row>
        <row r="1712">
          <cell r="A1712">
            <v>2035231</v>
          </cell>
        </row>
        <row r="1713">
          <cell r="A1713">
            <v>2035233</v>
          </cell>
        </row>
        <row r="1714">
          <cell r="A1714">
            <v>2035240</v>
          </cell>
        </row>
        <row r="1715">
          <cell r="A1715">
            <v>2035248</v>
          </cell>
        </row>
        <row r="1716">
          <cell r="A1716">
            <v>2035251</v>
          </cell>
        </row>
        <row r="1717">
          <cell r="A1717">
            <v>2035301</v>
          </cell>
        </row>
        <row r="1718">
          <cell r="A1718">
            <v>2035517</v>
          </cell>
        </row>
        <row r="1719">
          <cell r="A1719">
            <v>2035520</v>
          </cell>
        </row>
        <row r="1720">
          <cell r="A1720">
            <v>2036127</v>
          </cell>
        </row>
        <row r="1721">
          <cell r="A1721">
            <v>2036129</v>
          </cell>
        </row>
        <row r="1722">
          <cell r="A1722">
            <v>2036130</v>
          </cell>
        </row>
        <row r="1723">
          <cell r="A1723">
            <v>2036131</v>
          </cell>
        </row>
        <row r="1724">
          <cell r="A1724">
            <v>2036134</v>
          </cell>
        </row>
        <row r="1725">
          <cell r="A1725">
            <v>2036136</v>
          </cell>
        </row>
        <row r="1726">
          <cell r="A1726">
            <v>2036139</v>
          </cell>
        </row>
        <row r="1727">
          <cell r="A1727">
            <v>2036186</v>
          </cell>
        </row>
        <row r="1728">
          <cell r="A1728">
            <v>2036188</v>
          </cell>
        </row>
        <row r="1729">
          <cell r="A1729">
            <v>2036506</v>
          </cell>
        </row>
        <row r="1730">
          <cell r="A1730">
            <v>2036511</v>
          </cell>
        </row>
        <row r="1731">
          <cell r="A1731">
            <v>2036512</v>
          </cell>
        </row>
        <row r="1732">
          <cell r="A1732">
            <v>2036514</v>
          </cell>
        </row>
        <row r="1733">
          <cell r="A1733">
            <v>2036546</v>
          </cell>
        </row>
        <row r="1734">
          <cell r="A1734">
            <v>2036555</v>
          </cell>
        </row>
        <row r="1735">
          <cell r="A1735">
            <v>2036557</v>
          </cell>
        </row>
        <row r="1736">
          <cell r="A1736">
            <v>2036575</v>
          </cell>
        </row>
        <row r="1737">
          <cell r="A1737">
            <v>2036577</v>
          </cell>
        </row>
        <row r="1738">
          <cell r="A1738">
            <v>2036588</v>
          </cell>
        </row>
        <row r="1739">
          <cell r="A1739">
            <v>2036590</v>
          </cell>
        </row>
        <row r="1740">
          <cell r="A1740">
            <v>2036592</v>
          </cell>
        </row>
        <row r="1741">
          <cell r="A1741">
            <v>2036782</v>
          </cell>
        </row>
        <row r="1742">
          <cell r="A1742">
            <v>2036785</v>
          </cell>
        </row>
        <row r="1743">
          <cell r="A1743">
            <v>2036788</v>
          </cell>
        </row>
        <row r="1744">
          <cell r="A1744">
            <v>2036826</v>
          </cell>
        </row>
        <row r="1745">
          <cell r="A1745">
            <v>2036968</v>
          </cell>
        </row>
        <row r="1746">
          <cell r="A1746">
            <v>2037238</v>
          </cell>
        </row>
        <row r="1747">
          <cell r="A1747">
            <v>2037241</v>
          </cell>
        </row>
        <row r="1748">
          <cell r="A1748">
            <v>2037336</v>
          </cell>
        </row>
        <row r="1749">
          <cell r="A1749">
            <v>2037339</v>
          </cell>
        </row>
        <row r="1750">
          <cell r="A1750">
            <v>2037341</v>
          </cell>
        </row>
        <row r="1751">
          <cell r="A1751">
            <v>2037480</v>
          </cell>
        </row>
        <row r="1752">
          <cell r="A1752">
            <v>2037717</v>
          </cell>
        </row>
        <row r="1753">
          <cell r="A1753">
            <v>2037720</v>
          </cell>
        </row>
        <row r="1754">
          <cell r="A1754">
            <v>2037886</v>
          </cell>
        </row>
        <row r="1755">
          <cell r="A1755">
            <v>2038046</v>
          </cell>
        </row>
        <row r="1756">
          <cell r="A1756">
            <v>2038049</v>
          </cell>
        </row>
        <row r="1757">
          <cell r="A1757">
            <v>2038094</v>
          </cell>
        </row>
        <row r="1758">
          <cell r="A1758">
            <v>2038095</v>
          </cell>
        </row>
        <row r="1759">
          <cell r="A1759">
            <v>2038098</v>
          </cell>
        </row>
        <row r="1760">
          <cell r="A1760">
            <v>2038101</v>
          </cell>
        </row>
        <row r="1761">
          <cell r="A1761">
            <v>2038378</v>
          </cell>
        </row>
        <row r="1762">
          <cell r="A1762">
            <v>2038381</v>
          </cell>
        </row>
        <row r="1763">
          <cell r="A1763">
            <v>2038387</v>
          </cell>
        </row>
        <row r="1764">
          <cell r="A1764">
            <v>2038388</v>
          </cell>
        </row>
        <row r="1765">
          <cell r="A1765">
            <v>2038927</v>
          </cell>
        </row>
        <row r="1766">
          <cell r="A1766">
            <v>2038933</v>
          </cell>
        </row>
        <row r="1767">
          <cell r="A1767">
            <v>2038935</v>
          </cell>
        </row>
        <row r="1768">
          <cell r="A1768">
            <v>2038995</v>
          </cell>
        </row>
        <row r="1769">
          <cell r="A1769">
            <v>2038997</v>
          </cell>
        </row>
        <row r="1770">
          <cell r="A1770">
            <v>2039027</v>
          </cell>
        </row>
        <row r="1771">
          <cell r="A1771">
            <v>2039125</v>
          </cell>
        </row>
        <row r="1772">
          <cell r="A1772">
            <v>2039128</v>
          </cell>
        </row>
        <row r="1773">
          <cell r="A1773">
            <v>2039129</v>
          </cell>
        </row>
        <row r="1774">
          <cell r="A1774">
            <v>2039131</v>
          </cell>
        </row>
        <row r="1775">
          <cell r="A1775">
            <v>2039234</v>
          </cell>
        </row>
        <row r="1776">
          <cell r="A1776">
            <v>2039238</v>
          </cell>
        </row>
        <row r="1777">
          <cell r="A1777">
            <v>2039240</v>
          </cell>
        </row>
        <row r="1778">
          <cell r="A1778">
            <v>2039242</v>
          </cell>
        </row>
        <row r="1779">
          <cell r="A1779">
            <v>2039255</v>
          </cell>
        </row>
        <row r="1780">
          <cell r="A1780">
            <v>2039313</v>
          </cell>
        </row>
        <row r="1781">
          <cell r="A1781">
            <v>2039328</v>
          </cell>
        </row>
        <row r="1782">
          <cell r="A1782">
            <v>2039514</v>
          </cell>
        </row>
        <row r="1783">
          <cell r="A1783">
            <v>2039516</v>
          </cell>
        </row>
        <row r="1784">
          <cell r="A1784">
            <v>2039519</v>
          </cell>
        </row>
        <row r="1785">
          <cell r="A1785">
            <v>2039629</v>
          </cell>
        </row>
        <row r="1786">
          <cell r="A1786">
            <v>2039631</v>
          </cell>
        </row>
        <row r="1787">
          <cell r="A1787">
            <v>2039632</v>
          </cell>
        </row>
        <row r="1788">
          <cell r="A1788">
            <v>2039633</v>
          </cell>
        </row>
        <row r="1789">
          <cell r="A1789">
            <v>2039634</v>
          </cell>
        </row>
        <row r="1790">
          <cell r="A1790">
            <v>2039635</v>
          </cell>
        </row>
        <row r="1791">
          <cell r="A1791">
            <v>2039636</v>
          </cell>
        </row>
        <row r="1792">
          <cell r="A1792">
            <v>2039685</v>
          </cell>
        </row>
        <row r="1793">
          <cell r="A1793">
            <v>2039687</v>
          </cell>
        </row>
        <row r="1794">
          <cell r="A1794">
            <v>2039688</v>
          </cell>
        </row>
        <row r="1795">
          <cell r="A1795">
            <v>2039689</v>
          </cell>
        </row>
        <row r="1796">
          <cell r="A1796">
            <v>2039690</v>
          </cell>
        </row>
        <row r="1797">
          <cell r="A1797">
            <v>2039845</v>
          </cell>
        </row>
        <row r="1798">
          <cell r="A1798">
            <v>2039847</v>
          </cell>
        </row>
        <row r="1799">
          <cell r="A1799">
            <v>2040070</v>
          </cell>
        </row>
        <row r="1800">
          <cell r="A1800">
            <v>2040080</v>
          </cell>
        </row>
        <row r="1801">
          <cell r="A1801">
            <v>2040082</v>
          </cell>
        </row>
        <row r="1802">
          <cell r="A1802">
            <v>2040333</v>
          </cell>
        </row>
        <row r="1803">
          <cell r="A1803">
            <v>2040334</v>
          </cell>
        </row>
        <row r="1804">
          <cell r="A1804">
            <v>2040337</v>
          </cell>
        </row>
        <row r="1805">
          <cell r="A1805">
            <v>2040509</v>
          </cell>
        </row>
        <row r="1806">
          <cell r="A1806">
            <v>2040511</v>
          </cell>
        </row>
        <row r="1807">
          <cell r="A1807">
            <v>2040516</v>
          </cell>
        </row>
        <row r="1808">
          <cell r="A1808">
            <v>2041499</v>
          </cell>
        </row>
        <row r="1809">
          <cell r="A1809">
            <v>2041625</v>
          </cell>
        </row>
        <row r="1810">
          <cell r="A1810">
            <v>2042071</v>
          </cell>
        </row>
        <row r="1811">
          <cell r="A1811">
            <v>2045297</v>
          </cell>
        </row>
        <row r="1812">
          <cell r="A1812">
            <v>2045299</v>
          </cell>
        </row>
        <row r="1813">
          <cell r="A1813">
            <v>2045301</v>
          </cell>
        </row>
        <row r="1814">
          <cell r="A1814">
            <v>2045460</v>
          </cell>
        </row>
        <row r="1815">
          <cell r="A1815">
            <v>2045462</v>
          </cell>
        </row>
        <row r="1816">
          <cell r="A1816">
            <v>2045465</v>
          </cell>
        </row>
        <row r="1817">
          <cell r="A1817">
            <v>2045570</v>
          </cell>
        </row>
        <row r="1818">
          <cell r="A1818">
            <v>2045590</v>
          </cell>
        </row>
        <row r="1819">
          <cell r="A1819">
            <v>2045774</v>
          </cell>
        </row>
        <row r="1820">
          <cell r="A1820">
            <v>2045906</v>
          </cell>
        </row>
        <row r="1821">
          <cell r="A1821">
            <v>2045914</v>
          </cell>
        </row>
        <row r="1822">
          <cell r="A1822">
            <v>2046443</v>
          </cell>
        </row>
        <row r="1823">
          <cell r="A1823">
            <v>2046445</v>
          </cell>
        </row>
        <row r="1824">
          <cell r="A1824">
            <v>2046448</v>
          </cell>
        </row>
        <row r="1825">
          <cell r="A1825">
            <v>2046667</v>
          </cell>
        </row>
        <row r="1826">
          <cell r="A1826">
            <v>2046797</v>
          </cell>
        </row>
        <row r="1827">
          <cell r="A1827">
            <v>2048054</v>
          </cell>
        </row>
        <row r="1828">
          <cell r="A1828">
            <v>2048062</v>
          </cell>
        </row>
        <row r="1829">
          <cell r="A1829">
            <v>2048195</v>
          </cell>
        </row>
        <row r="1830">
          <cell r="A1830">
            <v>2048197</v>
          </cell>
        </row>
        <row r="1831">
          <cell r="A1831">
            <v>2048199</v>
          </cell>
        </row>
        <row r="1832">
          <cell r="A1832">
            <v>2048201</v>
          </cell>
        </row>
        <row r="1833">
          <cell r="A1833">
            <v>2048344</v>
          </cell>
        </row>
        <row r="1834">
          <cell r="A1834">
            <v>2048732</v>
          </cell>
        </row>
        <row r="1835">
          <cell r="A1835">
            <v>2048737</v>
          </cell>
        </row>
        <row r="1836">
          <cell r="A1836">
            <v>2048739</v>
          </cell>
        </row>
        <row r="1837">
          <cell r="A1837">
            <v>2049529</v>
          </cell>
        </row>
        <row r="1838">
          <cell r="A1838">
            <v>2049655</v>
          </cell>
        </row>
        <row r="1839">
          <cell r="A1839">
            <v>2049737</v>
          </cell>
        </row>
        <row r="1840">
          <cell r="A1840">
            <v>2049765</v>
          </cell>
        </row>
        <row r="1841">
          <cell r="A1841">
            <v>2049851</v>
          </cell>
        </row>
        <row r="1842">
          <cell r="A1842">
            <v>2049895</v>
          </cell>
        </row>
        <row r="1843">
          <cell r="A1843">
            <v>2050143</v>
          </cell>
        </row>
        <row r="1844">
          <cell r="A1844">
            <v>2050144</v>
          </cell>
        </row>
        <row r="1845">
          <cell r="A1845">
            <v>2050160</v>
          </cell>
        </row>
        <row r="1846">
          <cell r="A1846">
            <v>2050238</v>
          </cell>
        </row>
        <row r="1847">
          <cell r="A1847">
            <v>2050323</v>
          </cell>
        </row>
        <row r="1848">
          <cell r="A1848">
            <v>2050463</v>
          </cell>
        </row>
        <row r="1849">
          <cell r="A1849">
            <v>2050466</v>
          </cell>
        </row>
        <row r="1850">
          <cell r="A1850">
            <v>2050504</v>
          </cell>
        </row>
        <row r="1851">
          <cell r="A1851">
            <v>2050804</v>
          </cell>
        </row>
        <row r="1852">
          <cell r="A1852">
            <v>2050807</v>
          </cell>
        </row>
        <row r="1853">
          <cell r="A1853">
            <v>2050812</v>
          </cell>
        </row>
        <row r="1854">
          <cell r="A1854">
            <v>2050850</v>
          </cell>
        </row>
        <row r="1855">
          <cell r="A1855">
            <v>2050853</v>
          </cell>
        </row>
        <row r="1856">
          <cell r="A1856">
            <v>2050855</v>
          </cell>
        </row>
        <row r="1857">
          <cell r="A1857">
            <v>2050961</v>
          </cell>
        </row>
        <row r="1858">
          <cell r="A1858">
            <v>2050962</v>
          </cell>
        </row>
        <row r="1859">
          <cell r="A1859">
            <v>2050965</v>
          </cell>
        </row>
        <row r="1860">
          <cell r="A1860">
            <v>2050968</v>
          </cell>
        </row>
        <row r="1861">
          <cell r="A1861">
            <v>2051074</v>
          </cell>
        </row>
        <row r="1862">
          <cell r="A1862">
            <v>2051094</v>
          </cell>
        </row>
        <row r="1863">
          <cell r="A1863">
            <v>2051098</v>
          </cell>
        </row>
        <row r="1864">
          <cell r="A1864">
            <v>2051322</v>
          </cell>
        </row>
        <row r="1865">
          <cell r="A1865">
            <v>2051419</v>
          </cell>
        </row>
        <row r="1866">
          <cell r="A1866">
            <v>2052654</v>
          </cell>
        </row>
        <row r="1867">
          <cell r="A1867">
            <v>2052656</v>
          </cell>
        </row>
        <row r="1868">
          <cell r="A1868">
            <v>2052662</v>
          </cell>
        </row>
        <row r="1869">
          <cell r="A1869">
            <v>2052664</v>
          </cell>
        </row>
        <row r="1870">
          <cell r="A1870">
            <v>2052666</v>
          </cell>
        </row>
        <row r="1871">
          <cell r="A1871">
            <v>2052759</v>
          </cell>
        </row>
        <row r="1872">
          <cell r="A1872">
            <v>2052760</v>
          </cell>
        </row>
        <row r="1873">
          <cell r="A1873">
            <v>2052761</v>
          </cell>
        </row>
        <row r="1874">
          <cell r="A1874">
            <v>2052763</v>
          </cell>
        </row>
        <row r="1875">
          <cell r="A1875">
            <v>2052832</v>
          </cell>
        </row>
        <row r="1876">
          <cell r="A1876">
            <v>2052867</v>
          </cell>
        </row>
        <row r="1877">
          <cell r="A1877">
            <v>2053222</v>
          </cell>
        </row>
        <row r="1878">
          <cell r="A1878">
            <v>2056954</v>
          </cell>
        </row>
        <row r="1879">
          <cell r="A1879">
            <v>2057153</v>
          </cell>
        </row>
        <row r="1880">
          <cell r="A1880">
            <v>2057600</v>
          </cell>
        </row>
        <row r="1881">
          <cell r="A1881">
            <v>2058298</v>
          </cell>
        </row>
        <row r="1882">
          <cell r="A1882">
            <v>2058301</v>
          </cell>
        </row>
        <row r="1883">
          <cell r="A1883">
            <v>2058306</v>
          </cell>
        </row>
        <row r="1884">
          <cell r="A1884">
            <v>2058428</v>
          </cell>
        </row>
        <row r="1885">
          <cell r="A1885">
            <v>2058804</v>
          </cell>
        </row>
        <row r="1886">
          <cell r="A1886">
            <v>2058806</v>
          </cell>
        </row>
        <row r="1887">
          <cell r="A1887">
            <v>2058808</v>
          </cell>
        </row>
        <row r="1888">
          <cell r="A1888">
            <v>2058898</v>
          </cell>
        </row>
        <row r="1889">
          <cell r="A1889">
            <v>2058900</v>
          </cell>
        </row>
        <row r="1890">
          <cell r="A1890">
            <v>2058901</v>
          </cell>
        </row>
        <row r="1891">
          <cell r="A1891">
            <v>2059819</v>
          </cell>
        </row>
        <row r="1892">
          <cell r="A1892">
            <v>2059822</v>
          </cell>
        </row>
        <row r="1893">
          <cell r="A1893">
            <v>2059856</v>
          </cell>
        </row>
        <row r="1894">
          <cell r="A1894">
            <v>2059902</v>
          </cell>
        </row>
        <row r="1895">
          <cell r="A1895">
            <v>2064797</v>
          </cell>
        </row>
        <row r="1896">
          <cell r="A1896">
            <v>2064799</v>
          </cell>
        </row>
        <row r="1897">
          <cell r="A1897">
            <v>2064935</v>
          </cell>
        </row>
        <row r="1898">
          <cell r="A1898">
            <v>2064937</v>
          </cell>
        </row>
        <row r="1899">
          <cell r="A1899">
            <v>2064940</v>
          </cell>
        </row>
        <row r="1900">
          <cell r="A1900">
            <v>2065163</v>
          </cell>
        </row>
        <row r="1901">
          <cell r="A1901">
            <v>2065165</v>
          </cell>
        </row>
        <row r="1902">
          <cell r="A1902">
            <v>2065172</v>
          </cell>
        </row>
        <row r="1903">
          <cell r="A1903">
            <v>2065175</v>
          </cell>
        </row>
        <row r="1904">
          <cell r="A1904">
            <v>2065178</v>
          </cell>
        </row>
        <row r="1905">
          <cell r="A1905">
            <v>2065180</v>
          </cell>
        </row>
        <row r="1906">
          <cell r="A1906">
            <v>2065427</v>
          </cell>
        </row>
        <row r="1907">
          <cell r="A1907">
            <v>2065495</v>
          </cell>
        </row>
        <row r="1908">
          <cell r="A1908">
            <v>2065497</v>
          </cell>
        </row>
        <row r="1909">
          <cell r="A1909">
            <v>2065603</v>
          </cell>
        </row>
        <row r="1910">
          <cell r="A1910">
            <v>2065606</v>
          </cell>
        </row>
        <row r="1911">
          <cell r="A1911">
            <v>2066210</v>
          </cell>
        </row>
        <row r="1912">
          <cell r="A1912">
            <v>2066212</v>
          </cell>
        </row>
        <row r="1913">
          <cell r="A1913">
            <v>2066794</v>
          </cell>
        </row>
        <row r="1914">
          <cell r="A1914">
            <v>2066799</v>
          </cell>
        </row>
        <row r="1915">
          <cell r="A1915">
            <v>2066832</v>
          </cell>
        </row>
        <row r="1916">
          <cell r="A1916">
            <v>2067199</v>
          </cell>
        </row>
        <row r="1917">
          <cell r="A1917">
            <v>2068006</v>
          </cell>
        </row>
        <row r="1918">
          <cell r="A1918">
            <v>2068009</v>
          </cell>
        </row>
        <row r="1919">
          <cell r="A1919">
            <v>2068117</v>
          </cell>
        </row>
        <row r="1920">
          <cell r="A1920">
            <v>2068119</v>
          </cell>
        </row>
        <row r="1921">
          <cell r="A1921">
            <v>2068121</v>
          </cell>
        </row>
        <row r="1922">
          <cell r="A1922">
            <v>2068206</v>
          </cell>
        </row>
        <row r="1923">
          <cell r="A1923">
            <v>2068210</v>
          </cell>
        </row>
        <row r="1924">
          <cell r="A1924">
            <v>2069938</v>
          </cell>
        </row>
        <row r="1925">
          <cell r="A1925">
            <v>2070624</v>
          </cell>
        </row>
        <row r="1926">
          <cell r="A1926">
            <v>2070627</v>
          </cell>
        </row>
        <row r="1927">
          <cell r="A1927">
            <v>2070856</v>
          </cell>
        </row>
        <row r="1928">
          <cell r="A1928">
            <v>2070858</v>
          </cell>
        </row>
        <row r="1929">
          <cell r="A1929">
            <v>2070860</v>
          </cell>
        </row>
        <row r="1930">
          <cell r="A1930">
            <v>2070863</v>
          </cell>
        </row>
        <row r="1931">
          <cell r="A1931">
            <v>2071086</v>
          </cell>
        </row>
        <row r="1932">
          <cell r="A1932">
            <v>2071090</v>
          </cell>
        </row>
        <row r="1933">
          <cell r="A1933">
            <v>2071126</v>
          </cell>
        </row>
        <row r="1934">
          <cell r="A1934">
            <v>2071132</v>
          </cell>
        </row>
        <row r="1935">
          <cell r="A1935">
            <v>2072186</v>
          </cell>
        </row>
        <row r="1936">
          <cell r="A1936">
            <v>2072187</v>
          </cell>
        </row>
        <row r="1937">
          <cell r="A1937">
            <v>2072188</v>
          </cell>
        </row>
        <row r="1938">
          <cell r="A1938">
            <v>2072189</v>
          </cell>
        </row>
        <row r="1939">
          <cell r="A1939">
            <v>2072192</v>
          </cell>
        </row>
        <row r="1940">
          <cell r="A1940">
            <v>2072464</v>
          </cell>
        </row>
        <row r="1941">
          <cell r="A1941">
            <v>2072466</v>
          </cell>
        </row>
        <row r="1942">
          <cell r="A1942">
            <v>2072468</v>
          </cell>
        </row>
        <row r="1943">
          <cell r="A1943">
            <v>2072471</v>
          </cell>
        </row>
        <row r="1944">
          <cell r="A1944">
            <v>2072475</v>
          </cell>
        </row>
        <row r="1945">
          <cell r="A1945">
            <v>2072477</v>
          </cell>
        </row>
        <row r="1946">
          <cell r="A1946">
            <v>2072478</v>
          </cell>
        </row>
        <row r="1947">
          <cell r="A1947">
            <v>2072598</v>
          </cell>
        </row>
        <row r="1948">
          <cell r="A1948">
            <v>2073130</v>
          </cell>
        </row>
        <row r="1949">
          <cell r="A1949">
            <v>2073131</v>
          </cell>
        </row>
        <row r="1950">
          <cell r="A1950">
            <v>2073132</v>
          </cell>
        </row>
        <row r="1951">
          <cell r="A1951">
            <v>2073139</v>
          </cell>
        </row>
        <row r="1952">
          <cell r="A1952">
            <v>2073142</v>
          </cell>
        </row>
        <row r="1953">
          <cell r="A1953">
            <v>2073146</v>
          </cell>
        </row>
        <row r="1954">
          <cell r="A1954">
            <v>2073153</v>
          </cell>
        </row>
        <row r="1955">
          <cell r="A1955">
            <v>2073155</v>
          </cell>
        </row>
        <row r="1956">
          <cell r="A1956">
            <v>2073422</v>
          </cell>
        </row>
        <row r="1957">
          <cell r="A1957">
            <v>2073762</v>
          </cell>
        </row>
        <row r="1958">
          <cell r="A1958">
            <v>2073897</v>
          </cell>
        </row>
        <row r="1959">
          <cell r="A1959">
            <v>2073905</v>
          </cell>
        </row>
        <row r="1960">
          <cell r="A1960">
            <v>2073908</v>
          </cell>
        </row>
        <row r="1961">
          <cell r="A1961">
            <v>2074237</v>
          </cell>
        </row>
        <row r="1962">
          <cell r="A1962">
            <v>2082553</v>
          </cell>
        </row>
        <row r="1963">
          <cell r="A1963">
            <v>2082558</v>
          </cell>
        </row>
        <row r="1964">
          <cell r="A1964">
            <v>2082560</v>
          </cell>
        </row>
        <row r="1965">
          <cell r="A1965">
            <v>2082697</v>
          </cell>
        </row>
        <row r="1966">
          <cell r="A1966">
            <v>2083030</v>
          </cell>
        </row>
        <row r="1967">
          <cell r="A1967">
            <v>1398001</v>
          </cell>
        </row>
        <row r="1968">
          <cell r="A1968">
            <v>1555841</v>
          </cell>
        </row>
        <row r="1969">
          <cell r="A1969">
            <v>1555838</v>
          </cell>
        </row>
        <row r="1970">
          <cell r="A1970">
            <v>1555840</v>
          </cell>
        </row>
        <row r="1971">
          <cell r="A1971">
            <v>1728495</v>
          </cell>
        </row>
        <row r="1972">
          <cell r="A1972">
            <v>2084005</v>
          </cell>
        </row>
        <row r="1973">
          <cell r="A1973">
            <v>2082721</v>
          </cell>
        </row>
        <row r="1974">
          <cell r="A1974">
            <v>2082718</v>
          </cell>
        </row>
        <row r="1975">
          <cell r="A1975">
            <v>2082716</v>
          </cell>
        </row>
        <row r="1976">
          <cell r="A1976">
            <v>2082713</v>
          </cell>
        </row>
        <row r="1977">
          <cell r="A1977">
            <v>2082711</v>
          </cell>
        </row>
        <row r="1978">
          <cell r="A1978">
            <v>2082702</v>
          </cell>
        </row>
        <row r="1979">
          <cell r="A1979">
            <v>2073605</v>
          </cell>
        </row>
        <row r="1980">
          <cell r="A1980">
            <v>2073603</v>
          </cell>
        </row>
        <row r="1981">
          <cell r="A1981">
            <v>2072044</v>
          </cell>
        </row>
        <row r="1982">
          <cell r="A1982">
            <v>2072041</v>
          </cell>
        </row>
        <row r="1983">
          <cell r="A1983">
            <v>2072039</v>
          </cell>
        </row>
        <row r="1984">
          <cell r="A1984">
            <v>2072037</v>
          </cell>
        </row>
        <row r="1985">
          <cell r="A1985">
            <v>2072029</v>
          </cell>
        </row>
        <row r="1986">
          <cell r="A1986">
            <v>2072417</v>
          </cell>
        </row>
        <row r="1987">
          <cell r="A1987">
            <v>2072414</v>
          </cell>
        </row>
        <row r="1988">
          <cell r="A1988">
            <v>2083016</v>
          </cell>
        </row>
        <row r="1989">
          <cell r="A1989">
            <v>2072031</v>
          </cell>
        </row>
        <row r="1990">
          <cell r="A1990">
            <v>2072030</v>
          </cell>
        </row>
        <row r="1991">
          <cell r="A1991">
            <v>2072408</v>
          </cell>
        </row>
        <row r="1992">
          <cell r="A1992">
            <v>2072407</v>
          </cell>
        </row>
        <row r="1993">
          <cell r="A1993">
            <v>2072406</v>
          </cell>
        </row>
        <row r="1994">
          <cell r="A1994">
            <v>2072405</v>
          </cell>
        </row>
        <row r="1995">
          <cell r="A1995">
            <v>2074219</v>
          </cell>
        </row>
        <row r="1996">
          <cell r="A1996">
            <v>2074217</v>
          </cell>
        </row>
        <row r="1997">
          <cell r="A1997">
            <v>2071945</v>
          </cell>
        </row>
        <row r="1998">
          <cell r="A1998">
            <v>2073502</v>
          </cell>
        </row>
        <row r="1999">
          <cell r="A1999">
            <v>2073510</v>
          </cell>
        </row>
        <row r="2000">
          <cell r="A2000">
            <v>2073495</v>
          </cell>
        </row>
        <row r="2001">
          <cell r="A2001">
            <v>2073499</v>
          </cell>
        </row>
        <row r="2002">
          <cell r="A2002">
            <v>1692295</v>
          </cell>
        </row>
        <row r="2003">
          <cell r="A2003">
            <v>2074216</v>
          </cell>
        </row>
        <row r="2004">
          <cell r="A2004">
            <v>1982314</v>
          </cell>
        </row>
        <row r="2005">
          <cell r="A2005">
            <v>2071551</v>
          </cell>
        </row>
        <row r="2006">
          <cell r="A2006">
            <v>2071767</v>
          </cell>
        </row>
        <row r="2007">
          <cell r="A2007">
            <v>2071766</v>
          </cell>
        </row>
        <row r="2008">
          <cell r="A2008">
            <v>1585714</v>
          </cell>
        </row>
        <row r="2009">
          <cell r="A2009">
            <v>1585757</v>
          </cell>
        </row>
        <row r="2010">
          <cell r="A2010">
            <v>2095832</v>
          </cell>
        </row>
        <row r="2011">
          <cell r="A2011">
            <v>2084304</v>
          </cell>
        </row>
        <row r="2012">
          <cell r="A2012">
            <v>2084303</v>
          </cell>
        </row>
        <row r="2013">
          <cell r="A2013">
            <v>1984734</v>
          </cell>
        </row>
        <row r="2014">
          <cell r="A2014">
            <v>1912545</v>
          </cell>
        </row>
        <row r="2015">
          <cell r="A2015">
            <v>1976996</v>
          </cell>
        </row>
        <row r="2016">
          <cell r="A2016">
            <v>1481825</v>
          </cell>
        </row>
        <row r="2017">
          <cell r="A2017">
            <v>2083103</v>
          </cell>
        </row>
        <row r="2018">
          <cell r="A2018">
            <v>2083109</v>
          </cell>
        </row>
        <row r="2019">
          <cell r="A2019">
            <v>2083636</v>
          </cell>
        </row>
        <row r="2020">
          <cell r="A2020">
            <v>2083637</v>
          </cell>
        </row>
        <row r="2021">
          <cell r="A2021">
            <v>2083638</v>
          </cell>
        </row>
        <row r="2022">
          <cell r="A2022">
            <v>2071769</v>
          </cell>
        </row>
        <row r="2023">
          <cell r="A2023">
            <v>2084750</v>
          </cell>
        </row>
        <row r="2024">
          <cell r="A2024">
            <v>2071768</v>
          </cell>
        </row>
        <row r="2025">
          <cell r="A2025">
            <v>1562039</v>
          </cell>
        </row>
        <row r="2026">
          <cell r="A2026">
            <v>2084749</v>
          </cell>
        </row>
        <row r="2027">
          <cell r="A2027">
            <v>1398000</v>
          </cell>
        </row>
        <row r="2028">
          <cell r="A2028">
            <v>1525924</v>
          </cell>
        </row>
        <row r="2029">
          <cell r="A2029">
            <v>1301344</v>
          </cell>
        </row>
        <row r="2030">
          <cell r="A2030">
            <v>1525923</v>
          </cell>
        </row>
        <row r="2031">
          <cell r="A2031">
            <v>2084793</v>
          </cell>
        </row>
        <row r="2032">
          <cell r="A2032">
            <v>1733904</v>
          </cell>
        </row>
        <row r="2033">
          <cell r="A2033">
            <v>2096437</v>
          </cell>
        </row>
        <row r="2034">
          <cell r="A2034">
            <v>2096433</v>
          </cell>
        </row>
        <row r="2035">
          <cell r="A2035">
            <v>2084717</v>
          </cell>
        </row>
        <row r="2036">
          <cell r="A2036">
            <v>2084718</v>
          </cell>
        </row>
        <row r="2037">
          <cell r="A2037">
            <v>1987128</v>
          </cell>
        </row>
        <row r="2038">
          <cell r="A2038">
            <v>1987130</v>
          </cell>
        </row>
        <row r="2039">
          <cell r="A2039">
            <v>1868506</v>
          </cell>
        </row>
        <row r="2040">
          <cell r="A2040">
            <v>1985115</v>
          </cell>
        </row>
        <row r="2041">
          <cell r="A2041">
            <v>2096221</v>
          </cell>
        </row>
        <row r="2042">
          <cell r="A2042">
            <v>2096220</v>
          </cell>
        </row>
        <row r="2043">
          <cell r="A2043">
            <v>2096222</v>
          </cell>
        </row>
        <row r="2044">
          <cell r="A2044">
            <v>2096229</v>
          </cell>
        </row>
        <row r="2045">
          <cell r="A2045">
            <v>2096227</v>
          </cell>
        </row>
        <row r="2046">
          <cell r="A2046">
            <v>2073354</v>
          </cell>
        </row>
        <row r="2047">
          <cell r="A2047">
            <v>2073352</v>
          </cell>
        </row>
        <row r="2048">
          <cell r="A2048">
            <v>2073348</v>
          </cell>
        </row>
        <row r="2049">
          <cell r="A2049">
            <v>2073346</v>
          </cell>
        </row>
        <row r="2050">
          <cell r="A2050">
            <v>2073345</v>
          </cell>
        </row>
        <row r="2051">
          <cell r="A2051">
            <v>2095861</v>
          </cell>
        </row>
        <row r="2052">
          <cell r="A2052">
            <v>2095859</v>
          </cell>
        </row>
        <row r="2053">
          <cell r="A2053">
            <v>2095857</v>
          </cell>
        </row>
        <row r="2054">
          <cell r="A2054">
            <v>2095855</v>
          </cell>
        </row>
        <row r="2055">
          <cell r="A2055">
            <v>2095854</v>
          </cell>
        </row>
        <row r="2056">
          <cell r="A2056">
            <v>2095848</v>
          </cell>
        </row>
        <row r="2057">
          <cell r="A2057">
            <v>2095847</v>
          </cell>
        </row>
        <row r="2058">
          <cell r="A2058">
            <v>2095846</v>
          </cell>
        </row>
        <row r="2059">
          <cell r="A2059">
            <v>2096728</v>
          </cell>
        </row>
        <row r="2060">
          <cell r="A2060">
            <v>1899429</v>
          </cell>
        </row>
        <row r="2061">
          <cell r="A2061">
            <v>2083771</v>
          </cell>
        </row>
        <row r="2062">
          <cell r="A2062">
            <v>2083026</v>
          </cell>
        </row>
        <row r="2063">
          <cell r="A2063">
            <v>2083017</v>
          </cell>
        </row>
        <row r="2064">
          <cell r="A2064">
            <v>2096726</v>
          </cell>
        </row>
        <row r="2065">
          <cell r="A2065">
            <v>2096725</v>
          </cell>
        </row>
        <row r="2066">
          <cell r="A2066">
            <v>1964968</v>
          </cell>
        </row>
        <row r="2067">
          <cell r="A2067">
            <v>1878111</v>
          </cell>
        </row>
        <row r="2068">
          <cell r="A2068">
            <v>1878110</v>
          </cell>
        </row>
        <row r="2069">
          <cell r="A2069">
            <v>1834778</v>
          </cell>
        </row>
        <row r="2070">
          <cell r="A2070">
            <v>1635215</v>
          </cell>
        </row>
        <row r="2071">
          <cell r="A2071">
            <v>1834776</v>
          </cell>
        </row>
        <row r="2072">
          <cell r="A2072">
            <v>1834775</v>
          </cell>
        </row>
        <row r="2073">
          <cell r="A2073">
            <v>1635214</v>
          </cell>
        </row>
        <row r="2074">
          <cell r="A2074">
            <v>2098138</v>
          </cell>
        </row>
        <row r="2075">
          <cell r="A2075">
            <v>2098418</v>
          </cell>
        </row>
        <row r="2076">
          <cell r="A2076">
            <v>2098415</v>
          </cell>
        </row>
        <row r="2077">
          <cell r="A2077">
            <v>2098412</v>
          </cell>
        </row>
        <row r="2078">
          <cell r="A2078">
            <v>2098225</v>
          </cell>
        </row>
        <row r="2079">
          <cell r="A2079">
            <v>2098216</v>
          </cell>
        </row>
        <row r="2080">
          <cell r="A2080">
            <v>2098410</v>
          </cell>
        </row>
        <row r="2081">
          <cell r="A2081">
            <v>1561112</v>
          </cell>
        </row>
        <row r="2082">
          <cell r="A2082">
            <v>1984426</v>
          </cell>
        </row>
        <row r="2083">
          <cell r="A2083">
            <v>1878114</v>
          </cell>
        </row>
        <row r="2084">
          <cell r="A2084">
            <v>1977001</v>
          </cell>
        </row>
        <row r="2085">
          <cell r="A2085">
            <v>1043691</v>
          </cell>
        </row>
        <row r="2086">
          <cell r="A2086">
            <v>1985113</v>
          </cell>
        </row>
        <row r="2087">
          <cell r="A2087">
            <v>1006538</v>
          </cell>
        </row>
        <row r="2088">
          <cell r="A2088">
            <v>1817401</v>
          </cell>
        </row>
        <row r="2089">
          <cell r="A2089">
            <v>1984735</v>
          </cell>
        </row>
        <row r="2090">
          <cell r="A2090">
            <v>1984733</v>
          </cell>
        </row>
        <row r="2091">
          <cell r="A2091">
            <v>1984736</v>
          </cell>
        </row>
        <row r="2092">
          <cell r="A2092">
            <v>1377695</v>
          </cell>
        </row>
        <row r="2093">
          <cell r="A2093">
            <v>1351026</v>
          </cell>
        </row>
        <row r="2094">
          <cell r="A2094">
            <v>1701500</v>
          </cell>
        </row>
        <row r="2095">
          <cell r="A2095">
            <v>1963594</v>
          </cell>
        </row>
        <row r="2096">
          <cell r="A2096">
            <v>1974131</v>
          </cell>
        </row>
        <row r="2097">
          <cell r="A2097">
            <v>1561823</v>
          </cell>
        </row>
        <row r="2098">
          <cell r="A2098">
            <v>2073488</v>
          </cell>
        </row>
        <row r="2099">
          <cell r="A2099">
            <v>1958523</v>
          </cell>
        </row>
        <row r="2100">
          <cell r="A2100">
            <v>1969079</v>
          </cell>
        </row>
        <row r="2101">
          <cell r="A2101">
            <v>1878511</v>
          </cell>
        </row>
        <row r="2102">
          <cell r="A2102">
            <v>1471103</v>
          </cell>
        </row>
        <row r="2103">
          <cell r="A2103">
            <v>1384212</v>
          </cell>
        </row>
        <row r="2104">
          <cell r="A2104">
            <v>1984827</v>
          </cell>
        </row>
        <row r="2105">
          <cell r="A2105">
            <v>2097940</v>
          </cell>
        </row>
        <row r="2106">
          <cell r="A2106">
            <v>2099145</v>
          </cell>
        </row>
        <row r="2107">
          <cell r="A2107">
            <v>2098180</v>
          </cell>
        </row>
        <row r="2108">
          <cell r="A2108">
            <v>2098259</v>
          </cell>
        </row>
        <row r="2109">
          <cell r="A2109">
            <v>2098514</v>
          </cell>
        </row>
        <row r="2110">
          <cell r="A2110">
            <v>2016097</v>
          </cell>
        </row>
        <row r="2111">
          <cell r="A2111">
            <v>2098816</v>
          </cell>
        </row>
        <row r="2112">
          <cell r="A2112">
            <v>1585762</v>
          </cell>
        </row>
        <row r="2113">
          <cell r="A2113">
            <v>2083713</v>
          </cell>
        </row>
        <row r="2114">
          <cell r="A2114">
            <v>2099438</v>
          </cell>
        </row>
        <row r="2115">
          <cell r="A2115">
            <v>1962409</v>
          </cell>
        </row>
        <row r="2116">
          <cell r="A2116">
            <v>2100052</v>
          </cell>
        </row>
        <row r="2117">
          <cell r="A2117">
            <v>2099437</v>
          </cell>
        </row>
        <row r="2118">
          <cell r="A2118">
            <v>2083721</v>
          </cell>
        </row>
        <row r="2119">
          <cell r="A2119">
            <v>2083719</v>
          </cell>
        </row>
        <row r="2120">
          <cell r="A2120">
            <v>2083711</v>
          </cell>
        </row>
        <row r="2121">
          <cell r="A2121">
            <v>2099436</v>
          </cell>
        </row>
        <row r="2122">
          <cell r="A2122">
            <v>2083712</v>
          </cell>
        </row>
        <row r="2123">
          <cell r="A2123">
            <v>2100045</v>
          </cell>
        </row>
        <row r="2124">
          <cell r="A2124">
            <v>2099619</v>
          </cell>
        </row>
        <row r="2125">
          <cell r="A2125">
            <v>2099916</v>
          </cell>
        </row>
        <row r="2126">
          <cell r="A2126">
            <v>2099626</v>
          </cell>
        </row>
        <row r="2127">
          <cell r="A2127">
            <v>1974025</v>
          </cell>
        </row>
        <row r="2128">
          <cell r="A2128">
            <v>2099548</v>
          </cell>
        </row>
        <row r="2129">
          <cell r="A2129">
            <v>1974010</v>
          </cell>
        </row>
        <row r="2130">
          <cell r="A2130">
            <v>1974020</v>
          </cell>
        </row>
        <row r="2131">
          <cell r="A2131">
            <v>2099551</v>
          </cell>
        </row>
        <row r="2132">
          <cell r="A2132">
            <v>2099545</v>
          </cell>
        </row>
        <row r="2133">
          <cell r="A2133">
            <v>2099623</v>
          </cell>
        </row>
        <row r="2134">
          <cell r="A2134">
            <v>2099547</v>
          </cell>
        </row>
        <row r="2135">
          <cell r="A2135">
            <v>2099622</v>
          </cell>
        </row>
        <row r="2136">
          <cell r="A2136">
            <v>1974022</v>
          </cell>
        </row>
        <row r="2137">
          <cell r="A2137">
            <v>1555839</v>
          </cell>
        </row>
        <row r="2138">
          <cell r="A2138">
            <v>1983739</v>
          </cell>
        </row>
        <row r="2139">
          <cell r="A2139">
            <v>1872998</v>
          </cell>
        </row>
        <row r="2140">
          <cell r="A2140">
            <v>1873000</v>
          </cell>
        </row>
        <row r="2141">
          <cell r="A2141">
            <v>1873006</v>
          </cell>
        </row>
        <row r="2142">
          <cell r="A2142">
            <v>1873008</v>
          </cell>
        </row>
        <row r="2143">
          <cell r="A2143">
            <v>1873010</v>
          </cell>
        </row>
        <row r="2144">
          <cell r="A2144">
            <v>2100315</v>
          </cell>
        </row>
        <row r="2145">
          <cell r="A2145">
            <v>2100317</v>
          </cell>
        </row>
        <row r="2146">
          <cell r="A2146">
            <v>2100320</v>
          </cell>
        </row>
        <row r="2147">
          <cell r="A2147">
            <v>2098467</v>
          </cell>
        </row>
        <row r="2148">
          <cell r="A2148">
            <v>2098465</v>
          </cell>
        </row>
        <row r="2149">
          <cell r="A2149">
            <v>2100918</v>
          </cell>
        </row>
        <row r="2150">
          <cell r="A2150">
            <v>2101508</v>
          </cell>
        </row>
        <row r="2151">
          <cell r="A2151">
            <v>2101505</v>
          </cell>
        </row>
        <row r="2152">
          <cell r="A2152">
            <v>2101503</v>
          </cell>
        </row>
        <row r="2153">
          <cell r="A2153">
            <v>2101501</v>
          </cell>
        </row>
        <row r="2154">
          <cell r="A2154">
            <v>2101499</v>
          </cell>
        </row>
        <row r="2155">
          <cell r="A2155">
            <v>1899708</v>
          </cell>
        </row>
        <row r="2156">
          <cell r="A2156">
            <v>1555842</v>
          </cell>
        </row>
        <row r="2157">
          <cell r="A2157">
            <v>1964660</v>
          </cell>
        </row>
        <row r="2158">
          <cell r="A2158">
            <v>1702833</v>
          </cell>
        </row>
        <row r="2159">
          <cell r="A2159">
            <v>1673656</v>
          </cell>
        </row>
        <row r="2160">
          <cell r="A2160">
            <v>1964667</v>
          </cell>
        </row>
        <row r="2161">
          <cell r="A2161">
            <v>1964665</v>
          </cell>
        </row>
        <row r="2162">
          <cell r="A2162">
            <v>1964663</v>
          </cell>
        </row>
        <row r="2163">
          <cell r="A2163">
            <v>1702835</v>
          </cell>
        </row>
        <row r="2164">
          <cell r="A2164">
            <v>2101124</v>
          </cell>
        </row>
        <row r="2165">
          <cell r="A2165">
            <v>2101123</v>
          </cell>
        </row>
        <row r="2166">
          <cell r="A2166">
            <v>2102317</v>
          </cell>
        </row>
        <row r="2167">
          <cell r="A2167">
            <v>2102314</v>
          </cell>
        </row>
        <row r="2168">
          <cell r="A2168">
            <v>2100943</v>
          </cell>
        </row>
        <row r="2169">
          <cell r="A2169">
            <v>2100048</v>
          </cell>
        </row>
        <row r="2170">
          <cell r="A2170">
            <v>2099803</v>
          </cell>
        </row>
        <row r="2171">
          <cell r="A2171">
            <v>2101882</v>
          </cell>
        </row>
        <row r="2172">
          <cell r="A2172">
            <v>2101883</v>
          </cell>
        </row>
        <row r="2173">
          <cell r="A2173">
            <v>1899427</v>
          </cell>
        </row>
        <row r="2174">
          <cell r="A2174">
            <v>2101434</v>
          </cell>
        </row>
        <row r="2175">
          <cell r="A2175">
            <v>2101431</v>
          </cell>
        </row>
        <row r="2176">
          <cell r="A2176">
            <v>2101430</v>
          </cell>
        </row>
        <row r="2177">
          <cell r="A2177">
            <v>2100690</v>
          </cell>
        </row>
        <row r="2178">
          <cell r="A2178">
            <v>2104516</v>
          </cell>
        </row>
        <row r="2179">
          <cell r="A2179">
            <v>2104513</v>
          </cell>
        </row>
        <row r="2180">
          <cell r="A2180">
            <v>2104510</v>
          </cell>
        </row>
        <row r="2181">
          <cell r="A2181">
            <v>2104509</v>
          </cell>
        </row>
        <row r="2182">
          <cell r="A2182">
            <v>2104507</v>
          </cell>
        </row>
        <row r="2183">
          <cell r="A2183">
            <v>2104302</v>
          </cell>
        </row>
        <row r="2184">
          <cell r="A2184">
            <v>1852516</v>
          </cell>
        </row>
        <row r="2185">
          <cell r="A2185">
            <v>2103674</v>
          </cell>
        </row>
        <row r="2186">
          <cell r="A2186">
            <v>2104019</v>
          </cell>
        </row>
        <row r="2187">
          <cell r="A2187">
            <v>2102382</v>
          </cell>
        </row>
        <row r="2188">
          <cell r="A2188">
            <v>2098513</v>
          </cell>
        </row>
        <row r="2189">
          <cell r="A2189">
            <v>2096997</v>
          </cell>
        </row>
        <row r="2190">
          <cell r="A2190">
            <v>1564231</v>
          </cell>
        </row>
        <row r="2191">
          <cell r="A2191">
            <v>1976998</v>
          </cell>
        </row>
        <row r="2192">
          <cell r="A2192">
            <v>2103675</v>
          </cell>
        </row>
        <row r="2193">
          <cell r="A2193">
            <v>2101885</v>
          </cell>
        </row>
        <row r="2194">
          <cell r="A2194">
            <v>2010313</v>
          </cell>
        </row>
        <row r="2195">
          <cell r="A2195">
            <v>1852514</v>
          </cell>
        </row>
        <row r="2196">
          <cell r="A2196">
            <v>2104298</v>
          </cell>
        </row>
        <row r="2197">
          <cell r="A2197">
            <v>2102714</v>
          </cell>
        </row>
        <row r="2198">
          <cell r="A2198">
            <v>2103769</v>
          </cell>
        </row>
        <row r="2199">
          <cell r="A2199">
            <v>2084727</v>
          </cell>
        </row>
        <row r="2200">
          <cell r="A2200">
            <v>2068561</v>
          </cell>
        </row>
        <row r="2201">
          <cell r="A2201">
            <v>2102307</v>
          </cell>
        </row>
        <row r="2202">
          <cell r="A2202">
            <v>1562038</v>
          </cell>
        </row>
        <row r="2203">
          <cell r="A2203">
            <v>1964982</v>
          </cell>
        </row>
        <row r="2204">
          <cell r="A2204">
            <v>1964984</v>
          </cell>
        </row>
        <row r="2205">
          <cell r="A2205">
            <v>1964976</v>
          </cell>
        </row>
        <row r="2206">
          <cell r="A2206">
            <v>2104850</v>
          </cell>
        </row>
        <row r="2207">
          <cell r="A2207">
            <v>2104858</v>
          </cell>
        </row>
        <row r="2208">
          <cell r="A2208">
            <v>2104867</v>
          </cell>
        </row>
        <row r="2209">
          <cell r="A2209">
            <v>2104864</v>
          </cell>
        </row>
        <row r="2210">
          <cell r="A2210">
            <v>2104852</v>
          </cell>
        </row>
        <row r="2211">
          <cell r="A2211">
            <v>2104855</v>
          </cell>
        </row>
        <row r="2212">
          <cell r="A2212">
            <v>2104861</v>
          </cell>
        </row>
        <row r="2213">
          <cell r="A2213">
            <v>1962408</v>
          </cell>
        </row>
        <row r="2214">
          <cell r="A2214">
            <v>1962406</v>
          </cell>
        </row>
        <row r="2215">
          <cell r="A2215">
            <v>3000900</v>
          </cell>
        </row>
        <row r="2216">
          <cell r="A2216">
            <v>1702619</v>
          </cell>
        </row>
        <row r="2217">
          <cell r="A2217">
            <v>1510038</v>
          </cell>
        </row>
        <row r="2218">
          <cell r="A2218">
            <v>1702621</v>
          </cell>
        </row>
        <row r="2219">
          <cell r="A2219">
            <v>3001014</v>
          </cell>
        </row>
        <row r="2220">
          <cell r="A2220">
            <v>2105311</v>
          </cell>
        </row>
        <row r="2221">
          <cell r="A2221">
            <v>1722551</v>
          </cell>
        </row>
        <row r="2222">
          <cell r="A2222">
            <v>1794895</v>
          </cell>
        </row>
        <row r="2223">
          <cell r="A2223">
            <v>1795121</v>
          </cell>
        </row>
        <row r="2224">
          <cell r="A2224">
            <v>1966851</v>
          </cell>
        </row>
        <row r="2225">
          <cell r="A2225">
            <v>3001192</v>
          </cell>
        </row>
        <row r="2226">
          <cell r="A2226">
            <v>3001189</v>
          </cell>
        </row>
        <row r="2227">
          <cell r="A2227">
            <v>3000640</v>
          </cell>
        </row>
        <row r="2228">
          <cell r="A2228">
            <v>3000034</v>
          </cell>
        </row>
        <row r="2229">
          <cell r="A2229">
            <v>3000031</v>
          </cell>
        </row>
        <row r="2230">
          <cell r="A2230">
            <v>3000028</v>
          </cell>
        </row>
        <row r="2231">
          <cell r="A2231">
            <v>2104732</v>
          </cell>
        </row>
        <row r="2232">
          <cell r="A2232">
            <v>3000906</v>
          </cell>
        </row>
        <row r="2233">
          <cell r="A2233">
            <v>3001231</v>
          </cell>
        </row>
        <row r="2234">
          <cell r="A2234">
            <v>3000404</v>
          </cell>
        </row>
        <row r="2235">
          <cell r="A2235">
            <v>3000403</v>
          </cell>
        </row>
        <row r="2236">
          <cell r="A2236">
            <v>3001351</v>
          </cell>
        </row>
        <row r="2237">
          <cell r="A2237">
            <v>3001352</v>
          </cell>
        </row>
        <row r="2238">
          <cell r="A2238">
            <v>3001188</v>
          </cell>
        </row>
        <row r="2239">
          <cell r="A2239">
            <v>3001346</v>
          </cell>
        </row>
        <row r="2240">
          <cell r="A2240">
            <v>3001334</v>
          </cell>
        </row>
        <row r="2241">
          <cell r="A2241">
            <v>3000623</v>
          </cell>
        </row>
        <row r="2242">
          <cell r="A2242">
            <v>1949322</v>
          </cell>
        </row>
        <row r="2243">
          <cell r="A2243">
            <v>1961834</v>
          </cell>
        </row>
        <row r="2244">
          <cell r="A2244">
            <v>1962506</v>
          </cell>
        </row>
        <row r="2245">
          <cell r="A2245">
            <v>1962507</v>
          </cell>
        </row>
        <row r="2246">
          <cell r="A2246">
            <v>3000929</v>
          </cell>
        </row>
        <row r="2247">
          <cell r="A2247">
            <v>1852096</v>
          </cell>
        </row>
        <row r="2248">
          <cell r="A2248">
            <v>3000691</v>
          </cell>
        </row>
        <row r="2249">
          <cell r="A2249">
            <v>1865443</v>
          </cell>
        </row>
        <row r="2250">
          <cell r="A2250">
            <v>1857080</v>
          </cell>
        </row>
        <row r="2251">
          <cell r="A2251">
            <v>1958100</v>
          </cell>
        </row>
        <row r="2252">
          <cell r="A2252">
            <v>2100134</v>
          </cell>
        </row>
        <row r="2253">
          <cell r="A2253">
            <v>2016578</v>
          </cell>
        </row>
        <row r="2254">
          <cell r="A2254">
            <v>2074133</v>
          </cell>
        </row>
        <row r="2255">
          <cell r="A2255">
            <v>1985526</v>
          </cell>
        </row>
        <row r="2256">
          <cell r="A2256">
            <v>1736311</v>
          </cell>
        </row>
        <row r="2257">
          <cell r="A2257">
            <v>1957906</v>
          </cell>
        </row>
        <row r="2258">
          <cell r="A2258">
            <v>2073983</v>
          </cell>
        </row>
        <row r="2259">
          <cell r="A2259">
            <v>2074241</v>
          </cell>
        </row>
        <row r="2260">
          <cell r="A2260">
            <v>2074124</v>
          </cell>
        </row>
        <row r="2261">
          <cell r="A2261">
            <v>2073265</v>
          </cell>
        </row>
        <row r="2262">
          <cell r="A2262">
            <v>2073023</v>
          </cell>
        </row>
        <row r="2263">
          <cell r="A2263">
            <v>2073450</v>
          </cell>
        </row>
        <row r="2264">
          <cell r="A2264">
            <v>2074248</v>
          </cell>
        </row>
        <row r="2265">
          <cell r="A2265">
            <v>2073808</v>
          </cell>
        </row>
        <row r="2266">
          <cell r="A2266">
            <v>2074249</v>
          </cell>
        </row>
        <row r="2267">
          <cell r="A2267">
            <v>1841309</v>
          </cell>
        </row>
        <row r="2268">
          <cell r="A2268">
            <v>1745801</v>
          </cell>
        </row>
        <row r="2269">
          <cell r="A2269">
            <v>1923919</v>
          </cell>
        </row>
        <row r="2270">
          <cell r="A2270">
            <v>1916302</v>
          </cell>
        </row>
        <row r="2271">
          <cell r="A2271">
            <v>1952000</v>
          </cell>
        </row>
        <row r="2272">
          <cell r="A2272">
            <v>1952001</v>
          </cell>
        </row>
        <row r="2273">
          <cell r="A2273">
            <v>1948375</v>
          </cell>
        </row>
        <row r="2274">
          <cell r="A2274">
            <v>2010444</v>
          </cell>
        </row>
        <row r="2275">
          <cell r="A2275">
            <v>1924215</v>
          </cell>
        </row>
        <row r="2276">
          <cell r="A2276">
            <v>2010858</v>
          </cell>
        </row>
        <row r="2277">
          <cell r="A2277">
            <v>2096534</v>
          </cell>
        </row>
        <row r="2278">
          <cell r="A2278">
            <v>2096994</v>
          </cell>
        </row>
        <row r="2279">
          <cell r="A2279">
            <v>2084082</v>
          </cell>
        </row>
        <row r="2280">
          <cell r="A2280">
            <v>1492970</v>
          </cell>
        </row>
        <row r="2281">
          <cell r="A2281">
            <v>3000066</v>
          </cell>
        </row>
        <row r="2282">
          <cell r="A2282">
            <v>3000063</v>
          </cell>
        </row>
        <row r="2283">
          <cell r="A2283">
            <v>3000061</v>
          </cell>
        </row>
        <row r="2284">
          <cell r="A2284">
            <v>3000081</v>
          </cell>
        </row>
        <row r="2285">
          <cell r="A2285">
            <v>3000078</v>
          </cell>
        </row>
        <row r="2286">
          <cell r="A2286">
            <v>3000076</v>
          </cell>
        </row>
        <row r="2287">
          <cell r="A2287">
            <v>3000070</v>
          </cell>
        </row>
        <row r="2288">
          <cell r="A2288">
            <v>3001720</v>
          </cell>
        </row>
        <row r="2289">
          <cell r="A2289">
            <v>3001717</v>
          </cell>
        </row>
        <row r="2290">
          <cell r="A2290">
            <v>3000963</v>
          </cell>
        </row>
        <row r="2291">
          <cell r="A2291">
            <v>3001802</v>
          </cell>
        </row>
        <row r="2292">
          <cell r="A2292">
            <v>3000599</v>
          </cell>
        </row>
        <row r="2293">
          <cell r="A2293">
            <v>3000597</v>
          </cell>
        </row>
        <row r="2294">
          <cell r="A2294">
            <v>3000593</v>
          </cell>
        </row>
        <row r="2295">
          <cell r="A2295">
            <v>3000590</v>
          </cell>
        </row>
        <row r="2296">
          <cell r="A2296">
            <v>3000588</v>
          </cell>
        </row>
        <row r="2297">
          <cell r="A2297">
            <v>3000389</v>
          </cell>
        </row>
        <row r="2298">
          <cell r="A2298">
            <v>3000386</v>
          </cell>
        </row>
        <row r="2299">
          <cell r="A2299">
            <v>3000383</v>
          </cell>
        </row>
        <row r="2300">
          <cell r="A2300">
            <v>3000381</v>
          </cell>
        </row>
        <row r="2301">
          <cell r="A2301">
            <v>3000380</v>
          </cell>
        </row>
        <row r="2302">
          <cell r="A2302">
            <v>2105372</v>
          </cell>
        </row>
        <row r="2303">
          <cell r="A2303">
            <v>3001408</v>
          </cell>
        </row>
        <row r="2304">
          <cell r="A2304">
            <v>3001405</v>
          </cell>
        </row>
        <row r="2305">
          <cell r="A2305">
            <v>3001859</v>
          </cell>
        </row>
        <row r="2306">
          <cell r="A2306">
            <v>3000268</v>
          </cell>
        </row>
        <row r="2307">
          <cell r="A2307">
            <v>1982563</v>
          </cell>
        </row>
        <row r="2308">
          <cell r="A2308">
            <v>3002029</v>
          </cell>
        </row>
        <row r="2309">
          <cell r="A2309">
            <v>3002027</v>
          </cell>
        </row>
        <row r="2310">
          <cell r="A2310">
            <v>3000394</v>
          </cell>
        </row>
        <row r="2311">
          <cell r="A2311">
            <v>3000393</v>
          </cell>
        </row>
        <row r="2312">
          <cell r="A2312">
            <v>3002218</v>
          </cell>
        </row>
        <row r="2313">
          <cell r="A2313">
            <v>3000976</v>
          </cell>
        </row>
        <row r="2314">
          <cell r="A2314">
            <v>3000973</v>
          </cell>
        </row>
        <row r="2315">
          <cell r="A2315">
            <v>3000968</v>
          </cell>
        </row>
        <row r="2316">
          <cell r="A2316">
            <v>3002211</v>
          </cell>
        </row>
        <row r="2317">
          <cell r="A2317">
            <v>3003201</v>
          </cell>
        </row>
        <row r="2318">
          <cell r="A2318">
            <v>3003233</v>
          </cell>
        </row>
        <row r="2319">
          <cell r="A2319">
            <v>3003231</v>
          </cell>
        </row>
        <row r="2320">
          <cell r="A2320">
            <v>3003229</v>
          </cell>
        </row>
        <row r="2321">
          <cell r="A2321">
            <v>3003227</v>
          </cell>
        </row>
        <row r="2322">
          <cell r="A2322">
            <v>3003226</v>
          </cell>
        </row>
        <row r="2323">
          <cell r="A2323">
            <v>3003003</v>
          </cell>
        </row>
        <row r="2324">
          <cell r="A2324">
            <v>3002807</v>
          </cell>
        </row>
        <row r="2325">
          <cell r="A2325">
            <v>3002909</v>
          </cell>
        </row>
        <row r="2326">
          <cell r="A2326">
            <v>3002907</v>
          </cell>
        </row>
        <row r="2327">
          <cell r="A2327">
            <v>3003011</v>
          </cell>
        </row>
        <row r="2328">
          <cell r="A2328">
            <v>3003588</v>
          </cell>
        </row>
        <row r="2329">
          <cell r="A2329">
            <v>3004003</v>
          </cell>
        </row>
        <row r="2330">
          <cell r="A2330">
            <v>3004005</v>
          </cell>
        </row>
        <row r="2331">
          <cell r="A2331">
            <v>3004007</v>
          </cell>
        </row>
        <row r="2332">
          <cell r="A2332">
            <v>3004015</v>
          </cell>
        </row>
        <row r="2333">
          <cell r="A2333">
            <v>1769914</v>
          </cell>
        </row>
        <row r="2334">
          <cell r="A2334">
            <v>3003474</v>
          </cell>
        </row>
        <row r="2335">
          <cell r="A2335">
            <v>1472658</v>
          </cell>
        </row>
        <row r="2336">
          <cell r="A2336">
            <v>3001680</v>
          </cell>
        </row>
        <row r="2337">
          <cell r="A2337">
            <v>3002271</v>
          </cell>
        </row>
        <row r="2338">
          <cell r="A2338">
            <v>3002268</v>
          </cell>
        </row>
        <row r="2339">
          <cell r="A2339">
            <v>3004200</v>
          </cell>
        </row>
        <row r="2340">
          <cell r="A2340">
            <v>3002999</v>
          </cell>
        </row>
        <row r="2341">
          <cell r="A2341">
            <v>3003748</v>
          </cell>
        </row>
        <row r="2342">
          <cell r="A2342">
            <v>3003274</v>
          </cell>
        </row>
        <row r="2343">
          <cell r="A2343">
            <v>3003271</v>
          </cell>
        </row>
        <row r="2344">
          <cell r="A2344">
            <v>3002886</v>
          </cell>
        </row>
        <row r="2345">
          <cell r="A2345">
            <v>3002884</v>
          </cell>
        </row>
        <row r="2346">
          <cell r="A2346">
            <v>3003746</v>
          </cell>
        </row>
        <row r="2347">
          <cell r="A2347">
            <v>3003744</v>
          </cell>
        </row>
        <row r="2348">
          <cell r="A2348">
            <v>3003781</v>
          </cell>
        </row>
        <row r="2349">
          <cell r="A2349">
            <v>3004045</v>
          </cell>
        </row>
        <row r="2350">
          <cell r="A2350">
            <v>3003966</v>
          </cell>
        </row>
        <row r="2351">
          <cell r="A2351">
            <v>3003961</v>
          </cell>
        </row>
        <row r="2352">
          <cell r="A2352">
            <v>3003957</v>
          </cell>
        </row>
        <row r="2353">
          <cell r="A2353">
            <v>3003963</v>
          </cell>
        </row>
        <row r="2354">
          <cell r="A2354">
            <v>3006011</v>
          </cell>
        </row>
        <row r="2355">
          <cell r="A2355">
            <v>3006009</v>
          </cell>
        </row>
        <row r="2356">
          <cell r="A2356">
            <v>3006006</v>
          </cell>
        </row>
        <row r="2357">
          <cell r="A2357">
            <v>3000920</v>
          </cell>
        </row>
        <row r="2358">
          <cell r="A2358">
            <v>3000918</v>
          </cell>
        </row>
        <row r="2359">
          <cell r="A2359">
            <v>3000915</v>
          </cell>
        </row>
        <row r="2360">
          <cell r="A2360">
            <v>3000911</v>
          </cell>
        </row>
        <row r="2361">
          <cell r="A2361">
            <v>3003660</v>
          </cell>
        </row>
        <row r="2362">
          <cell r="A2362">
            <v>3003626</v>
          </cell>
        </row>
        <row r="2363">
          <cell r="A2363">
            <v>3003055</v>
          </cell>
        </row>
        <row r="2364">
          <cell r="A2364">
            <v>3003054</v>
          </cell>
        </row>
        <row r="2365">
          <cell r="A2365"/>
        </row>
        <row r="2366">
          <cell r="A2366"/>
        </row>
        <row r="2367">
          <cell r="A2367"/>
        </row>
        <row r="2368">
          <cell r="A2368"/>
        </row>
        <row r="2369">
          <cell r="A2369"/>
        </row>
        <row r="2370">
          <cell r="A2370"/>
        </row>
        <row r="2371">
          <cell r="A2371"/>
        </row>
        <row r="2372">
          <cell r="A2372"/>
        </row>
        <row r="2373">
          <cell r="A2373"/>
        </row>
        <row r="2374">
          <cell r="A2374"/>
        </row>
        <row r="2375">
          <cell r="A2375"/>
        </row>
        <row r="2376">
          <cell r="A2376"/>
        </row>
        <row r="2377">
          <cell r="A2377"/>
        </row>
        <row r="2378">
          <cell r="A2378"/>
        </row>
        <row r="2379">
          <cell r="A2379"/>
        </row>
        <row r="2380">
          <cell r="A2380"/>
        </row>
        <row r="2381">
          <cell r="A2381"/>
        </row>
        <row r="2382">
          <cell r="A2382"/>
        </row>
        <row r="2383">
          <cell r="A2383"/>
        </row>
        <row r="2384">
          <cell r="A2384"/>
        </row>
        <row r="2385">
          <cell r="A2385"/>
        </row>
        <row r="2386">
          <cell r="A2386"/>
        </row>
        <row r="2387">
          <cell r="A2387"/>
        </row>
        <row r="2388">
          <cell r="A2388"/>
        </row>
        <row r="2389">
          <cell r="A2389"/>
        </row>
        <row r="2390">
          <cell r="A2390"/>
        </row>
        <row r="2391">
          <cell r="A2391"/>
        </row>
        <row r="2392">
          <cell r="A2392"/>
        </row>
        <row r="2393">
          <cell r="A2393"/>
        </row>
        <row r="2394">
          <cell r="A2394"/>
        </row>
        <row r="2395">
          <cell r="A2395"/>
        </row>
        <row r="2396">
          <cell r="A2396"/>
        </row>
        <row r="2397">
          <cell r="A2397"/>
        </row>
        <row r="2398">
          <cell r="A2398"/>
        </row>
        <row r="2399">
          <cell r="A2399"/>
        </row>
        <row r="2400">
          <cell r="A2400"/>
        </row>
        <row r="2401">
          <cell r="A2401"/>
        </row>
        <row r="2402">
          <cell r="A2402"/>
        </row>
        <row r="2403">
          <cell r="A2403"/>
        </row>
        <row r="2404">
          <cell r="A2404"/>
        </row>
        <row r="2405">
          <cell r="A2405"/>
        </row>
        <row r="2406">
          <cell r="A2406"/>
        </row>
        <row r="2407">
          <cell r="A2407"/>
        </row>
        <row r="2408">
          <cell r="A2408"/>
        </row>
        <row r="2409">
          <cell r="A2409"/>
        </row>
        <row r="2410">
          <cell r="A2410"/>
        </row>
        <row r="2411">
          <cell r="A2411"/>
        </row>
        <row r="2412">
          <cell r="A2412"/>
        </row>
        <row r="2413">
          <cell r="A2413"/>
        </row>
        <row r="2414">
          <cell r="A2414"/>
        </row>
        <row r="2415">
          <cell r="A2415"/>
        </row>
        <row r="2416">
          <cell r="A2416"/>
        </row>
        <row r="2417">
          <cell r="A2417"/>
        </row>
        <row r="2418">
          <cell r="A2418"/>
        </row>
        <row r="2419">
          <cell r="A2419"/>
        </row>
        <row r="2420">
          <cell r="A2420"/>
        </row>
        <row r="2421">
          <cell r="A2421"/>
        </row>
        <row r="2422">
          <cell r="A2422"/>
        </row>
        <row r="2423">
          <cell r="A2423"/>
        </row>
        <row r="2424">
          <cell r="A2424"/>
        </row>
        <row r="2425">
          <cell r="A2425"/>
        </row>
        <row r="2426">
          <cell r="A2426"/>
        </row>
        <row r="2427">
          <cell r="A2427"/>
        </row>
        <row r="2428">
          <cell r="A2428"/>
        </row>
        <row r="2429">
          <cell r="A2429"/>
        </row>
        <row r="2430">
          <cell r="A2430"/>
        </row>
        <row r="2431">
          <cell r="A2431"/>
        </row>
        <row r="2432">
          <cell r="A2432"/>
        </row>
        <row r="2433">
          <cell r="A2433"/>
        </row>
        <row r="2434">
          <cell r="A2434"/>
        </row>
        <row r="2435">
          <cell r="A2435"/>
        </row>
        <row r="2436">
          <cell r="A2436"/>
        </row>
        <row r="2437">
          <cell r="A2437"/>
        </row>
        <row r="2438">
          <cell r="A2438"/>
        </row>
        <row r="2439">
          <cell r="A2439"/>
        </row>
        <row r="2440">
          <cell r="A2440"/>
        </row>
        <row r="2441">
          <cell r="A2441"/>
        </row>
        <row r="2442">
          <cell r="A2442"/>
        </row>
        <row r="2443">
          <cell r="A2443"/>
        </row>
        <row r="2444">
          <cell r="A2444"/>
        </row>
        <row r="2445">
          <cell r="A2445"/>
        </row>
        <row r="2446">
          <cell r="A2446"/>
        </row>
        <row r="2447">
          <cell r="A2447"/>
        </row>
        <row r="2448">
          <cell r="A2448"/>
        </row>
        <row r="2449">
          <cell r="A2449"/>
        </row>
        <row r="2450">
          <cell r="A2450"/>
        </row>
        <row r="2451">
          <cell r="A2451"/>
        </row>
        <row r="2452">
          <cell r="A2452"/>
        </row>
        <row r="2453">
          <cell r="A2453"/>
        </row>
        <row r="2454">
          <cell r="A2454"/>
        </row>
        <row r="2455">
          <cell r="A2455"/>
        </row>
        <row r="2456">
          <cell r="A2456"/>
        </row>
        <row r="2457">
          <cell r="A2457"/>
        </row>
        <row r="2458">
          <cell r="A2458"/>
        </row>
        <row r="2459">
          <cell r="A2459"/>
        </row>
        <row r="2460">
          <cell r="A2460"/>
        </row>
        <row r="2461">
          <cell r="A2461"/>
        </row>
        <row r="2462">
          <cell r="A2462"/>
        </row>
        <row r="2463">
          <cell r="A2463"/>
        </row>
        <row r="2464">
          <cell r="A2464"/>
        </row>
        <row r="2465">
          <cell r="A2465"/>
        </row>
        <row r="2466">
          <cell r="A2466"/>
        </row>
        <row r="2467">
          <cell r="A2467"/>
        </row>
        <row r="2468">
          <cell r="A2468"/>
        </row>
        <row r="2469">
          <cell r="A2469"/>
        </row>
        <row r="2470">
          <cell r="A2470"/>
        </row>
        <row r="2471">
          <cell r="A2471"/>
        </row>
        <row r="2472">
          <cell r="A2472"/>
        </row>
        <row r="2473">
          <cell r="A2473"/>
        </row>
        <row r="2474">
          <cell r="A2474"/>
        </row>
        <row r="2475">
          <cell r="A2475"/>
        </row>
        <row r="2476">
          <cell r="A2476"/>
        </row>
        <row r="2477">
          <cell r="A2477"/>
        </row>
        <row r="2478">
          <cell r="A2478"/>
        </row>
        <row r="2479">
          <cell r="A2479"/>
        </row>
        <row r="2480">
          <cell r="A2480"/>
        </row>
        <row r="2481">
          <cell r="A2481"/>
        </row>
        <row r="2482">
          <cell r="A2482"/>
        </row>
        <row r="2483">
          <cell r="A2483"/>
        </row>
        <row r="2484">
          <cell r="A2484"/>
        </row>
        <row r="2485">
          <cell r="A2485"/>
        </row>
        <row r="2486">
          <cell r="A2486"/>
        </row>
        <row r="2487">
          <cell r="A2487"/>
        </row>
        <row r="2488">
          <cell r="A2488"/>
        </row>
        <row r="2489">
          <cell r="A2489"/>
        </row>
        <row r="2490">
          <cell r="A2490"/>
        </row>
        <row r="2491">
          <cell r="A2491"/>
        </row>
        <row r="2492">
          <cell r="A2492"/>
        </row>
        <row r="2493">
          <cell r="A2493"/>
        </row>
        <row r="2494">
          <cell r="A2494"/>
        </row>
        <row r="2495">
          <cell r="A2495"/>
        </row>
        <row r="2496">
          <cell r="A2496"/>
        </row>
        <row r="2497">
          <cell r="A2497"/>
        </row>
        <row r="2498">
          <cell r="A2498"/>
        </row>
        <row r="2499">
          <cell r="A2499"/>
        </row>
        <row r="2500">
          <cell r="A2500"/>
        </row>
        <row r="2501">
          <cell r="A2501"/>
        </row>
        <row r="2502">
          <cell r="A2502"/>
        </row>
        <row r="2503">
          <cell r="A2503"/>
        </row>
        <row r="2504">
          <cell r="A2504"/>
        </row>
        <row r="2505">
          <cell r="A2505"/>
        </row>
        <row r="2506">
          <cell r="A2506"/>
        </row>
        <row r="2507">
          <cell r="A2507"/>
        </row>
        <row r="2508">
          <cell r="A2508"/>
        </row>
        <row r="2509">
          <cell r="A2509"/>
        </row>
        <row r="2510">
          <cell r="A2510"/>
        </row>
        <row r="2511">
          <cell r="A2511"/>
        </row>
        <row r="2512">
          <cell r="A2512"/>
        </row>
        <row r="2513">
          <cell r="A2513"/>
        </row>
        <row r="2514">
          <cell r="A2514"/>
        </row>
        <row r="2515">
          <cell r="A2515"/>
        </row>
        <row r="2516">
          <cell r="A2516"/>
        </row>
        <row r="2517">
          <cell r="A2517"/>
        </row>
        <row r="2518">
          <cell r="A2518"/>
        </row>
        <row r="2519">
          <cell r="A2519"/>
        </row>
        <row r="2520">
          <cell r="A2520"/>
        </row>
        <row r="2521">
          <cell r="A2521"/>
        </row>
        <row r="2522">
          <cell r="A2522"/>
        </row>
        <row r="2523">
          <cell r="A2523"/>
        </row>
        <row r="2524">
          <cell r="A2524"/>
        </row>
        <row r="2525">
          <cell r="A2525"/>
        </row>
        <row r="2526">
          <cell r="A2526"/>
        </row>
        <row r="2527">
          <cell r="A2527"/>
        </row>
        <row r="2528">
          <cell r="A2528"/>
        </row>
        <row r="2529">
          <cell r="A2529"/>
        </row>
        <row r="2530">
          <cell r="A2530"/>
        </row>
        <row r="2531">
          <cell r="A2531"/>
        </row>
        <row r="2532">
          <cell r="A2532"/>
        </row>
        <row r="2533">
          <cell r="A2533"/>
        </row>
        <row r="2534">
          <cell r="A2534"/>
        </row>
        <row r="2535">
          <cell r="A2535"/>
        </row>
        <row r="2536">
          <cell r="A2536"/>
        </row>
        <row r="2537">
          <cell r="A2537"/>
        </row>
        <row r="2538">
          <cell r="A2538"/>
        </row>
        <row r="2539">
          <cell r="A2539"/>
        </row>
        <row r="2540">
          <cell r="A2540"/>
        </row>
        <row r="2541">
          <cell r="A2541"/>
        </row>
        <row r="2542">
          <cell r="A2542"/>
        </row>
        <row r="2543">
          <cell r="A2543"/>
        </row>
        <row r="2544">
          <cell r="A2544"/>
        </row>
        <row r="2545">
          <cell r="A2545"/>
        </row>
        <row r="2546">
          <cell r="A2546"/>
        </row>
        <row r="2547">
          <cell r="A2547"/>
        </row>
        <row r="2548">
          <cell r="A2548"/>
        </row>
        <row r="2549">
          <cell r="A2549"/>
        </row>
        <row r="2550">
          <cell r="A2550"/>
        </row>
        <row r="2551">
          <cell r="A2551"/>
        </row>
        <row r="2552">
          <cell r="A2552"/>
        </row>
        <row r="2553">
          <cell r="A2553"/>
        </row>
        <row r="2554">
          <cell r="A2554"/>
        </row>
        <row r="2555">
          <cell r="A2555"/>
        </row>
        <row r="2556">
          <cell r="A2556"/>
        </row>
        <row r="2557">
          <cell r="A2557"/>
        </row>
        <row r="2558">
          <cell r="A2558"/>
        </row>
        <row r="2559">
          <cell r="A2559"/>
        </row>
        <row r="2560">
          <cell r="A2560"/>
        </row>
        <row r="2561">
          <cell r="A2561"/>
        </row>
        <row r="2562">
          <cell r="A2562"/>
        </row>
        <row r="2563">
          <cell r="A2563"/>
        </row>
        <row r="2564">
          <cell r="A2564"/>
        </row>
        <row r="2565">
          <cell r="A2565"/>
        </row>
        <row r="2566">
          <cell r="A2566"/>
        </row>
        <row r="2567">
          <cell r="A2567"/>
        </row>
        <row r="2568">
          <cell r="A2568"/>
        </row>
        <row r="2569">
          <cell r="A2569"/>
        </row>
        <row r="2570">
          <cell r="A2570"/>
        </row>
        <row r="2571">
          <cell r="A2571"/>
        </row>
        <row r="2572">
          <cell r="A2572"/>
        </row>
        <row r="2573">
          <cell r="A2573"/>
        </row>
        <row r="2574">
          <cell r="A2574"/>
        </row>
        <row r="2575">
          <cell r="A2575"/>
        </row>
        <row r="2576">
          <cell r="A2576"/>
        </row>
        <row r="2577">
          <cell r="A2577"/>
        </row>
        <row r="2578">
          <cell r="A2578"/>
        </row>
        <row r="2579">
          <cell r="A2579"/>
        </row>
        <row r="2580">
          <cell r="A2580"/>
        </row>
        <row r="2581">
          <cell r="A2581"/>
        </row>
        <row r="2582">
          <cell r="A2582"/>
        </row>
        <row r="2583">
          <cell r="A2583"/>
        </row>
        <row r="2584">
          <cell r="A2584"/>
        </row>
        <row r="2585">
          <cell r="A2585"/>
        </row>
        <row r="2586">
          <cell r="A2586"/>
        </row>
        <row r="2587">
          <cell r="A2587"/>
        </row>
        <row r="2588">
          <cell r="A2588"/>
        </row>
        <row r="2589">
          <cell r="A2589"/>
        </row>
        <row r="2590">
          <cell r="A2590"/>
        </row>
        <row r="2591">
          <cell r="A2591"/>
        </row>
        <row r="2592">
          <cell r="A2592"/>
        </row>
        <row r="2593">
          <cell r="A2593"/>
        </row>
        <row r="2594">
          <cell r="A2594"/>
        </row>
        <row r="2595">
          <cell r="A2595"/>
        </row>
        <row r="2596">
          <cell r="A2596"/>
        </row>
        <row r="2597">
          <cell r="A2597"/>
        </row>
        <row r="2598">
          <cell r="A2598"/>
        </row>
        <row r="2599">
          <cell r="A2599"/>
        </row>
        <row r="2600">
          <cell r="A2600"/>
        </row>
        <row r="2601">
          <cell r="A2601"/>
        </row>
        <row r="2602">
          <cell r="A2602"/>
        </row>
        <row r="2603">
          <cell r="A2603"/>
        </row>
        <row r="2604">
          <cell r="A2604"/>
        </row>
        <row r="2605">
          <cell r="A2605"/>
        </row>
        <row r="2606">
          <cell r="A2606"/>
        </row>
        <row r="2607">
          <cell r="A2607"/>
        </row>
        <row r="2608">
          <cell r="A2608"/>
        </row>
        <row r="2609">
          <cell r="A2609"/>
        </row>
        <row r="2610">
          <cell r="A2610"/>
        </row>
        <row r="2611">
          <cell r="A2611"/>
        </row>
        <row r="2612">
          <cell r="A2612"/>
        </row>
        <row r="2613">
          <cell r="A2613"/>
        </row>
        <row r="2614">
          <cell r="A2614"/>
        </row>
        <row r="2615">
          <cell r="A2615"/>
        </row>
        <row r="2616">
          <cell r="A2616"/>
        </row>
        <row r="2617">
          <cell r="A2617"/>
        </row>
        <row r="2618">
          <cell r="A2618"/>
        </row>
        <row r="2619">
          <cell r="A2619"/>
        </row>
        <row r="2620">
          <cell r="A2620"/>
        </row>
        <row r="2621">
          <cell r="A2621"/>
        </row>
        <row r="2622">
          <cell r="A2622"/>
        </row>
        <row r="2623">
          <cell r="A2623"/>
        </row>
        <row r="2624">
          <cell r="A2624"/>
        </row>
        <row r="2625">
          <cell r="A2625"/>
        </row>
        <row r="2626">
          <cell r="A2626"/>
        </row>
        <row r="2627">
          <cell r="A2627"/>
        </row>
        <row r="2628">
          <cell r="A2628"/>
        </row>
        <row r="2629">
          <cell r="A2629"/>
        </row>
        <row r="2630">
          <cell r="A2630"/>
        </row>
        <row r="2631">
          <cell r="A2631"/>
        </row>
        <row r="2632">
          <cell r="A2632"/>
        </row>
        <row r="2633">
          <cell r="A2633"/>
        </row>
        <row r="2634">
          <cell r="A2634"/>
        </row>
        <row r="2635">
          <cell r="A2635"/>
        </row>
        <row r="2636">
          <cell r="A2636"/>
        </row>
        <row r="2637">
          <cell r="A2637"/>
        </row>
        <row r="2638">
          <cell r="A2638"/>
        </row>
        <row r="2639">
          <cell r="A2639"/>
        </row>
        <row r="2640">
          <cell r="A2640"/>
        </row>
        <row r="2641">
          <cell r="A2641"/>
        </row>
        <row r="2642">
          <cell r="A2642"/>
        </row>
        <row r="2643">
          <cell r="A2643"/>
        </row>
        <row r="2644">
          <cell r="A2644"/>
        </row>
        <row r="2645">
          <cell r="A2645"/>
        </row>
        <row r="2646">
          <cell r="A2646"/>
        </row>
        <row r="2647">
          <cell r="A2647"/>
        </row>
        <row r="2648">
          <cell r="A2648"/>
        </row>
        <row r="2649">
          <cell r="A2649"/>
        </row>
        <row r="2650">
          <cell r="A2650"/>
        </row>
        <row r="2651">
          <cell r="A2651"/>
        </row>
        <row r="2652">
          <cell r="A2652"/>
        </row>
        <row r="2653">
          <cell r="A2653"/>
        </row>
        <row r="2654">
          <cell r="A2654"/>
        </row>
        <row r="2655">
          <cell r="A2655"/>
        </row>
        <row r="2656">
          <cell r="A2656"/>
        </row>
        <row r="2657">
          <cell r="A2657"/>
        </row>
        <row r="2658">
          <cell r="A2658"/>
        </row>
        <row r="2659">
          <cell r="A2659"/>
        </row>
        <row r="2660">
          <cell r="A2660"/>
        </row>
        <row r="2661">
          <cell r="A2661"/>
        </row>
        <row r="2662">
          <cell r="A2662"/>
        </row>
        <row r="2663">
          <cell r="A2663"/>
        </row>
        <row r="2664">
          <cell r="A2664"/>
        </row>
        <row r="2665">
          <cell r="A2665"/>
        </row>
        <row r="2666">
          <cell r="A2666"/>
        </row>
        <row r="2667">
          <cell r="A2667"/>
        </row>
        <row r="2668">
          <cell r="A2668"/>
        </row>
        <row r="2669">
          <cell r="A2669"/>
        </row>
        <row r="2670">
          <cell r="A2670"/>
        </row>
        <row r="2671">
          <cell r="A2671"/>
        </row>
        <row r="2672">
          <cell r="A2672"/>
        </row>
        <row r="2673">
          <cell r="A2673"/>
        </row>
        <row r="2674">
          <cell r="A2674"/>
        </row>
        <row r="2675">
          <cell r="A2675"/>
        </row>
        <row r="2676">
          <cell r="A2676"/>
        </row>
        <row r="2677">
          <cell r="A2677"/>
        </row>
        <row r="2678">
          <cell r="A2678"/>
        </row>
        <row r="2679">
          <cell r="A2679"/>
        </row>
        <row r="2680">
          <cell r="A2680"/>
        </row>
        <row r="2681">
          <cell r="A2681"/>
        </row>
        <row r="2682">
          <cell r="A2682"/>
        </row>
        <row r="2683">
          <cell r="A2683"/>
        </row>
        <row r="2684">
          <cell r="A2684"/>
        </row>
        <row r="2685">
          <cell r="A2685"/>
        </row>
        <row r="2686">
          <cell r="A2686"/>
        </row>
        <row r="2687">
          <cell r="A2687"/>
        </row>
        <row r="2688">
          <cell r="A2688"/>
        </row>
        <row r="2689">
          <cell r="A2689"/>
        </row>
        <row r="2690">
          <cell r="A2690"/>
        </row>
        <row r="2691">
          <cell r="A2691"/>
        </row>
        <row r="2692">
          <cell r="A2692"/>
        </row>
        <row r="2693">
          <cell r="A2693"/>
        </row>
        <row r="2694">
          <cell r="A2694"/>
        </row>
        <row r="2695">
          <cell r="A2695"/>
        </row>
        <row r="2696">
          <cell r="A2696"/>
        </row>
        <row r="2697">
          <cell r="A2697"/>
        </row>
        <row r="2698">
          <cell r="A2698"/>
        </row>
        <row r="2699">
          <cell r="A2699"/>
        </row>
        <row r="2700">
          <cell r="A2700"/>
        </row>
        <row r="2701">
          <cell r="A2701"/>
        </row>
        <row r="2702">
          <cell r="A2702"/>
        </row>
        <row r="2703">
          <cell r="A2703"/>
        </row>
        <row r="2704">
          <cell r="A2704"/>
        </row>
        <row r="2705">
          <cell r="A2705"/>
        </row>
        <row r="2706">
          <cell r="A2706"/>
        </row>
        <row r="2707">
          <cell r="A2707"/>
        </row>
        <row r="2708">
          <cell r="A2708"/>
        </row>
        <row r="2709">
          <cell r="A2709"/>
        </row>
        <row r="2710">
          <cell r="A2710"/>
        </row>
        <row r="2711">
          <cell r="A2711"/>
        </row>
        <row r="2712">
          <cell r="A2712"/>
        </row>
        <row r="2713">
          <cell r="A2713"/>
        </row>
        <row r="2714">
          <cell r="A2714"/>
        </row>
        <row r="2715">
          <cell r="A2715"/>
        </row>
        <row r="2716">
          <cell r="A2716"/>
        </row>
        <row r="2717">
          <cell r="A2717"/>
        </row>
        <row r="2718">
          <cell r="A2718"/>
        </row>
        <row r="2719">
          <cell r="A2719"/>
        </row>
        <row r="2720">
          <cell r="A2720"/>
        </row>
        <row r="2721">
          <cell r="A2721"/>
        </row>
        <row r="2722">
          <cell r="A2722"/>
        </row>
        <row r="2723">
          <cell r="A2723"/>
        </row>
        <row r="2724">
          <cell r="A2724"/>
        </row>
        <row r="2725">
          <cell r="A2725"/>
        </row>
        <row r="2726">
          <cell r="A2726"/>
        </row>
        <row r="2727">
          <cell r="A2727"/>
        </row>
        <row r="2728">
          <cell r="A2728"/>
        </row>
        <row r="2729">
          <cell r="A2729"/>
        </row>
        <row r="2730">
          <cell r="A2730"/>
        </row>
        <row r="2731">
          <cell r="A2731"/>
        </row>
        <row r="2732">
          <cell r="A2732"/>
        </row>
        <row r="2733">
          <cell r="A2733"/>
        </row>
        <row r="2734">
          <cell r="A2734"/>
        </row>
        <row r="2735">
          <cell r="A2735"/>
        </row>
        <row r="2736">
          <cell r="A2736"/>
        </row>
        <row r="2737">
          <cell r="A2737"/>
        </row>
        <row r="2738">
          <cell r="A2738"/>
        </row>
        <row r="2739">
          <cell r="A2739"/>
        </row>
        <row r="2740">
          <cell r="A2740"/>
        </row>
        <row r="2741">
          <cell r="A2741"/>
        </row>
        <row r="2742">
          <cell r="A2742"/>
        </row>
        <row r="2743">
          <cell r="A2743"/>
        </row>
        <row r="2744">
          <cell r="A2744"/>
        </row>
        <row r="2745">
          <cell r="A2745"/>
        </row>
        <row r="2746">
          <cell r="A2746"/>
        </row>
        <row r="2747">
          <cell r="A2747"/>
        </row>
        <row r="2748">
          <cell r="A2748"/>
        </row>
        <row r="2749">
          <cell r="A2749"/>
        </row>
        <row r="2750">
          <cell r="A2750"/>
        </row>
        <row r="2751">
          <cell r="A2751"/>
        </row>
        <row r="2752">
          <cell r="A2752"/>
        </row>
        <row r="2753">
          <cell r="A2753"/>
        </row>
        <row r="2754">
          <cell r="A2754"/>
        </row>
        <row r="2755">
          <cell r="A2755"/>
        </row>
        <row r="2756">
          <cell r="A2756"/>
        </row>
        <row r="2757">
          <cell r="A2757"/>
        </row>
        <row r="2758">
          <cell r="A2758"/>
        </row>
        <row r="2759">
          <cell r="A2759"/>
        </row>
        <row r="2760">
          <cell r="A2760"/>
        </row>
        <row r="2761">
          <cell r="A2761"/>
        </row>
        <row r="2762">
          <cell r="A2762"/>
        </row>
        <row r="2763">
          <cell r="A2763"/>
        </row>
        <row r="2764">
          <cell r="A2764"/>
        </row>
        <row r="2765">
          <cell r="A2765"/>
        </row>
        <row r="2766">
          <cell r="A2766"/>
        </row>
        <row r="2767">
          <cell r="A2767"/>
        </row>
        <row r="2768">
          <cell r="A2768"/>
        </row>
        <row r="2769">
          <cell r="A2769"/>
        </row>
        <row r="2770">
          <cell r="A2770"/>
        </row>
        <row r="2771">
          <cell r="A2771"/>
        </row>
        <row r="2772">
          <cell r="A2772"/>
        </row>
        <row r="2773">
          <cell r="A2773"/>
        </row>
        <row r="2774">
          <cell r="A2774"/>
        </row>
        <row r="2775">
          <cell r="A2775"/>
        </row>
        <row r="2776">
          <cell r="A2776"/>
        </row>
        <row r="2777">
          <cell r="A2777"/>
        </row>
        <row r="2778">
          <cell r="A2778"/>
        </row>
        <row r="2779">
          <cell r="A2779"/>
        </row>
        <row r="2780">
          <cell r="A2780"/>
        </row>
        <row r="2781">
          <cell r="A2781"/>
        </row>
        <row r="2782">
          <cell r="A2782"/>
        </row>
        <row r="2783">
          <cell r="A2783"/>
        </row>
        <row r="2784">
          <cell r="A2784"/>
        </row>
        <row r="2785">
          <cell r="A2785"/>
        </row>
        <row r="2786">
          <cell r="A2786"/>
        </row>
        <row r="2787">
          <cell r="A2787"/>
        </row>
        <row r="2788">
          <cell r="A2788"/>
        </row>
        <row r="2789">
          <cell r="A2789"/>
        </row>
        <row r="2790">
          <cell r="A2790"/>
        </row>
        <row r="2791">
          <cell r="A2791"/>
        </row>
        <row r="2792">
          <cell r="A2792"/>
        </row>
        <row r="2793">
          <cell r="A2793"/>
        </row>
        <row r="2794">
          <cell r="A2794"/>
        </row>
        <row r="2795">
          <cell r="A2795"/>
        </row>
        <row r="2796">
          <cell r="A2796"/>
        </row>
        <row r="2797">
          <cell r="A2797"/>
        </row>
        <row r="2798">
          <cell r="A2798"/>
        </row>
        <row r="2799">
          <cell r="A2799"/>
        </row>
        <row r="2800">
          <cell r="A2800"/>
        </row>
        <row r="2801">
          <cell r="A2801"/>
        </row>
        <row r="2802">
          <cell r="A2802"/>
        </row>
        <row r="2803">
          <cell r="A2803"/>
        </row>
        <row r="2804">
          <cell r="A2804"/>
        </row>
        <row r="2805">
          <cell r="A2805"/>
        </row>
        <row r="2806">
          <cell r="A2806"/>
        </row>
        <row r="2807">
          <cell r="A2807"/>
        </row>
        <row r="2808">
          <cell r="A2808"/>
        </row>
        <row r="2809">
          <cell r="A2809"/>
        </row>
        <row r="2810">
          <cell r="A2810"/>
        </row>
        <row r="2811">
          <cell r="A2811"/>
        </row>
        <row r="2812">
          <cell r="A2812"/>
        </row>
        <row r="2813">
          <cell r="A2813"/>
        </row>
        <row r="2814">
          <cell r="A2814"/>
        </row>
        <row r="2815">
          <cell r="A2815"/>
        </row>
        <row r="2816">
          <cell r="A2816"/>
        </row>
        <row r="2817">
          <cell r="A2817"/>
        </row>
        <row r="2818">
          <cell r="A2818"/>
        </row>
        <row r="2819">
          <cell r="A2819"/>
        </row>
        <row r="2820">
          <cell r="A2820"/>
        </row>
        <row r="2821">
          <cell r="A2821"/>
        </row>
        <row r="2822">
          <cell r="A2822"/>
        </row>
        <row r="2823">
          <cell r="A2823"/>
        </row>
        <row r="2824">
          <cell r="A2824"/>
        </row>
        <row r="2825">
          <cell r="A2825"/>
        </row>
        <row r="2826">
          <cell r="A2826"/>
        </row>
        <row r="2827">
          <cell r="A2827"/>
        </row>
        <row r="2828">
          <cell r="A2828"/>
        </row>
        <row r="2829">
          <cell r="A2829"/>
        </row>
        <row r="2830">
          <cell r="A2830"/>
        </row>
        <row r="2831">
          <cell r="A2831"/>
        </row>
        <row r="2832">
          <cell r="A2832"/>
        </row>
        <row r="2833">
          <cell r="A2833"/>
        </row>
        <row r="2834">
          <cell r="A2834"/>
        </row>
        <row r="2835">
          <cell r="A2835"/>
        </row>
        <row r="2836">
          <cell r="A2836"/>
        </row>
        <row r="2837">
          <cell r="A2837"/>
        </row>
        <row r="2838">
          <cell r="A2838"/>
        </row>
        <row r="2839">
          <cell r="A2839"/>
        </row>
        <row r="2840">
          <cell r="A2840"/>
        </row>
        <row r="2841">
          <cell r="A2841"/>
        </row>
        <row r="2842">
          <cell r="A2842"/>
        </row>
        <row r="2843">
          <cell r="A2843"/>
        </row>
        <row r="2844">
          <cell r="A2844"/>
        </row>
        <row r="2845">
          <cell r="A2845"/>
        </row>
        <row r="2846">
          <cell r="A2846"/>
        </row>
        <row r="2847">
          <cell r="A2847"/>
        </row>
        <row r="2848">
          <cell r="A2848"/>
        </row>
        <row r="2849">
          <cell r="A2849"/>
        </row>
        <row r="2850">
          <cell r="A2850"/>
        </row>
        <row r="2851">
          <cell r="A2851"/>
        </row>
        <row r="2852">
          <cell r="A2852"/>
        </row>
        <row r="2853">
          <cell r="A2853"/>
        </row>
        <row r="2854">
          <cell r="A2854"/>
        </row>
        <row r="2855">
          <cell r="A2855"/>
        </row>
        <row r="2856">
          <cell r="A2856"/>
        </row>
        <row r="2857">
          <cell r="A2857"/>
        </row>
        <row r="2858">
          <cell r="A2858"/>
        </row>
        <row r="2859">
          <cell r="A2859"/>
        </row>
        <row r="2860">
          <cell r="A2860"/>
        </row>
        <row r="2861">
          <cell r="A2861"/>
        </row>
        <row r="2862">
          <cell r="A2862"/>
        </row>
        <row r="2863">
          <cell r="A2863"/>
        </row>
        <row r="2864">
          <cell r="A2864"/>
        </row>
        <row r="2865">
          <cell r="A2865"/>
        </row>
        <row r="2866">
          <cell r="A2866"/>
        </row>
        <row r="2867">
          <cell r="A2867"/>
        </row>
        <row r="2868">
          <cell r="A2868"/>
        </row>
        <row r="2869">
          <cell r="A2869"/>
        </row>
        <row r="2870">
          <cell r="A2870"/>
        </row>
        <row r="2871">
          <cell r="A2871"/>
        </row>
        <row r="2872">
          <cell r="A2872"/>
        </row>
        <row r="2873">
          <cell r="A2873"/>
        </row>
        <row r="2874">
          <cell r="A2874"/>
        </row>
        <row r="2875">
          <cell r="A2875"/>
        </row>
        <row r="2876">
          <cell r="A2876"/>
        </row>
        <row r="2877">
          <cell r="A2877"/>
        </row>
        <row r="2878">
          <cell r="A2878"/>
        </row>
        <row r="2879">
          <cell r="A2879"/>
        </row>
        <row r="2880">
          <cell r="A2880"/>
        </row>
        <row r="2881">
          <cell r="A2881"/>
        </row>
        <row r="2882">
          <cell r="A2882"/>
        </row>
        <row r="2883">
          <cell r="A2883"/>
        </row>
        <row r="2884">
          <cell r="A2884"/>
        </row>
        <row r="2885">
          <cell r="A2885"/>
        </row>
        <row r="2886">
          <cell r="A2886"/>
        </row>
        <row r="2887">
          <cell r="A2887"/>
        </row>
        <row r="2888">
          <cell r="A2888"/>
        </row>
        <row r="2889">
          <cell r="A2889"/>
        </row>
        <row r="2890">
          <cell r="A2890"/>
        </row>
        <row r="2891">
          <cell r="A2891"/>
        </row>
        <row r="2892">
          <cell r="A2892"/>
        </row>
        <row r="2893">
          <cell r="A2893"/>
        </row>
        <row r="2894">
          <cell r="A2894"/>
        </row>
        <row r="2895">
          <cell r="A2895"/>
        </row>
        <row r="2896">
          <cell r="A2896"/>
        </row>
        <row r="2897">
          <cell r="A2897"/>
        </row>
        <row r="2898">
          <cell r="A2898"/>
        </row>
        <row r="2899">
          <cell r="A2899"/>
        </row>
        <row r="2900">
          <cell r="A2900"/>
        </row>
        <row r="2901">
          <cell r="A2901"/>
        </row>
        <row r="2902">
          <cell r="A2902"/>
        </row>
        <row r="2903">
          <cell r="A2903"/>
        </row>
        <row r="2904">
          <cell r="A2904"/>
        </row>
        <row r="2905">
          <cell r="A2905"/>
        </row>
        <row r="2906">
          <cell r="A2906"/>
        </row>
        <row r="2907">
          <cell r="A2907"/>
        </row>
        <row r="2908">
          <cell r="A2908"/>
        </row>
        <row r="2909">
          <cell r="A2909"/>
        </row>
        <row r="2910">
          <cell r="A2910"/>
        </row>
        <row r="2911">
          <cell r="A2911"/>
        </row>
        <row r="2912">
          <cell r="A2912"/>
        </row>
        <row r="2913">
          <cell r="A2913"/>
        </row>
        <row r="2914">
          <cell r="A2914"/>
        </row>
        <row r="2915">
          <cell r="A2915"/>
        </row>
        <row r="2916">
          <cell r="A2916"/>
        </row>
        <row r="2917">
          <cell r="A2917"/>
        </row>
        <row r="2918">
          <cell r="A2918"/>
        </row>
        <row r="2919">
          <cell r="A2919"/>
        </row>
        <row r="2920">
          <cell r="A2920"/>
        </row>
        <row r="2921">
          <cell r="A2921"/>
        </row>
        <row r="2922">
          <cell r="A2922"/>
        </row>
        <row r="2923">
          <cell r="A2923"/>
        </row>
        <row r="2924">
          <cell r="A2924"/>
        </row>
        <row r="2925">
          <cell r="A2925"/>
        </row>
        <row r="2926">
          <cell r="A2926"/>
        </row>
        <row r="2927">
          <cell r="A2927"/>
        </row>
        <row r="2928">
          <cell r="A2928"/>
        </row>
        <row r="2929">
          <cell r="A2929"/>
        </row>
        <row r="2930">
          <cell r="A2930"/>
        </row>
        <row r="2931">
          <cell r="A2931"/>
        </row>
        <row r="2932">
          <cell r="A2932"/>
        </row>
        <row r="2933">
          <cell r="A2933"/>
        </row>
        <row r="2934">
          <cell r="A2934"/>
        </row>
        <row r="2935">
          <cell r="A2935"/>
        </row>
        <row r="2936">
          <cell r="A2936"/>
        </row>
        <row r="2937">
          <cell r="A2937"/>
        </row>
        <row r="2938">
          <cell r="A2938"/>
        </row>
        <row r="2939">
          <cell r="A2939"/>
        </row>
        <row r="2940">
          <cell r="A2940"/>
        </row>
        <row r="2941">
          <cell r="A2941"/>
        </row>
        <row r="2942">
          <cell r="A2942"/>
        </row>
        <row r="2943">
          <cell r="A2943"/>
        </row>
        <row r="2944">
          <cell r="A2944"/>
        </row>
        <row r="2945">
          <cell r="A2945"/>
        </row>
        <row r="2946">
          <cell r="A2946"/>
        </row>
        <row r="2947">
          <cell r="A2947"/>
        </row>
        <row r="2948">
          <cell r="A2948"/>
        </row>
        <row r="2949">
          <cell r="A2949"/>
        </row>
        <row r="2950">
          <cell r="A2950"/>
        </row>
        <row r="2951">
          <cell r="A2951"/>
        </row>
        <row r="2952">
          <cell r="A2952"/>
        </row>
        <row r="2953">
          <cell r="A2953"/>
        </row>
        <row r="2954">
          <cell r="A2954"/>
        </row>
        <row r="2955">
          <cell r="A2955"/>
        </row>
        <row r="2956">
          <cell r="A2956"/>
        </row>
        <row r="2957">
          <cell r="A2957"/>
        </row>
        <row r="2958">
          <cell r="A2958"/>
        </row>
        <row r="2959">
          <cell r="A2959"/>
        </row>
        <row r="2960">
          <cell r="A2960"/>
        </row>
        <row r="2961">
          <cell r="A2961"/>
        </row>
        <row r="2962">
          <cell r="A2962"/>
        </row>
        <row r="2963">
          <cell r="A2963"/>
        </row>
        <row r="2964">
          <cell r="A2964"/>
        </row>
        <row r="2965">
          <cell r="A2965"/>
        </row>
        <row r="2966">
          <cell r="A2966"/>
        </row>
        <row r="2967">
          <cell r="A2967"/>
        </row>
        <row r="2968">
          <cell r="A2968"/>
        </row>
        <row r="2969">
          <cell r="A2969"/>
        </row>
        <row r="2970">
          <cell r="A2970"/>
        </row>
        <row r="2971">
          <cell r="A2971"/>
        </row>
        <row r="2972">
          <cell r="A2972"/>
        </row>
        <row r="2973">
          <cell r="A2973"/>
        </row>
        <row r="2974">
          <cell r="A2974"/>
        </row>
        <row r="2975">
          <cell r="A2975"/>
        </row>
        <row r="2976">
          <cell r="A2976"/>
        </row>
        <row r="2977">
          <cell r="A2977"/>
        </row>
        <row r="2978">
          <cell r="A2978"/>
        </row>
        <row r="2979">
          <cell r="A2979"/>
        </row>
        <row r="2980">
          <cell r="A2980"/>
        </row>
        <row r="2981">
          <cell r="A2981"/>
        </row>
        <row r="2982">
          <cell r="A2982"/>
        </row>
        <row r="2983">
          <cell r="A2983"/>
        </row>
        <row r="2984">
          <cell r="A2984"/>
        </row>
        <row r="2985">
          <cell r="A2985"/>
        </row>
        <row r="2986">
          <cell r="A2986"/>
        </row>
        <row r="2987">
          <cell r="A2987"/>
        </row>
        <row r="2988">
          <cell r="A2988"/>
        </row>
        <row r="2989">
          <cell r="A2989"/>
        </row>
        <row r="2990">
          <cell r="A2990"/>
        </row>
        <row r="2991">
          <cell r="A2991"/>
        </row>
        <row r="2992">
          <cell r="A2992"/>
        </row>
        <row r="2993">
          <cell r="A2993"/>
        </row>
        <row r="2994">
          <cell r="A2994"/>
        </row>
        <row r="2995">
          <cell r="A2995"/>
        </row>
        <row r="2996">
          <cell r="A2996"/>
        </row>
        <row r="2997">
          <cell r="A2997"/>
        </row>
        <row r="2998">
          <cell r="A2998"/>
        </row>
        <row r="2999">
          <cell r="A2999"/>
        </row>
        <row r="3000">
          <cell r="A3000"/>
        </row>
        <row r="3001">
          <cell r="A3001"/>
        </row>
        <row r="3002">
          <cell r="A3002"/>
        </row>
        <row r="3003">
          <cell r="A3003"/>
        </row>
        <row r="3004">
          <cell r="A3004"/>
        </row>
        <row r="3005">
          <cell r="A3005"/>
        </row>
        <row r="3006">
          <cell r="A3006"/>
        </row>
        <row r="3007">
          <cell r="A3007"/>
        </row>
        <row r="3008">
          <cell r="A3008"/>
        </row>
        <row r="3009">
          <cell r="A3009"/>
        </row>
        <row r="3010">
          <cell r="A3010"/>
        </row>
        <row r="3011">
          <cell r="A3011"/>
        </row>
        <row r="3012">
          <cell r="A3012"/>
        </row>
        <row r="3013">
          <cell r="A3013"/>
        </row>
        <row r="3014">
          <cell r="A3014"/>
        </row>
        <row r="3015">
          <cell r="A3015"/>
        </row>
        <row r="3016">
          <cell r="A3016"/>
        </row>
        <row r="3017">
          <cell r="A3017"/>
        </row>
        <row r="3018">
          <cell r="A3018"/>
        </row>
        <row r="3019">
          <cell r="A3019"/>
        </row>
        <row r="3020">
          <cell r="A3020"/>
        </row>
        <row r="3021">
          <cell r="A3021"/>
        </row>
        <row r="3022">
          <cell r="A3022"/>
        </row>
        <row r="3023">
          <cell r="A3023"/>
        </row>
        <row r="3024">
          <cell r="A3024"/>
        </row>
        <row r="3025">
          <cell r="A3025"/>
        </row>
        <row r="3026">
          <cell r="A3026"/>
        </row>
        <row r="3027">
          <cell r="A3027"/>
        </row>
        <row r="3028">
          <cell r="A3028"/>
        </row>
        <row r="3029">
          <cell r="A3029"/>
        </row>
        <row r="3030">
          <cell r="A3030"/>
        </row>
        <row r="3031">
          <cell r="A3031"/>
        </row>
        <row r="3032">
          <cell r="A3032"/>
        </row>
        <row r="3033">
          <cell r="A3033"/>
        </row>
        <row r="3034">
          <cell r="A3034"/>
        </row>
        <row r="3035">
          <cell r="A3035"/>
        </row>
        <row r="3036">
          <cell r="A3036"/>
        </row>
        <row r="3037">
          <cell r="A3037"/>
        </row>
        <row r="3038">
          <cell r="A3038"/>
        </row>
        <row r="3039">
          <cell r="A3039"/>
        </row>
        <row r="3040">
          <cell r="A3040"/>
        </row>
        <row r="3041">
          <cell r="A3041"/>
        </row>
        <row r="3042">
          <cell r="A3042"/>
        </row>
        <row r="3043">
          <cell r="A3043"/>
        </row>
        <row r="3044">
          <cell r="A3044"/>
        </row>
        <row r="3045">
          <cell r="A3045"/>
        </row>
        <row r="3046">
          <cell r="A3046"/>
        </row>
        <row r="3047">
          <cell r="A3047"/>
        </row>
        <row r="3048">
          <cell r="A3048"/>
        </row>
        <row r="3049">
          <cell r="A3049"/>
        </row>
        <row r="3050">
          <cell r="A3050"/>
        </row>
        <row r="3051">
          <cell r="A3051"/>
        </row>
        <row r="3052">
          <cell r="A3052"/>
        </row>
        <row r="3053">
          <cell r="A3053"/>
        </row>
        <row r="3054">
          <cell r="A3054"/>
        </row>
        <row r="3055">
          <cell r="A3055"/>
        </row>
        <row r="3056">
          <cell r="A3056"/>
        </row>
        <row r="3057">
          <cell r="A3057"/>
        </row>
        <row r="3058">
          <cell r="A3058"/>
        </row>
        <row r="3059">
          <cell r="A3059"/>
        </row>
        <row r="3060">
          <cell r="A3060"/>
        </row>
        <row r="3061">
          <cell r="A3061"/>
        </row>
        <row r="3062">
          <cell r="A3062"/>
        </row>
        <row r="3063">
          <cell r="A3063"/>
        </row>
        <row r="3064">
          <cell r="A3064"/>
        </row>
        <row r="3065">
          <cell r="A3065"/>
        </row>
        <row r="3066">
          <cell r="A3066"/>
        </row>
        <row r="3067">
          <cell r="A3067"/>
        </row>
        <row r="3068">
          <cell r="A3068"/>
        </row>
        <row r="3069">
          <cell r="A3069"/>
        </row>
        <row r="3070">
          <cell r="A3070"/>
        </row>
        <row r="3071">
          <cell r="A3071"/>
        </row>
        <row r="3072">
          <cell r="A3072"/>
        </row>
        <row r="3073">
          <cell r="A3073"/>
        </row>
        <row r="3074">
          <cell r="A3074"/>
        </row>
        <row r="3075">
          <cell r="A3075"/>
        </row>
        <row r="3076">
          <cell r="A3076"/>
        </row>
        <row r="3077">
          <cell r="A3077"/>
        </row>
        <row r="3078">
          <cell r="A3078"/>
        </row>
        <row r="3079">
          <cell r="A3079"/>
        </row>
        <row r="3080">
          <cell r="A3080"/>
        </row>
        <row r="3081">
          <cell r="A3081"/>
        </row>
        <row r="3082">
          <cell r="A3082"/>
        </row>
        <row r="3083">
          <cell r="A3083"/>
        </row>
        <row r="3084">
          <cell r="A3084"/>
        </row>
        <row r="3085">
          <cell r="A3085"/>
        </row>
        <row r="3086">
          <cell r="A3086"/>
        </row>
        <row r="3087">
          <cell r="A3087"/>
        </row>
        <row r="3088">
          <cell r="A3088"/>
        </row>
        <row r="3089">
          <cell r="A3089"/>
        </row>
        <row r="3090">
          <cell r="A3090"/>
        </row>
        <row r="3091">
          <cell r="A3091"/>
        </row>
        <row r="3092">
          <cell r="A3092"/>
        </row>
        <row r="3093">
          <cell r="A3093"/>
        </row>
        <row r="3094">
          <cell r="A3094"/>
        </row>
        <row r="3095">
          <cell r="A3095"/>
        </row>
        <row r="3096">
          <cell r="A3096"/>
        </row>
        <row r="3097">
          <cell r="A3097"/>
        </row>
        <row r="3098">
          <cell r="A3098"/>
        </row>
        <row r="3099">
          <cell r="A3099"/>
        </row>
        <row r="3100">
          <cell r="A3100"/>
        </row>
        <row r="3101">
          <cell r="A3101"/>
        </row>
        <row r="3102">
          <cell r="A3102"/>
        </row>
        <row r="3103">
          <cell r="A3103"/>
        </row>
        <row r="3104">
          <cell r="A3104"/>
        </row>
        <row r="3105">
          <cell r="A3105"/>
        </row>
        <row r="3106">
          <cell r="A3106"/>
        </row>
        <row r="3107">
          <cell r="A3107"/>
        </row>
        <row r="3108">
          <cell r="A3108"/>
        </row>
        <row r="3109">
          <cell r="A3109"/>
        </row>
        <row r="3110">
          <cell r="A3110"/>
        </row>
        <row r="3111">
          <cell r="A3111"/>
        </row>
        <row r="3112">
          <cell r="A3112"/>
        </row>
        <row r="3113">
          <cell r="A3113"/>
        </row>
        <row r="3114">
          <cell r="A3114"/>
        </row>
        <row r="3115">
          <cell r="A3115"/>
        </row>
        <row r="3116">
          <cell r="A3116"/>
        </row>
        <row r="3117">
          <cell r="A3117"/>
        </row>
        <row r="3118">
          <cell r="A3118"/>
        </row>
        <row r="3119">
          <cell r="A3119"/>
        </row>
        <row r="3120">
          <cell r="A3120"/>
        </row>
        <row r="3121">
          <cell r="A3121"/>
        </row>
        <row r="3122">
          <cell r="A3122"/>
        </row>
        <row r="3123">
          <cell r="A3123"/>
        </row>
        <row r="3124">
          <cell r="A3124"/>
        </row>
        <row r="3125">
          <cell r="A3125"/>
        </row>
        <row r="3126">
          <cell r="A3126"/>
        </row>
        <row r="3127">
          <cell r="A3127"/>
        </row>
        <row r="3128">
          <cell r="A3128"/>
        </row>
        <row r="3129">
          <cell r="A3129"/>
        </row>
        <row r="3130">
          <cell r="A3130"/>
        </row>
        <row r="3131">
          <cell r="A3131"/>
        </row>
        <row r="3132">
          <cell r="A3132"/>
        </row>
        <row r="3133">
          <cell r="A3133"/>
        </row>
        <row r="3134">
          <cell r="A3134"/>
        </row>
        <row r="3135">
          <cell r="A3135"/>
        </row>
        <row r="3136">
          <cell r="A3136"/>
        </row>
        <row r="3137">
          <cell r="A3137"/>
        </row>
        <row r="3138">
          <cell r="A3138"/>
        </row>
        <row r="3139">
          <cell r="A3139"/>
        </row>
        <row r="3140">
          <cell r="A3140"/>
        </row>
        <row r="3141">
          <cell r="A3141"/>
        </row>
        <row r="3142">
          <cell r="A3142"/>
        </row>
        <row r="3143">
          <cell r="A3143"/>
        </row>
        <row r="3144">
          <cell r="A3144"/>
        </row>
        <row r="3145">
          <cell r="A3145"/>
        </row>
        <row r="3146">
          <cell r="A3146"/>
        </row>
        <row r="3147">
          <cell r="A3147"/>
        </row>
        <row r="3148">
          <cell r="A3148"/>
        </row>
        <row r="3149">
          <cell r="A3149"/>
        </row>
        <row r="3150">
          <cell r="A3150"/>
        </row>
        <row r="3151">
          <cell r="A3151"/>
        </row>
        <row r="3152">
          <cell r="A3152"/>
        </row>
        <row r="3153">
          <cell r="A3153"/>
        </row>
        <row r="3154">
          <cell r="A3154"/>
        </row>
        <row r="3155">
          <cell r="A3155"/>
        </row>
        <row r="3156">
          <cell r="A3156"/>
        </row>
        <row r="3157">
          <cell r="A3157"/>
        </row>
        <row r="3158">
          <cell r="A3158"/>
        </row>
        <row r="3159">
          <cell r="A3159"/>
        </row>
        <row r="3160">
          <cell r="A3160"/>
        </row>
        <row r="3161">
          <cell r="A3161"/>
        </row>
        <row r="3162">
          <cell r="A3162"/>
        </row>
        <row r="3163">
          <cell r="A3163"/>
        </row>
        <row r="3164">
          <cell r="A3164"/>
        </row>
        <row r="3165">
          <cell r="A3165"/>
        </row>
        <row r="3166">
          <cell r="A3166"/>
        </row>
        <row r="3167">
          <cell r="A3167"/>
        </row>
        <row r="3168">
          <cell r="A3168"/>
        </row>
        <row r="3169">
          <cell r="A3169"/>
        </row>
        <row r="3170">
          <cell r="A3170"/>
        </row>
        <row r="3171">
          <cell r="A3171"/>
        </row>
        <row r="3172">
          <cell r="A3172"/>
        </row>
        <row r="3173">
          <cell r="A3173"/>
        </row>
        <row r="3174">
          <cell r="A3174"/>
        </row>
        <row r="3175">
          <cell r="A3175"/>
        </row>
        <row r="3176">
          <cell r="A3176"/>
        </row>
        <row r="3177">
          <cell r="A3177"/>
        </row>
        <row r="3178">
          <cell r="A3178"/>
        </row>
        <row r="3179">
          <cell r="A3179"/>
        </row>
        <row r="3180">
          <cell r="A3180"/>
        </row>
        <row r="3181">
          <cell r="A3181"/>
        </row>
        <row r="3182">
          <cell r="A3182"/>
        </row>
        <row r="3183">
          <cell r="A3183"/>
        </row>
        <row r="3184">
          <cell r="A3184"/>
        </row>
        <row r="3185">
          <cell r="A3185"/>
        </row>
        <row r="3186">
          <cell r="A3186"/>
        </row>
        <row r="3187">
          <cell r="A3187"/>
        </row>
        <row r="3188">
          <cell r="A3188"/>
        </row>
        <row r="3189">
          <cell r="A3189"/>
        </row>
        <row r="3190">
          <cell r="A3190"/>
        </row>
        <row r="3191">
          <cell r="A3191"/>
        </row>
        <row r="3192">
          <cell r="A3192"/>
        </row>
        <row r="3193">
          <cell r="A3193"/>
        </row>
        <row r="3194">
          <cell r="A3194"/>
        </row>
        <row r="3195">
          <cell r="A3195"/>
        </row>
        <row r="3196">
          <cell r="A3196"/>
        </row>
        <row r="3197">
          <cell r="A3197"/>
        </row>
        <row r="3198">
          <cell r="A3198"/>
        </row>
        <row r="3199">
          <cell r="A3199"/>
        </row>
        <row r="3200">
          <cell r="A3200"/>
        </row>
        <row r="3201">
          <cell r="A3201"/>
        </row>
        <row r="3202">
          <cell r="A3202"/>
        </row>
        <row r="3203">
          <cell r="A3203"/>
        </row>
        <row r="3204">
          <cell r="A3204"/>
        </row>
        <row r="3205">
          <cell r="A3205"/>
        </row>
        <row r="3206">
          <cell r="A3206"/>
        </row>
        <row r="3207">
          <cell r="A3207"/>
        </row>
        <row r="3208">
          <cell r="A3208"/>
        </row>
        <row r="3209">
          <cell r="A3209"/>
        </row>
        <row r="3210">
          <cell r="A3210"/>
        </row>
        <row r="3211">
          <cell r="A3211"/>
        </row>
        <row r="3212">
          <cell r="A3212"/>
        </row>
        <row r="3213">
          <cell r="A3213"/>
        </row>
        <row r="3214">
          <cell r="A3214"/>
        </row>
        <row r="3215">
          <cell r="A3215"/>
        </row>
        <row r="3216">
          <cell r="A3216"/>
        </row>
        <row r="3217">
          <cell r="A3217"/>
        </row>
        <row r="3218">
          <cell r="A3218"/>
        </row>
        <row r="3219">
          <cell r="A3219"/>
        </row>
        <row r="3220">
          <cell r="A3220"/>
        </row>
        <row r="3221">
          <cell r="A3221"/>
        </row>
        <row r="3222">
          <cell r="A3222"/>
        </row>
        <row r="3223">
          <cell r="A3223"/>
        </row>
        <row r="3224">
          <cell r="A3224"/>
        </row>
        <row r="3225">
          <cell r="A3225"/>
        </row>
        <row r="3226">
          <cell r="A3226"/>
        </row>
        <row r="3227">
          <cell r="A3227"/>
        </row>
        <row r="3228">
          <cell r="A3228"/>
        </row>
        <row r="3229">
          <cell r="A3229"/>
        </row>
        <row r="3230">
          <cell r="A3230"/>
        </row>
        <row r="3231">
          <cell r="A3231"/>
        </row>
        <row r="3232">
          <cell r="A3232"/>
        </row>
        <row r="3233">
          <cell r="A3233"/>
        </row>
        <row r="3234">
          <cell r="A3234"/>
        </row>
        <row r="3235">
          <cell r="A3235"/>
        </row>
        <row r="3236">
          <cell r="A3236"/>
        </row>
        <row r="3237">
          <cell r="A3237"/>
        </row>
        <row r="3238">
          <cell r="A3238"/>
        </row>
        <row r="3239">
          <cell r="A3239"/>
        </row>
        <row r="3240">
          <cell r="A3240"/>
        </row>
        <row r="3241">
          <cell r="A3241"/>
        </row>
        <row r="3242">
          <cell r="A3242"/>
        </row>
        <row r="3243">
          <cell r="A3243"/>
        </row>
        <row r="3244">
          <cell r="A3244"/>
        </row>
        <row r="3245">
          <cell r="A3245"/>
        </row>
        <row r="3246">
          <cell r="A3246"/>
        </row>
        <row r="3247">
          <cell r="A3247"/>
        </row>
        <row r="3248">
          <cell r="A3248"/>
        </row>
        <row r="3249">
          <cell r="A3249"/>
        </row>
        <row r="3250">
          <cell r="A3250"/>
        </row>
        <row r="3251">
          <cell r="A3251"/>
        </row>
        <row r="3252">
          <cell r="A3252"/>
        </row>
        <row r="3253">
          <cell r="A3253"/>
        </row>
        <row r="3254">
          <cell r="A3254"/>
        </row>
        <row r="3255">
          <cell r="A3255"/>
        </row>
        <row r="3256">
          <cell r="A3256"/>
        </row>
        <row r="3257">
          <cell r="A3257"/>
        </row>
        <row r="3258">
          <cell r="A3258"/>
        </row>
        <row r="3259">
          <cell r="A3259"/>
        </row>
        <row r="3260">
          <cell r="A3260"/>
        </row>
        <row r="3261">
          <cell r="A3261"/>
        </row>
        <row r="3262">
          <cell r="A3262"/>
        </row>
        <row r="3263">
          <cell r="A3263"/>
        </row>
        <row r="3264">
          <cell r="A3264"/>
        </row>
        <row r="3265">
          <cell r="A3265"/>
        </row>
        <row r="3266">
          <cell r="A3266"/>
        </row>
        <row r="3267">
          <cell r="A3267"/>
        </row>
        <row r="3268">
          <cell r="A3268"/>
        </row>
        <row r="3269">
          <cell r="A3269"/>
        </row>
        <row r="3270">
          <cell r="A3270"/>
        </row>
        <row r="3271">
          <cell r="A3271"/>
        </row>
        <row r="3272">
          <cell r="A3272"/>
        </row>
        <row r="3273">
          <cell r="A3273"/>
        </row>
        <row r="3274">
          <cell r="A3274"/>
        </row>
        <row r="3275">
          <cell r="A3275"/>
        </row>
        <row r="3276">
          <cell r="A3276"/>
        </row>
        <row r="3277">
          <cell r="A3277"/>
        </row>
        <row r="3278">
          <cell r="A3278"/>
        </row>
        <row r="3279">
          <cell r="A3279"/>
        </row>
        <row r="3280">
          <cell r="A3280"/>
        </row>
        <row r="3281">
          <cell r="A3281"/>
        </row>
        <row r="3282">
          <cell r="A3282"/>
        </row>
        <row r="3283">
          <cell r="A3283"/>
        </row>
        <row r="3284">
          <cell r="A3284"/>
        </row>
        <row r="3285">
          <cell r="A3285"/>
        </row>
        <row r="3286">
          <cell r="A3286"/>
        </row>
        <row r="3287">
          <cell r="A3287"/>
        </row>
        <row r="3288">
          <cell r="A3288"/>
        </row>
        <row r="3289">
          <cell r="A3289"/>
        </row>
        <row r="3290">
          <cell r="A3290"/>
        </row>
        <row r="3291">
          <cell r="A3291"/>
        </row>
        <row r="3292">
          <cell r="A3292"/>
        </row>
        <row r="3293">
          <cell r="A3293"/>
        </row>
        <row r="3294">
          <cell r="A3294"/>
        </row>
        <row r="3295">
          <cell r="A3295"/>
        </row>
        <row r="3296">
          <cell r="A3296"/>
        </row>
        <row r="3297">
          <cell r="A3297"/>
        </row>
        <row r="3298">
          <cell r="A3298"/>
        </row>
        <row r="3299">
          <cell r="A3299"/>
        </row>
        <row r="3300">
          <cell r="A3300"/>
        </row>
        <row r="3301">
          <cell r="A3301"/>
        </row>
        <row r="3302">
          <cell r="A3302"/>
        </row>
        <row r="3303">
          <cell r="A3303"/>
        </row>
        <row r="3304">
          <cell r="A3304"/>
        </row>
        <row r="3305">
          <cell r="A3305"/>
        </row>
        <row r="3306">
          <cell r="A3306"/>
        </row>
        <row r="3307">
          <cell r="A3307"/>
        </row>
        <row r="3308">
          <cell r="A3308"/>
        </row>
        <row r="3309">
          <cell r="A3309"/>
        </row>
        <row r="3310">
          <cell r="A3310"/>
        </row>
        <row r="3311">
          <cell r="A3311"/>
        </row>
        <row r="3312">
          <cell r="A3312"/>
        </row>
        <row r="3313">
          <cell r="A3313"/>
        </row>
        <row r="3314">
          <cell r="A3314"/>
        </row>
        <row r="3315">
          <cell r="A3315"/>
        </row>
        <row r="3316">
          <cell r="A3316"/>
        </row>
        <row r="3317">
          <cell r="A3317"/>
        </row>
        <row r="3318">
          <cell r="A3318"/>
        </row>
        <row r="3319">
          <cell r="A3319"/>
        </row>
        <row r="3320">
          <cell r="A3320"/>
        </row>
        <row r="3321">
          <cell r="A3321"/>
        </row>
        <row r="3322">
          <cell r="A3322"/>
        </row>
        <row r="3323">
          <cell r="A3323"/>
        </row>
        <row r="3324">
          <cell r="A3324"/>
        </row>
        <row r="3325">
          <cell r="A3325"/>
        </row>
        <row r="3326">
          <cell r="A3326"/>
        </row>
        <row r="3327">
          <cell r="A3327"/>
        </row>
        <row r="3328">
          <cell r="A3328"/>
        </row>
        <row r="3329">
          <cell r="A3329"/>
        </row>
        <row r="3330">
          <cell r="A3330"/>
        </row>
        <row r="3331">
          <cell r="A3331"/>
        </row>
        <row r="3332">
          <cell r="A3332"/>
        </row>
        <row r="3333">
          <cell r="A3333"/>
        </row>
        <row r="3334">
          <cell r="A3334"/>
        </row>
        <row r="3335">
          <cell r="A3335"/>
        </row>
        <row r="3336">
          <cell r="A3336"/>
        </row>
        <row r="3337">
          <cell r="A3337"/>
        </row>
        <row r="3338">
          <cell r="A3338"/>
        </row>
        <row r="3339">
          <cell r="A3339"/>
        </row>
        <row r="3340">
          <cell r="A3340"/>
        </row>
        <row r="3341">
          <cell r="A3341"/>
        </row>
        <row r="3342">
          <cell r="A3342"/>
        </row>
        <row r="3343">
          <cell r="A3343"/>
        </row>
        <row r="3344">
          <cell r="A3344"/>
        </row>
        <row r="3345">
          <cell r="A3345"/>
        </row>
        <row r="3346">
          <cell r="A3346"/>
        </row>
        <row r="3347">
          <cell r="A3347"/>
        </row>
        <row r="3348">
          <cell r="A3348"/>
        </row>
        <row r="3349">
          <cell r="A3349"/>
        </row>
        <row r="3350">
          <cell r="A3350"/>
        </row>
        <row r="3351">
          <cell r="A3351"/>
        </row>
        <row r="3352">
          <cell r="A3352"/>
        </row>
        <row r="3353">
          <cell r="A3353"/>
        </row>
        <row r="3354">
          <cell r="A3354"/>
        </row>
        <row r="3355">
          <cell r="A3355"/>
        </row>
        <row r="3356">
          <cell r="A3356"/>
        </row>
        <row r="3357">
          <cell r="A3357"/>
        </row>
        <row r="3358">
          <cell r="A3358"/>
        </row>
        <row r="3359">
          <cell r="A3359"/>
        </row>
        <row r="3360">
          <cell r="A3360"/>
        </row>
        <row r="3361">
          <cell r="A3361"/>
        </row>
        <row r="3362">
          <cell r="A3362"/>
        </row>
        <row r="3363">
          <cell r="A3363"/>
        </row>
        <row r="3364">
          <cell r="A3364"/>
        </row>
        <row r="3365">
          <cell r="A3365"/>
        </row>
        <row r="3366">
          <cell r="A3366"/>
        </row>
        <row r="3367">
          <cell r="A3367"/>
        </row>
        <row r="3368">
          <cell r="A3368"/>
        </row>
        <row r="3369">
          <cell r="A3369"/>
        </row>
        <row r="3370">
          <cell r="A3370"/>
        </row>
        <row r="3371">
          <cell r="A3371"/>
        </row>
        <row r="3372">
          <cell r="A3372"/>
        </row>
        <row r="3373">
          <cell r="A3373"/>
        </row>
        <row r="3374">
          <cell r="A3374"/>
        </row>
        <row r="3375">
          <cell r="A3375"/>
        </row>
        <row r="3376">
          <cell r="A3376"/>
        </row>
        <row r="3377">
          <cell r="A3377"/>
        </row>
        <row r="3378">
          <cell r="A3378"/>
        </row>
        <row r="3379">
          <cell r="A3379"/>
        </row>
        <row r="3380">
          <cell r="A3380"/>
        </row>
        <row r="3381">
          <cell r="A3381"/>
        </row>
        <row r="3382">
          <cell r="A3382"/>
        </row>
        <row r="3383">
          <cell r="A3383"/>
        </row>
        <row r="3384">
          <cell r="A3384"/>
        </row>
        <row r="3385">
          <cell r="A3385"/>
        </row>
        <row r="3386">
          <cell r="A3386"/>
        </row>
        <row r="3387">
          <cell r="A3387"/>
        </row>
        <row r="3388">
          <cell r="A3388"/>
        </row>
        <row r="3389">
          <cell r="A3389"/>
        </row>
        <row r="3390">
          <cell r="A3390"/>
        </row>
        <row r="3391">
          <cell r="A3391"/>
        </row>
        <row r="3392">
          <cell r="A3392"/>
        </row>
        <row r="3393">
          <cell r="A3393"/>
        </row>
        <row r="3394">
          <cell r="A3394"/>
        </row>
        <row r="3395">
          <cell r="A3395"/>
        </row>
        <row r="3396">
          <cell r="A3396"/>
        </row>
        <row r="3397">
          <cell r="A3397"/>
        </row>
        <row r="3398">
          <cell r="A3398"/>
        </row>
        <row r="3399">
          <cell r="A3399"/>
        </row>
        <row r="3400">
          <cell r="A3400"/>
        </row>
        <row r="3401">
          <cell r="A3401"/>
        </row>
        <row r="3402">
          <cell r="A3402"/>
        </row>
        <row r="3403">
          <cell r="A3403"/>
        </row>
        <row r="3404">
          <cell r="A3404"/>
        </row>
        <row r="3405">
          <cell r="A3405"/>
        </row>
        <row r="3406">
          <cell r="A3406"/>
        </row>
        <row r="3407">
          <cell r="A3407"/>
        </row>
        <row r="3408">
          <cell r="A3408"/>
        </row>
        <row r="3409">
          <cell r="A3409"/>
        </row>
        <row r="3410">
          <cell r="A3410"/>
        </row>
        <row r="3411">
          <cell r="A3411"/>
        </row>
        <row r="3412">
          <cell r="A3412"/>
        </row>
        <row r="3413">
          <cell r="A3413"/>
        </row>
        <row r="3414">
          <cell r="A3414"/>
        </row>
        <row r="3415">
          <cell r="A3415"/>
        </row>
        <row r="3416">
          <cell r="A3416"/>
        </row>
        <row r="3417">
          <cell r="A3417"/>
        </row>
        <row r="3418">
          <cell r="A3418"/>
        </row>
        <row r="3419">
          <cell r="A3419"/>
        </row>
        <row r="3420">
          <cell r="A3420"/>
        </row>
        <row r="3421">
          <cell r="A3421"/>
        </row>
        <row r="3422">
          <cell r="A3422"/>
        </row>
        <row r="3423">
          <cell r="A3423"/>
        </row>
        <row r="3424">
          <cell r="A3424"/>
        </row>
        <row r="3425">
          <cell r="A3425"/>
        </row>
        <row r="3426">
          <cell r="A3426"/>
        </row>
        <row r="3427">
          <cell r="A3427"/>
        </row>
        <row r="3428">
          <cell r="A3428"/>
        </row>
        <row r="3429">
          <cell r="A3429"/>
        </row>
        <row r="3430">
          <cell r="A3430"/>
        </row>
        <row r="3431">
          <cell r="A3431"/>
        </row>
        <row r="3432">
          <cell r="A3432"/>
        </row>
        <row r="3433">
          <cell r="A3433"/>
        </row>
        <row r="3434">
          <cell r="A3434"/>
        </row>
        <row r="3435">
          <cell r="A3435"/>
        </row>
        <row r="3436">
          <cell r="A3436"/>
        </row>
        <row r="3437">
          <cell r="A3437"/>
        </row>
        <row r="3438">
          <cell r="A3438"/>
        </row>
        <row r="3439">
          <cell r="A3439"/>
        </row>
        <row r="3440">
          <cell r="A3440"/>
        </row>
        <row r="3441">
          <cell r="A3441"/>
        </row>
        <row r="3442">
          <cell r="A3442"/>
        </row>
        <row r="3443">
          <cell r="A3443"/>
        </row>
        <row r="3444">
          <cell r="A3444"/>
        </row>
        <row r="3445">
          <cell r="A3445"/>
        </row>
        <row r="3446">
          <cell r="A3446"/>
        </row>
        <row r="3447">
          <cell r="A3447"/>
        </row>
        <row r="3448">
          <cell r="A3448"/>
        </row>
        <row r="3449">
          <cell r="A3449"/>
        </row>
        <row r="3450">
          <cell r="A3450"/>
        </row>
        <row r="3451">
          <cell r="A3451"/>
        </row>
        <row r="3452">
          <cell r="A3452"/>
        </row>
        <row r="3453">
          <cell r="A3453"/>
        </row>
        <row r="3454">
          <cell r="A3454"/>
        </row>
        <row r="3455">
          <cell r="A3455"/>
        </row>
        <row r="3456">
          <cell r="A3456"/>
        </row>
        <row r="3457">
          <cell r="A3457"/>
        </row>
        <row r="3458">
          <cell r="A3458"/>
        </row>
        <row r="3459">
          <cell r="A3459"/>
        </row>
        <row r="3460">
          <cell r="A3460"/>
        </row>
        <row r="3461">
          <cell r="A3461"/>
        </row>
        <row r="3462">
          <cell r="A3462"/>
        </row>
        <row r="3463">
          <cell r="A3463"/>
        </row>
        <row r="3464">
          <cell r="A3464"/>
        </row>
        <row r="3465">
          <cell r="A3465"/>
        </row>
        <row r="3466">
          <cell r="A3466"/>
        </row>
        <row r="3467">
          <cell r="A3467"/>
        </row>
        <row r="3468">
          <cell r="A3468"/>
        </row>
        <row r="3469">
          <cell r="A3469"/>
        </row>
        <row r="3470">
          <cell r="A3470"/>
        </row>
        <row r="3471">
          <cell r="A3471"/>
        </row>
        <row r="3472">
          <cell r="A3472"/>
        </row>
        <row r="3473">
          <cell r="A3473"/>
        </row>
        <row r="3474">
          <cell r="A3474"/>
        </row>
        <row r="3475">
          <cell r="A3475"/>
        </row>
        <row r="3476">
          <cell r="A3476"/>
        </row>
        <row r="3477">
          <cell r="A3477"/>
        </row>
        <row r="3478">
          <cell r="A3478"/>
        </row>
        <row r="3479">
          <cell r="A3479"/>
        </row>
        <row r="3480">
          <cell r="A3480"/>
        </row>
        <row r="3481">
          <cell r="A3481"/>
        </row>
        <row r="3482">
          <cell r="A3482"/>
        </row>
        <row r="3483">
          <cell r="A3483"/>
        </row>
        <row r="3484">
          <cell r="A3484"/>
        </row>
        <row r="3485">
          <cell r="A3485"/>
        </row>
        <row r="3486">
          <cell r="A3486"/>
        </row>
        <row r="3487">
          <cell r="A3487"/>
        </row>
        <row r="3488">
          <cell r="A3488"/>
        </row>
        <row r="3489">
          <cell r="A3489"/>
        </row>
        <row r="3490">
          <cell r="A3490"/>
        </row>
        <row r="3491">
          <cell r="A3491"/>
        </row>
        <row r="3492">
          <cell r="A3492"/>
        </row>
        <row r="3493">
          <cell r="A3493"/>
        </row>
        <row r="3494">
          <cell r="A3494"/>
        </row>
        <row r="3495">
          <cell r="A3495"/>
        </row>
        <row r="3496">
          <cell r="A3496"/>
        </row>
        <row r="3497">
          <cell r="A3497"/>
        </row>
        <row r="3498">
          <cell r="A3498"/>
        </row>
        <row r="3499">
          <cell r="A3499"/>
        </row>
        <row r="3500">
          <cell r="A3500"/>
        </row>
        <row r="3501">
          <cell r="A3501"/>
        </row>
        <row r="3502">
          <cell r="A3502"/>
        </row>
        <row r="3503">
          <cell r="A3503"/>
        </row>
        <row r="3504">
          <cell r="A3504"/>
        </row>
        <row r="3505">
          <cell r="A3505"/>
        </row>
        <row r="3506">
          <cell r="A3506"/>
        </row>
        <row r="3507">
          <cell r="A3507"/>
        </row>
        <row r="3508">
          <cell r="A3508"/>
        </row>
        <row r="3509">
          <cell r="A3509"/>
        </row>
        <row r="3510">
          <cell r="A3510"/>
        </row>
        <row r="3511">
          <cell r="A3511"/>
        </row>
        <row r="3512">
          <cell r="A3512"/>
        </row>
        <row r="3513">
          <cell r="A3513"/>
        </row>
        <row r="3514">
          <cell r="A3514"/>
        </row>
        <row r="3515">
          <cell r="A3515"/>
        </row>
        <row r="3516">
          <cell r="A3516"/>
        </row>
        <row r="3517">
          <cell r="A3517"/>
        </row>
        <row r="3518">
          <cell r="A3518"/>
        </row>
        <row r="3519">
          <cell r="A3519"/>
        </row>
        <row r="3520">
          <cell r="A3520"/>
        </row>
        <row r="3521">
          <cell r="A3521"/>
        </row>
        <row r="3522">
          <cell r="A3522"/>
        </row>
        <row r="3523">
          <cell r="A3523"/>
        </row>
        <row r="3524">
          <cell r="A3524"/>
        </row>
        <row r="3525">
          <cell r="A3525"/>
        </row>
        <row r="3526">
          <cell r="A3526"/>
        </row>
        <row r="3527">
          <cell r="A3527"/>
        </row>
        <row r="3528">
          <cell r="A3528"/>
        </row>
        <row r="3529">
          <cell r="A3529"/>
        </row>
        <row r="3530">
          <cell r="A3530"/>
        </row>
        <row r="3531">
          <cell r="A3531"/>
        </row>
        <row r="3532">
          <cell r="A3532"/>
        </row>
        <row r="3533">
          <cell r="A3533"/>
        </row>
        <row r="3534">
          <cell r="A3534"/>
        </row>
        <row r="3535">
          <cell r="A3535"/>
        </row>
        <row r="3536">
          <cell r="A3536"/>
        </row>
        <row r="3537">
          <cell r="A3537"/>
        </row>
        <row r="3538">
          <cell r="A3538"/>
        </row>
        <row r="3539">
          <cell r="A3539"/>
        </row>
        <row r="3540">
          <cell r="A3540"/>
        </row>
        <row r="3541">
          <cell r="A3541"/>
        </row>
        <row r="3542">
          <cell r="A3542"/>
        </row>
        <row r="3543">
          <cell r="A3543"/>
        </row>
        <row r="3544">
          <cell r="A3544"/>
        </row>
        <row r="3545">
          <cell r="A3545"/>
        </row>
        <row r="3546">
          <cell r="A3546"/>
        </row>
        <row r="3547">
          <cell r="A3547"/>
        </row>
        <row r="3548">
          <cell r="A3548"/>
        </row>
        <row r="3549">
          <cell r="A3549"/>
        </row>
        <row r="3550">
          <cell r="A3550"/>
        </row>
        <row r="3551">
          <cell r="A3551"/>
        </row>
        <row r="3552">
          <cell r="A3552"/>
        </row>
        <row r="3553">
          <cell r="A3553"/>
        </row>
        <row r="3554">
          <cell r="A3554"/>
        </row>
        <row r="3555">
          <cell r="A3555"/>
        </row>
        <row r="3556">
          <cell r="A3556"/>
        </row>
        <row r="3557">
          <cell r="A3557"/>
        </row>
        <row r="3558">
          <cell r="A3558"/>
        </row>
        <row r="3559">
          <cell r="A3559"/>
        </row>
        <row r="3560">
          <cell r="A3560"/>
        </row>
        <row r="3561">
          <cell r="A3561"/>
        </row>
        <row r="3562">
          <cell r="A3562"/>
        </row>
        <row r="3563">
          <cell r="A3563"/>
        </row>
        <row r="3564">
          <cell r="A3564"/>
        </row>
        <row r="3565">
          <cell r="A3565"/>
        </row>
        <row r="3566">
          <cell r="A3566"/>
        </row>
        <row r="3567">
          <cell r="A3567"/>
        </row>
        <row r="3568">
          <cell r="A3568"/>
        </row>
        <row r="3569">
          <cell r="A3569"/>
        </row>
        <row r="3570">
          <cell r="A3570"/>
        </row>
        <row r="3571">
          <cell r="A3571"/>
        </row>
        <row r="3572">
          <cell r="A3572"/>
        </row>
        <row r="3573">
          <cell r="A3573"/>
        </row>
        <row r="3574">
          <cell r="A3574"/>
        </row>
        <row r="3575">
          <cell r="A3575"/>
        </row>
        <row r="3576">
          <cell r="A3576"/>
        </row>
        <row r="3577">
          <cell r="A3577"/>
        </row>
        <row r="3578">
          <cell r="A3578"/>
        </row>
        <row r="3579">
          <cell r="A3579"/>
        </row>
        <row r="3580">
          <cell r="A3580"/>
        </row>
        <row r="3581">
          <cell r="A3581"/>
        </row>
        <row r="3582">
          <cell r="A3582"/>
        </row>
        <row r="3583">
          <cell r="A3583"/>
        </row>
        <row r="3584">
          <cell r="A3584"/>
        </row>
        <row r="3585">
          <cell r="A3585"/>
        </row>
        <row r="3586">
          <cell r="A3586"/>
        </row>
        <row r="3587">
          <cell r="A3587"/>
        </row>
        <row r="3588">
          <cell r="A3588"/>
        </row>
        <row r="3589">
          <cell r="A3589"/>
        </row>
        <row r="3590">
          <cell r="A3590"/>
        </row>
        <row r="3591">
          <cell r="A3591"/>
        </row>
        <row r="3592">
          <cell r="A3592"/>
        </row>
        <row r="3593">
          <cell r="A3593"/>
        </row>
        <row r="3594">
          <cell r="A3594"/>
        </row>
        <row r="3595">
          <cell r="A3595"/>
        </row>
        <row r="3596">
          <cell r="A3596"/>
        </row>
        <row r="3597">
          <cell r="A3597"/>
        </row>
        <row r="3598">
          <cell r="A3598"/>
        </row>
        <row r="3599">
          <cell r="A3599"/>
        </row>
        <row r="3600">
          <cell r="A3600"/>
        </row>
        <row r="3601">
          <cell r="A3601"/>
        </row>
        <row r="3602">
          <cell r="A3602"/>
        </row>
        <row r="3603">
          <cell r="A3603"/>
        </row>
        <row r="3604">
          <cell r="A3604"/>
        </row>
        <row r="3605">
          <cell r="A3605"/>
        </row>
        <row r="3606">
          <cell r="A3606"/>
        </row>
        <row r="3607">
          <cell r="A3607"/>
        </row>
        <row r="3608">
          <cell r="A3608"/>
        </row>
        <row r="3609">
          <cell r="A3609"/>
        </row>
        <row r="3610">
          <cell r="A3610"/>
        </row>
        <row r="3611">
          <cell r="A3611"/>
        </row>
        <row r="3612">
          <cell r="A3612"/>
        </row>
        <row r="3613">
          <cell r="A3613"/>
        </row>
        <row r="3614">
          <cell r="A3614"/>
        </row>
        <row r="3615">
          <cell r="A3615"/>
        </row>
        <row r="3616">
          <cell r="A3616"/>
        </row>
        <row r="3617">
          <cell r="A3617"/>
        </row>
        <row r="3618">
          <cell r="A3618"/>
        </row>
        <row r="3619">
          <cell r="A3619"/>
        </row>
        <row r="3620">
          <cell r="A3620"/>
        </row>
        <row r="3621">
          <cell r="A3621"/>
        </row>
        <row r="3622">
          <cell r="A3622"/>
        </row>
        <row r="3623">
          <cell r="A3623"/>
        </row>
        <row r="3624">
          <cell r="A3624"/>
        </row>
        <row r="3625">
          <cell r="A3625"/>
        </row>
        <row r="3626">
          <cell r="A3626"/>
        </row>
        <row r="3627">
          <cell r="A3627"/>
        </row>
        <row r="3628">
          <cell r="A3628"/>
        </row>
        <row r="3629">
          <cell r="A3629"/>
        </row>
        <row r="3630">
          <cell r="A3630"/>
        </row>
        <row r="3631">
          <cell r="A3631"/>
        </row>
        <row r="3632">
          <cell r="A3632"/>
        </row>
        <row r="3633">
          <cell r="A3633"/>
        </row>
        <row r="3634">
          <cell r="A3634"/>
        </row>
        <row r="3635">
          <cell r="A3635"/>
        </row>
        <row r="3636">
          <cell r="A3636"/>
        </row>
        <row r="3637">
          <cell r="A3637"/>
        </row>
        <row r="3638">
          <cell r="A3638"/>
        </row>
        <row r="3639">
          <cell r="A3639"/>
        </row>
        <row r="3640">
          <cell r="A3640"/>
        </row>
        <row r="3641">
          <cell r="A3641"/>
        </row>
        <row r="3642">
          <cell r="A3642"/>
        </row>
        <row r="3643">
          <cell r="A3643"/>
        </row>
        <row r="3644">
          <cell r="A3644"/>
        </row>
        <row r="3645">
          <cell r="A3645"/>
        </row>
        <row r="3646">
          <cell r="A3646"/>
        </row>
        <row r="3647">
          <cell r="A3647"/>
        </row>
        <row r="3648">
          <cell r="A3648"/>
        </row>
        <row r="3649">
          <cell r="A3649"/>
        </row>
        <row r="3650">
          <cell r="A3650"/>
        </row>
        <row r="3651">
          <cell r="A3651"/>
        </row>
        <row r="3652">
          <cell r="A3652"/>
        </row>
        <row r="3653">
          <cell r="A3653"/>
        </row>
        <row r="3654">
          <cell r="A3654"/>
        </row>
        <row r="3655">
          <cell r="A3655"/>
        </row>
        <row r="3656">
          <cell r="A3656"/>
        </row>
        <row r="3657">
          <cell r="A3657"/>
        </row>
        <row r="3658">
          <cell r="A3658"/>
        </row>
        <row r="3659">
          <cell r="A3659"/>
        </row>
        <row r="3660">
          <cell r="A3660"/>
        </row>
        <row r="3661">
          <cell r="A3661"/>
        </row>
        <row r="3662">
          <cell r="A3662"/>
        </row>
        <row r="3663">
          <cell r="A3663"/>
        </row>
        <row r="3664">
          <cell r="A3664"/>
        </row>
        <row r="3665">
          <cell r="A3665"/>
        </row>
        <row r="3666">
          <cell r="A3666"/>
        </row>
        <row r="3667">
          <cell r="A3667"/>
        </row>
        <row r="3668">
          <cell r="A3668"/>
        </row>
        <row r="3669">
          <cell r="A3669"/>
        </row>
        <row r="3670">
          <cell r="A3670"/>
        </row>
        <row r="3671">
          <cell r="A3671"/>
        </row>
        <row r="3672">
          <cell r="A3672"/>
        </row>
        <row r="3673">
          <cell r="A3673"/>
        </row>
        <row r="3674">
          <cell r="A3674"/>
        </row>
        <row r="3675">
          <cell r="A3675"/>
        </row>
        <row r="3676">
          <cell r="A3676"/>
        </row>
        <row r="3677">
          <cell r="A3677"/>
        </row>
        <row r="3678">
          <cell r="A3678"/>
        </row>
        <row r="3679">
          <cell r="A3679"/>
        </row>
        <row r="3680">
          <cell r="A3680"/>
        </row>
        <row r="3681">
          <cell r="A3681"/>
        </row>
        <row r="3682">
          <cell r="A3682"/>
        </row>
        <row r="3683">
          <cell r="A3683"/>
        </row>
        <row r="3684">
          <cell r="A3684"/>
        </row>
        <row r="3685">
          <cell r="A3685"/>
        </row>
        <row r="3686">
          <cell r="A3686"/>
        </row>
        <row r="3687">
          <cell r="A3687"/>
        </row>
        <row r="3688">
          <cell r="A3688"/>
        </row>
        <row r="3689">
          <cell r="A3689"/>
        </row>
        <row r="3690">
          <cell r="A3690"/>
        </row>
        <row r="3691">
          <cell r="A3691"/>
        </row>
        <row r="3692">
          <cell r="A3692"/>
        </row>
        <row r="3693">
          <cell r="A3693"/>
        </row>
        <row r="3694">
          <cell r="A3694"/>
        </row>
        <row r="3695">
          <cell r="A3695"/>
        </row>
        <row r="3696">
          <cell r="A3696"/>
        </row>
        <row r="3697">
          <cell r="A3697"/>
        </row>
        <row r="3698">
          <cell r="A3698"/>
        </row>
        <row r="3699">
          <cell r="A3699"/>
        </row>
        <row r="3700">
          <cell r="A3700"/>
        </row>
        <row r="3701">
          <cell r="A3701"/>
        </row>
        <row r="3702">
          <cell r="A3702"/>
        </row>
        <row r="3703">
          <cell r="A3703"/>
        </row>
        <row r="3704">
          <cell r="A3704"/>
        </row>
        <row r="3705">
          <cell r="A3705"/>
        </row>
        <row r="3706">
          <cell r="A3706"/>
        </row>
        <row r="3707">
          <cell r="A3707"/>
        </row>
        <row r="3708">
          <cell r="A3708"/>
        </row>
        <row r="3709">
          <cell r="A3709"/>
        </row>
        <row r="3710">
          <cell r="A3710"/>
        </row>
        <row r="3711">
          <cell r="A3711"/>
        </row>
        <row r="3712">
          <cell r="A3712"/>
        </row>
        <row r="3713">
          <cell r="A3713"/>
        </row>
        <row r="3714">
          <cell r="A3714"/>
        </row>
        <row r="3715">
          <cell r="A3715"/>
        </row>
        <row r="3716">
          <cell r="A3716"/>
        </row>
        <row r="3717">
          <cell r="A3717"/>
        </row>
        <row r="3718">
          <cell r="A3718"/>
        </row>
        <row r="3719">
          <cell r="A3719"/>
        </row>
        <row r="3720">
          <cell r="A3720"/>
        </row>
        <row r="3721">
          <cell r="A3721"/>
        </row>
        <row r="3722">
          <cell r="A3722"/>
        </row>
        <row r="3723">
          <cell r="A3723"/>
        </row>
        <row r="3724">
          <cell r="A3724"/>
        </row>
        <row r="3725">
          <cell r="A3725"/>
        </row>
        <row r="3726">
          <cell r="A3726"/>
        </row>
        <row r="3727">
          <cell r="A3727"/>
        </row>
        <row r="3728">
          <cell r="A3728"/>
        </row>
        <row r="3729">
          <cell r="A3729"/>
        </row>
        <row r="3730">
          <cell r="A3730"/>
        </row>
        <row r="3731">
          <cell r="A3731"/>
        </row>
        <row r="3732">
          <cell r="A3732"/>
        </row>
        <row r="3733">
          <cell r="A3733"/>
        </row>
        <row r="3734">
          <cell r="A3734"/>
        </row>
        <row r="3735">
          <cell r="A3735"/>
        </row>
        <row r="3736">
          <cell r="A3736"/>
        </row>
        <row r="3737">
          <cell r="A3737"/>
        </row>
        <row r="3738">
          <cell r="A3738"/>
        </row>
        <row r="3739">
          <cell r="A3739"/>
        </row>
        <row r="3740">
          <cell r="A3740"/>
        </row>
        <row r="3741">
          <cell r="A3741"/>
        </row>
        <row r="3742">
          <cell r="A3742"/>
        </row>
        <row r="3743">
          <cell r="A3743"/>
        </row>
        <row r="3744">
          <cell r="A3744"/>
        </row>
        <row r="3745">
          <cell r="A3745"/>
        </row>
        <row r="3746">
          <cell r="A3746"/>
        </row>
        <row r="3747">
          <cell r="A3747"/>
        </row>
        <row r="3748">
          <cell r="A3748"/>
        </row>
        <row r="3749">
          <cell r="A3749"/>
        </row>
        <row r="3750">
          <cell r="A3750"/>
        </row>
        <row r="3751">
          <cell r="A3751"/>
        </row>
        <row r="3752">
          <cell r="A3752"/>
        </row>
        <row r="3753">
          <cell r="A3753"/>
        </row>
        <row r="3754">
          <cell r="A3754"/>
        </row>
        <row r="3755">
          <cell r="A3755"/>
        </row>
        <row r="3756">
          <cell r="A3756"/>
        </row>
        <row r="3757">
          <cell r="A3757"/>
        </row>
        <row r="3758">
          <cell r="A3758"/>
        </row>
        <row r="3759">
          <cell r="A3759"/>
        </row>
        <row r="3760">
          <cell r="A3760"/>
        </row>
        <row r="3761">
          <cell r="A3761"/>
        </row>
        <row r="3762">
          <cell r="A3762"/>
        </row>
        <row r="3763">
          <cell r="A3763"/>
        </row>
        <row r="3764">
          <cell r="A3764"/>
        </row>
        <row r="3765">
          <cell r="A3765"/>
        </row>
        <row r="3766">
          <cell r="A3766"/>
        </row>
        <row r="3767">
          <cell r="A3767"/>
        </row>
        <row r="3768">
          <cell r="A3768"/>
        </row>
        <row r="3769">
          <cell r="A3769"/>
        </row>
        <row r="3770">
          <cell r="A3770"/>
        </row>
        <row r="3771">
          <cell r="A3771"/>
        </row>
        <row r="3772">
          <cell r="A3772"/>
        </row>
        <row r="3773">
          <cell r="A3773"/>
        </row>
        <row r="3774">
          <cell r="A3774"/>
        </row>
        <row r="3775">
          <cell r="A3775"/>
        </row>
        <row r="3776">
          <cell r="A3776"/>
        </row>
        <row r="3777">
          <cell r="A3777"/>
        </row>
        <row r="3778">
          <cell r="A3778"/>
        </row>
        <row r="3779">
          <cell r="A3779"/>
        </row>
        <row r="3780">
          <cell r="A3780"/>
        </row>
        <row r="3781">
          <cell r="A3781"/>
        </row>
        <row r="3782">
          <cell r="A3782"/>
        </row>
        <row r="3783">
          <cell r="A3783"/>
        </row>
        <row r="3784">
          <cell r="A3784"/>
        </row>
        <row r="3785">
          <cell r="A3785"/>
        </row>
        <row r="3786">
          <cell r="A3786"/>
        </row>
        <row r="3787">
          <cell r="A3787"/>
        </row>
        <row r="3788">
          <cell r="A3788"/>
        </row>
        <row r="3789">
          <cell r="A3789"/>
        </row>
        <row r="3790">
          <cell r="A3790"/>
        </row>
        <row r="3791">
          <cell r="A3791"/>
        </row>
        <row r="3792">
          <cell r="A3792"/>
        </row>
        <row r="3793">
          <cell r="A3793"/>
        </row>
        <row r="3794">
          <cell r="A3794"/>
        </row>
        <row r="3795">
          <cell r="A3795"/>
        </row>
        <row r="3796">
          <cell r="A3796"/>
        </row>
        <row r="3797">
          <cell r="A3797"/>
        </row>
        <row r="3798">
          <cell r="A3798"/>
        </row>
        <row r="3799">
          <cell r="A3799"/>
        </row>
        <row r="3800">
          <cell r="A3800"/>
        </row>
        <row r="3801">
          <cell r="A3801"/>
        </row>
        <row r="3802">
          <cell r="A3802"/>
        </row>
        <row r="3803">
          <cell r="A3803"/>
        </row>
        <row r="3804">
          <cell r="A3804"/>
        </row>
        <row r="3805">
          <cell r="A3805"/>
        </row>
        <row r="3806">
          <cell r="A3806"/>
        </row>
        <row r="3807">
          <cell r="A3807"/>
        </row>
        <row r="3808">
          <cell r="A3808"/>
        </row>
        <row r="3809">
          <cell r="A3809"/>
        </row>
        <row r="3810">
          <cell r="A3810"/>
        </row>
        <row r="3811">
          <cell r="A3811"/>
        </row>
        <row r="3812">
          <cell r="A3812"/>
        </row>
        <row r="3813">
          <cell r="A3813"/>
        </row>
        <row r="3814">
          <cell r="A3814"/>
        </row>
        <row r="3815">
          <cell r="A3815"/>
        </row>
        <row r="3816">
          <cell r="A3816"/>
        </row>
        <row r="3817">
          <cell r="A3817"/>
        </row>
        <row r="3818">
          <cell r="A3818"/>
        </row>
        <row r="3819">
          <cell r="A3819"/>
        </row>
        <row r="3820">
          <cell r="A3820"/>
        </row>
        <row r="3821">
          <cell r="A3821"/>
        </row>
        <row r="3822">
          <cell r="A3822"/>
        </row>
        <row r="3823">
          <cell r="A3823"/>
        </row>
        <row r="3824">
          <cell r="A3824"/>
        </row>
        <row r="3825">
          <cell r="A3825"/>
        </row>
        <row r="3826">
          <cell r="A3826"/>
        </row>
        <row r="3827">
          <cell r="A3827"/>
        </row>
        <row r="3828">
          <cell r="A3828"/>
        </row>
        <row r="3829">
          <cell r="A3829"/>
        </row>
        <row r="3830">
          <cell r="A3830"/>
        </row>
        <row r="3831">
          <cell r="A3831"/>
        </row>
        <row r="3832">
          <cell r="A3832"/>
        </row>
        <row r="3833">
          <cell r="A3833"/>
        </row>
        <row r="3834">
          <cell r="A3834"/>
        </row>
        <row r="3835">
          <cell r="A3835"/>
        </row>
        <row r="3836">
          <cell r="A3836"/>
        </row>
        <row r="3837">
          <cell r="A3837"/>
        </row>
        <row r="3838">
          <cell r="A3838"/>
        </row>
        <row r="3839">
          <cell r="A3839"/>
        </row>
        <row r="3840">
          <cell r="A3840"/>
        </row>
        <row r="3841">
          <cell r="A3841"/>
        </row>
        <row r="3842">
          <cell r="A3842"/>
        </row>
        <row r="3843">
          <cell r="A3843"/>
        </row>
        <row r="3844">
          <cell r="A3844"/>
        </row>
        <row r="3845">
          <cell r="A3845"/>
        </row>
        <row r="3846">
          <cell r="A3846"/>
        </row>
        <row r="3847">
          <cell r="A3847"/>
        </row>
        <row r="3848">
          <cell r="A3848"/>
        </row>
        <row r="3849">
          <cell r="A3849"/>
        </row>
        <row r="3850">
          <cell r="A3850"/>
        </row>
        <row r="3851">
          <cell r="A3851"/>
        </row>
        <row r="3852">
          <cell r="A3852"/>
        </row>
        <row r="3853">
          <cell r="A3853"/>
        </row>
        <row r="3854">
          <cell r="A3854"/>
        </row>
        <row r="3855">
          <cell r="A3855"/>
        </row>
        <row r="3856">
          <cell r="A3856"/>
        </row>
        <row r="3857">
          <cell r="A3857"/>
        </row>
        <row r="3858">
          <cell r="A3858"/>
        </row>
        <row r="3859">
          <cell r="A3859"/>
        </row>
        <row r="3860">
          <cell r="A3860"/>
        </row>
        <row r="3861">
          <cell r="A3861"/>
        </row>
        <row r="3862">
          <cell r="A3862"/>
        </row>
        <row r="3863">
          <cell r="A3863"/>
        </row>
        <row r="3864">
          <cell r="A3864"/>
        </row>
        <row r="3865">
          <cell r="A3865"/>
        </row>
        <row r="3866">
          <cell r="A3866"/>
        </row>
        <row r="3867">
          <cell r="A3867"/>
        </row>
        <row r="3868">
          <cell r="A3868"/>
        </row>
        <row r="3869">
          <cell r="A3869"/>
        </row>
        <row r="3870">
          <cell r="A3870"/>
        </row>
        <row r="3871">
          <cell r="A3871"/>
        </row>
        <row r="3872">
          <cell r="A3872"/>
        </row>
        <row r="3873">
          <cell r="A3873"/>
        </row>
        <row r="3874">
          <cell r="A3874"/>
        </row>
        <row r="3875">
          <cell r="A3875"/>
        </row>
        <row r="3876">
          <cell r="A3876"/>
        </row>
        <row r="3877">
          <cell r="A3877"/>
        </row>
        <row r="3878">
          <cell r="A3878"/>
        </row>
        <row r="3879">
          <cell r="A3879"/>
        </row>
        <row r="3880">
          <cell r="A3880"/>
        </row>
        <row r="3881">
          <cell r="A3881"/>
        </row>
        <row r="3882">
          <cell r="A3882"/>
        </row>
        <row r="3883">
          <cell r="A3883"/>
        </row>
        <row r="3884">
          <cell r="A3884"/>
        </row>
        <row r="3885">
          <cell r="A3885"/>
        </row>
        <row r="3886">
          <cell r="A3886"/>
        </row>
        <row r="3887">
          <cell r="A3887"/>
        </row>
        <row r="3888">
          <cell r="A3888"/>
        </row>
        <row r="3889">
          <cell r="A3889"/>
        </row>
        <row r="3890">
          <cell r="A3890"/>
        </row>
        <row r="3891">
          <cell r="A3891"/>
        </row>
        <row r="3892">
          <cell r="A3892"/>
        </row>
        <row r="3893">
          <cell r="A3893"/>
        </row>
        <row r="3894">
          <cell r="A3894"/>
        </row>
        <row r="3895">
          <cell r="A3895"/>
        </row>
        <row r="3896">
          <cell r="A3896"/>
        </row>
        <row r="3897">
          <cell r="A3897"/>
        </row>
        <row r="3898">
          <cell r="A3898"/>
        </row>
        <row r="3899">
          <cell r="A3899"/>
        </row>
        <row r="3900">
          <cell r="A3900"/>
        </row>
        <row r="3901">
          <cell r="A3901"/>
        </row>
        <row r="3902">
          <cell r="A3902"/>
        </row>
        <row r="3903">
          <cell r="A3903"/>
        </row>
        <row r="3904">
          <cell r="A3904"/>
        </row>
        <row r="3905">
          <cell r="A3905"/>
        </row>
        <row r="3906">
          <cell r="A3906"/>
        </row>
        <row r="3907">
          <cell r="A3907"/>
        </row>
        <row r="3908">
          <cell r="A3908"/>
        </row>
        <row r="3909">
          <cell r="A3909"/>
        </row>
        <row r="3910">
          <cell r="A3910"/>
        </row>
        <row r="3911">
          <cell r="A3911"/>
        </row>
        <row r="3912">
          <cell r="A3912"/>
        </row>
        <row r="3913">
          <cell r="A3913"/>
        </row>
        <row r="3914">
          <cell r="A3914"/>
        </row>
        <row r="3915">
          <cell r="A3915"/>
        </row>
        <row r="3916">
          <cell r="A3916"/>
        </row>
        <row r="3917">
          <cell r="A3917"/>
        </row>
        <row r="3918">
          <cell r="A3918"/>
        </row>
        <row r="3919">
          <cell r="A3919"/>
        </row>
        <row r="3920">
          <cell r="A3920"/>
        </row>
        <row r="3921">
          <cell r="A3921"/>
        </row>
        <row r="3922">
          <cell r="A3922"/>
        </row>
        <row r="3923">
          <cell r="A3923"/>
        </row>
        <row r="3924">
          <cell r="A3924"/>
        </row>
        <row r="3925">
          <cell r="A3925"/>
        </row>
        <row r="3926">
          <cell r="A3926"/>
        </row>
        <row r="3927">
          <cell r="A3927"/>
        </row>
        <row r="3928">
          <cell r="A3928"/>
        </row>
        <row r="3929">
          <cell r="A3929"/>
        </row>
        <row r="3930">
          <cell r="A3930"/>
        </row>
        <row r="3931">
          <cell r="A3931"/>
        </row>
        <row r="3932">
          <cell r="A3932"/>
        </row>
        <row r="3933">
          <cell r="A3933"/>
        </row>
        <row r="3934">
          <cell r="A3934"/>
        </row>
        <row r="3935">
          <cell r="A3935"/>
        </row>
        <row r="3936">
          <cell r="A3936"/>
        </row>
        <row r="3937">
          <cell r="A3937"/>
        </row>
        <row r="3938">
          <cell r="A3938"/>
        </row>
        <row r="3939">
          <cell r="A3939"/>
        </row>
        <row r="3940">
          <cell r="A3940"/>
        </row>
        <row r="3941">
          <cell r="A3941"/>
        </row>
        <row r="3942">
          <cell r="A3942"/>
        </row>
        <row r="3943">
          <cell r="A3943"/>
        </row>
        <row r="3944">
          <cell r="A3944"/>
        </row>
        <row r="3945">
          <cell r="A3945"/>
        </row>
        <row r="3946">
          <cell r="A3946"/>
        </row>
        <row r="3947">
          <cell r="A3947"/>
        </row>
        <row r="3948">
          <cell r="A3948"/>
        </row>
        <row r="3949">
          <cell r="A3949"/>
        </row>
        <row r="3950">
          <cell r="A3950"/>
        </row>
        <row r="3951">
          <cell r="A3951"/>
        </row>
        <row r="3952">
          <cell r="A3952"/>
        </row>
        <row r="3953">
          <cell r="A3953"/>
        </row>
        <row r="3954">
          <cell r="A3954"/>
        </row>
        <row r="3955">
          <cell r="A3955"/>
        </row>
        <row r="3956">
          <cell r="A3956"/>
        </row>
        <row r="3957">
          <cell r="A3957"/>
        </row>
        <row r="3958">
          <cell r="A3958"/>
        </row>
        <row r="3959">
          <cell r="A3959"/>
        </row>
        <row r="3960">
          <cell r="A3960"/>
        </row>
        <row r="3961">
          <cell r="A3961"/>
        </row>
        <row r="3962">
          <cell r="A3962"/>
        </row>
        <row r="3963">
          <cell r="A3963"/>
        </row>
        <row r="3964">
          <cell r="A3964"/>
        </row>
        <row r="3965">
          <cell r="A3965"/>
        </row>
        <row r="3966">
          <cell r="A3966"/>
        </row>
        <row r="3967">
          <cell r="A3967"/>
        </row>
        <row r="3968">
          <cell r="A3968"/>
        </row>
        <row r="3969">
          <cell r="A3969"/>
        </row>
        <row r="3970">
          <cell r="A3970"/>
        </row>
        <row r="3971">
          <cell r="A3971"/>
        </row>
        <row r="3972">
          <cell r="A3972"/>
        </row>
        <row r="3973">
          <cell r="A3973"/>
        </row>
        <row r="3974">
          <cell r="A3974"/>
        </row>
        <row r="3975">
          <cell r="A3975"/>
        </row>
        <row r="3976">
          <cell r="A3976"/>
        </row>
        <row r="3977">
          <cell r="A3977"/>
        </row>
        <row r="3978">
          <cell r="A3978"/>
        </row>
        <row r="3979">
          <cell r="A3979"/>
        </row>
        <row r="3980">
          <cell r="A3980"/>
        </row>
        <row r="3981">
          <cell r="A3981"/>
        </row>
        <row r="3982">
          <cell r="A3982"/>
        </row>
        <row r="3983">
          <cell r="A3983"/>
        </row>
        <row r="3984">
          <cell r="A3984"/>
        </row>
        <row r="3985">
          <cell r="A3985"/>
        </row>
        <row r="3986">
          <cell r="A3986"/>
        </row>
        <row r="3987">
          <cell r="A3987"/>
        </row>
        <row r="3988">
          <cell r="A3988"/>
        </row>
        <row r="3989">
          <cell r="A3989"/>
        </row>
        <row r="3990">
          <cell r="A3990"/>
        </row>
        <row r="3991">
          <cell r="A3991"/>
        </row>
        <row r="3992">
          <cell r="A3992"/>
        </row>
        <row r="3993">
          <cell r="A3993"/>
        </row>
        <row r="3994">
          <cell r="A3994"/>
        </row>
        <row r="3995">
          <cell r="A3995"/>
        </row>
        <row r="3996">
          <cell r="A3996"/>
        </row>
        <row r="3997">
          <cell r="A3997"/>
        </row>
        <row r="3998">
          <cell r="A3998"/>
        </row>
        <row r="3999">
          <cell r="A3999"/>
        </row>
        <row r="4000">
          <cell r="A4000"/>
        </row>
        <row r="4001">
          <cell r="A4001"/>
        </row>
        <row r="4002">
          <cell r="A4002"/>
        </row>
        <row r="4003">
          <cell r="A4003"/>
        </row>
        <row r="4004">
          <cell r="A4004"/>
        </row>
        <row r="4005">
          <cell r="A4005"/>
        </row>
        <row r="4006">
          <cell r="A4006"/>
        </row>
        <row r="4007">
          <cell r="A4007"/>
        </row>
        <row r="4008">
          <cell r="A4008"/>
        </row>
        <row r="4009">
          <cell r="A4009"/>
        </row>
        <row r="4010">
          <cell r="A4010"/>
        </row>
        <row r="4011">
          <cell r="A4011"/>
        </row>
        <row r="4012">
          <cell r="A4012"/>
        </row>
        <row r="4013">
          <cell r="A4013"/>
        </row>
        <row r="4014">
          <cell r="A4014"/>
        </row>
        <row r="4015">
          <cell r="A4015"/>
        </row>
        <row r="4016">
          <cell r="A4016"/>
        </row>
        <row r="4017">
          <cell r="A4017"/>
        </row>
        <row r="4018">
          <cell r="A4018"/>
        </row>
        <row r="4019">
          <cell r="A4019"/>
        </row>
        <row r="4020">
          <cell r="A4020"/>
        </row>
        <row r="4021">
          <cell r="A4021"/>
        </row>
        <row r="4022">
          <cell r="A4022"/>
        </row>
        <row r="4023">
          <cell r="A4023"/>
        </row>
        <row r="4024">
          <cell r="A4024"/>
        </row>
        <row r="4025">
          <cell r="A4025"/>
        </row>
        <row r="4026">
          <cell r="A4026"/>
        </row>
        <row r="4027">
          <cell r="A4027"/>
        </row>
        <row r="4028">
          <cell r="A4028"/>
        </row>
        <row r="4029">
          <cell r="A4029"/>
        </row>
        <row r="4030">
          <cell r="A4030"/>
        </row>
        <row r="4031">
          <cell r="A4031"/>
        </row>
        <row r="4032">
          <cell r="A4032"/>
        </row>
        <row r="4033">
          <cell r="A4033"/>
        </row>
        <row r="4034">
          <cell r="A4034"/>
        </row>
        <row r="4035">
          <cell r="A4035"/>
        </row>
        <row r="4036">
          <cell r="A4036"/>
        </row>
        <row r="4037">
          <cell r="A4037"/>
        </row>
        <row r="4038">
          <cell r="A4038"/>
        </row>
        <row r="4039">
          <cell r="A4039"/>
        </row>
        <row r="4040">
          <cell r="A4040"/>
        </row>
        <row r="4041">
          <cell r="A4041"/>
        </row>
        <row r="4042">
          <cell r="A4042"/>
        </row>
        <row r="4043">
          <cell r="A4043"/>
        </row>
        <row r="4044">
          <cell r="A4044"/>
        </row>
        <row r="4045">
          <cell r="A4045"/>
        </row>
        <row r="4046">
          <cell r="A4046"/>
        </row>
        <row r="4047">
          <cell r="A4047"/>
        </row>
        <row r="4048">
          <cell r="A4048"/>
        </row>
        <row r="4049">
          <cell r="A4049"/>
        </row>
        <row r="4050">
          <cell r="A4050"/>
        </row>
        <row r="4051">
          <cell r="A4051"/>
        </row>
        <row r="4052">
          <cell r="A4052"/>
        </row>
        <row r="4053">
          <cell r="A4053"/>
        </row>
        <row r="4054">
          <cell r="A4054"/>
        </row>
        <row r="4055">
          <cell r="A4055"/>
        </row>
        <row r="4056">
          <cell r="A4056"/>
        </row>
        <row r="4057">
          <cell r="A4057"/>
        </row>
        <row r="4058">
          <cell r="A4058"/>
        </row>
        <row r="4059">
          <cell r="A4059"/>
        </row>
        <row r="4060">
          <cell r="A4060"/>
        </row>
        <row r="4061">
          <cell r="A4061"/>
        </row>
        <row r="4062">
          <cell r="A4062"/>
        </row>
        <row r="4063">
          <cell r="A4063"/>
        </row>
        <row r="4064">
          <cell r="A4064"/>
        </row>
        <row r="4065">
          <cell r="A4065"/>
        </row>
        <row r="4066">
          <cell r="A4066"/>
        </row>
        <row r="4067">
          <cell r="A4067"/>
        </row>
        <row r="4068">
          <cell r="A4068"/>
        </row>
        <row r="4069">
          <cell r="A4069"/>
        </row>
        <row r="4070">
          <cell r="A4070"/>
        </row>
        <row r="4071">
          <cell r="A4071"/>
        </row>
        <row r="4072">
          <cell r="A4072"/>
        </row>
        <row r="4073">
          <cell r="A4073"/>
        </row>
        <row r="4074">
          <cell r="A4074"/>
        </row>
        <row r="4075">
          <cell r="A4075"/>
        </row>
        <row r="4076">
          <cell r="A4076"/>
        </row>
        <row r="4077">
          <cell r="A4077"/>
        </row>
        <row r="4078">
          <cell r="A4078"/>
        </row>
        <row r="4079">
          <cell r="A4079"/>
        </row>
        <row r="4080">
          <cell r="A4080"/>
        </row>
        <row r="4081">
          <cell r="A4081"/>
        </row>
        <row r="4082">
          <cell r="A4082"/>
        </row>
        <row r="4083">
          <cell r="A4083"/>
        </row>
        <row r="4084">
          <cell r="A4084"/>
        </row>
        <row r="4085">
          <cell r="A4085"/>
        </row>
        <row r="4086">
          <cell r="A4086"/>
        </row>
        <row r="4087">
          <cell r="A4087"/>
        </row>
        <row r="4088">
          <cell r="A4088"/>
        </row>
        <row r="4089">
          <cell r="A4089"/>
        </row>
        <row r="4090">
          <cell r="A4090"/>
        </row>
        <row r="4091">
          <cell r="A4091"/>
        </row>
        <row r="4092">
          <cell r="A4092"/>
        </row>
        <row r="4093">
          <cell r="A4093"/>
        </row>
        <row r="4094">
          <cell r="A4094"/>
        </row>
        <row r="4095">
          <cell r="A4095"/>
        </row>
        <row r="4096">
          <cell r="A4096"/>
        </row>
        <row r="4097">
          <cell r="A4097"/>
        </row>
        <row r="4098">
          <cell r="A4098"/>
        </row>
        <row r="4099">
          <cell r="A4099"/>
        </row>
        <row r="4100">
          <cell r="A4100"/>
        </row>
        <row r="4101">
          <cell r="A4101"/>
        </row>
        <row r="4102">
          <cell r="A4102"/>
        </row>
        <row r="4103">
          <cell r="A4103"/>
        </row>
        <row r="4104">
          <cell r="A4104"/>
        </row>
        <row r="4105">
          <cell r="A4105"/>
        </row>
        <row r="4106">
          <cell r="A4106"/>
        </row>
        <row r="4107">
          <cell r="A4107"/>
        </row>
        <row r="4108">
          <cell r="A4108"/>
        </row>
        <row r="4109">
          <cell r="A4109"/>
        </row>
        <row r="4110">
          <cell r="A4110"/>
        </row>
        <row r="4111">
          <cell r="A4111"/>
        </row>
        <row r="4112">
          <cell r="A4112"/>
        </row>
        <row r="4113">
          <cell r="A4113"/>
        </row>
        <row r="4114">
          <cell r="A4114"/>
        </row>
        <row r="4115">
          <cell r="A4115"/>
        </row>
        <row r="4116">
          <cell r="A4116"/>
        </row>
        <row r="4117">
          <cell r="A4117"/>
        </row>
        <row r="4118">
          <cell r="A4118"/>
        </row>
        <row r="4119">
          <cell r="A4119"/>
        </row>
        <row r="4120">
          <cell r="A4120"/>
        </row>
        <row r="4121">
          <cell r="A4121"/>
        </row>
        <row r="4122">
          <cell r="A4122"/>
        </row>
        <row r="4123">
          <cell r="A4123"/>
        </row>
        <row r="4124">
          <cell r="A4124"/>
        </row>
        <row r="4125">
          <cell r="A4125"/>
        </row>
        <row r="4126">
          <cell r="A4126"/>
        </row>
        <row r="4127">
          <cell r="A4127"/>
        </row>
        <row r="4128">
          <cell r="A4128"/>
        </row>
        <row r="4129">
          <cell r="A4129"/>
        </row>
        <row r="4130">
          <cell r="A4130"/>
        </row>
        <row r="4131">
          <cell r="A4131"/>
        </row>
        <row r="4132">
          <cell r="A4132"/>
        </row>
        <row r="4133">
          <cell r="A4133"/>
        </row>
        <row r="4134">
          <cell r="A4134"/>
        </row>
        <row r="4135">
          <cell r="A4135"/>
        </row>
        <row r="4136">
          <cell r="A4136"/>
        </row>
        <row r="4137">
          <cell r="A4137"/>
        </row>
        <row r="4138">
          <cell r="A4138"/>
        </row>
        <row r="4139">
          <cell r="A4139"/>
        </row>
        <row r="4140">
          <cell r="A4140"/>
        </row>
        <row r="4141">
          <cell r="A4141"/>
        </row>
        <row r="4142">
          <cell r="A4142"/>
        </row>
        <row r="4143">
          <cell r="A4143"/>
        </row>
        <row r="4144">
          <cell r="A4144"/>
        </row>
        <row r="4145">
          <cell r="A4145"/>
        </row>
        <row r="4146">
          <cell r="A4146"/>
        </row>
        <row r="4147">
          <cell r="A4147"/>
        </row>
        <row r="4148">
          <cell r="A4148"/>
        </row>
        <row r="4149">
          <cell r="A4149"/>
        </row>
        <row r="4150">
          <cell r="A4150"/>
        </row>
        <row r="4151">
          <cell r="A4151"/>
        </row>
        <row r="4152">
          <cell r="A4152"/>
        </row>
        <row r="4153">
          <cell r="A4153"/>
        </row>
        <row r="4154">
          <cell r="A4154"/>
        </row>
        <row r="4155">
          <cell r="A4155"/>
        </row>
        <row r="4156">
          <cell r="A4156"/>
        </row>
        <row r="4157">
          <cell r="A4157"/>
        </row>
        <row r="4158">
          <cell r="A4158"/>
        </row>
        <row r="4159">
          <cell r="A4159"/>
        </row>
        <row r="4160">
          <cell r="A4160"/>
        </row>
        <row r="4161">
          <cell r="A4161"/>
        </row>
        <row r="4162">
          <cell r="A4162"/>
        </row>
        <row r="4163">
          <cell r="A4163"/>
        </row>
        <row r="4164">
          <cell r="A4164"/>
        </row>
        <row r="4165">
          <cell r="A4165"/>
        </row>
        <row r="4166">
          <cell r="A4166"/>
        </row>
        <row r="4167">
          <cell r="A4167"/>
        </row>
        <row r="4168">
          <cell r="A4168"/>
        </row>
        <row r="4169">
          <cell r="A4169"/>
        </row>
        <row r="4170">
          <cell r="A4170"/>
        </row>
        <row r="4171">
          <cell r="A4171"/>
        </row>
        <row r="4172">
          <cell r="A4172"/>
        </row>
        <row r="4173">
          <cell r="A4173"/>
        </row>
        <row r="4174">
          <cell r="A4174"/>
        </row>
        <row r="4175">
          <cell r="A4175"/>
        </row>
        <row r="4176">
          <cell r="A4176"/>
        </row>
        <row r="4177">
          <cell r="A4177"/>
        </row>
        <row r="4178">
          <cell r="A4178"/>
        </row>
        <row r="4179">
          <cell r="A4179"/>
        </row>
        <row r="4180">
          <cell r="A4180"/>
        </row>
        <row r="4181">
          <cell r="A4181"/>
        </row>
        <row r="4182">
          <cell r="A4182"/>
        </row>
        <row r="4183">
          <cell r="A4183"/>
        </row>
        <row r="4184">
          <cell r="A4184"/>
        </row>
        <row r="4185">
          <cell r="A4185"/>
        </row>
        <row r="4186">
          <cell r="A4186"/>
        </row>
        <row r="4187">
          <cell r="A4187"/>
        </row>
        <row r="4188">
          <cell r="A4188"/>
        </row>
        <row r="4189">
          <cell r="A4189"/>
        </row>
        <row r="4190">
          <cell r="A4190"/>
        </row>
        <row r="4191">
          <cell r="A4191"/>
        </row>
        <row r="4192">
          <cell r="A4192"/>
        </row>
        <row r="4193">
          <cell r="A4193"/>
        </row>
        <row r="4194">
          <cell r="A4194"/>
        </row>
        <row r="4195">
          <cell r="A4195"/>
        </row>
        <row r="4196">
          <cell r="A4196"/>
        </row>
        <row r="4197">
          <cell r="A4197"/>
        </row>
        <row r="4198">
          <cell r="A4198"/>
        </row>
        <row r="4199">
          <cell r="A4199"/>
        </row>
        <row r="4200">
          <cell r="A4200"/>
        </row>
        <row r="4201">
          <cell r="A4201"/>
        </row>
        <row r="4202">
          <cell r="A4202"/>
        </row>
        <row r="4203">
          <cell r="A4203"/>
        </row>
        <row r="4204">
          <cell r="A4204"/>
        </row>
        <row r="4205">
          <cell r="A4205"/>
        </row>
        <row r="4206">
          <cell r="A4206"/>
        </row>
        <row r="4207">
          <cell r="A4207"/>
        </row>
        <row r="4208">
          <cell r="A4208"/>
        </row>
        <row r="4209">
          <cell r="A4209"/>
        </row>
        <row r="4210">
          <cell r="A4210"/>
        </row>
        <row r="4211">
          <cell r="A4211"/>
        </row>
        <row r="4212">
          <cell r="A4212"/>
        </row>
        <row r="4213">
          <cell r="A4213"/>
        </row>
        <row r="4214">
          <cell r="A4214"/>
        </row>
        <row r="4215">
          <cell r="A4215"/>
        </row>
        <row r="4216">
          <cell r="A4216"/>
        </row>
        <row r="4217">
          <cell r="A4217"/>
        </row>
        <row r="4218">
          <cell r="A4218"/>
        </row>
        <row r="4219">
          <cell r="A4219"/>
        </row>
        <row r="4220">
          <cell r="A4220"/>
        </row>
        <row r="4221">
          <cell r="A4221"/>
        </row>
        <row r="4222">
          <cell r="A4222"/>
        </row>
        <row r="4223">
          <cell r="A4223"/>
        </row>
        <row r="4224">
          <cell r="A4224"/>
        </row>
        <row r="4225">
          <cell r="A4225"/>
        </row>
        <row r="4226">
          <cell r="A4226"/>
        </row>
        <row r="4227">
          <cell r="A4227"/>
        </row>
        <row r="4228">
          <cell r="A4228"/>
        </row>
        <row r="4229">
          <cell r="A4229"/>
        </row>
        <row r="4230">
          <cell r="A4230"/>
        </row>
        <row r="4231">
          <cell r="A4231"/>
        </row>
        <row r="4232">
          <cell r="A4232"/>
        </row>
        <row r="4233">
          <cell r="A4233"/>
        </row>
        <row r="4234">
          <cell r="A4234"/>
        </row>
        <row r="4235">
          <cell r="A4235"/>
        </row>
        <row r="4236">
          <cell r="A4236"/>
        </row>
        <row r="4237">
          <cell r="A4237"/>
        </row>
        <row r="4238">
          <cell r="A4238"/>
        </row>
        <row r="4239">
          <cell r="A4239"/>
        </row>
        <row r="4240">
          <cell r="A4240"/>
        </row>
        <row r="4241">
          <cell r="A4241"/>
        </row>
        <row r="4242">
          <cell r="A4242"/>
        </row>
        <row r="4243">
          <cell r="A4243"/>
        </row>
        <row r="4244">
          <cell r="A4244"/>
        </row>
        <row r="4245">
          <cell r="A4245"/>
        </row>
        <row r="4246">
          <cell r="A4246"/>
        </row>
        <row r="4247">
          <cell r="A4247"/>
        </row>
        <row r="4248">
          <cell r="A4248"/>
        </row>
        <row r="4249">
          <cell r="A4249"/>
        </row>
        <row r="4250">
          <cell r="A4250"/>
        </row>
        <row r="4251">
          <cell r="A4251"/>
        </row>
        <row r="4252">
          <cell r="A4252"/>
        </row>
        <row r="4253">
          <cell r="A4253"/>
        </row>
        <row r="4254">
          <cell r="A4254"/>
        </row>
        <row r="4255">
          <cell r="A4255"/>
        </row>
        <row r="4256">
          <cell r="A4256"/>
        </row>
        <row r="4257">
          <cell r="A4257"/>
        </row>
        <row r="4258">
          <cell r="A4258"/>
        </row>
        <row r="4259">
          <cell r="A4259"/>
        </row>
        <row r="4260">
          <cell r="A4260"/>
        </row>
        <row r="4261">
          <cell r="A4261"/>
        </row>
        <row r="4262">
          <cell r="A4262"/>
        </row>
        <row r="4263">
          <cell r="A4263"/>
        </row>
        <row r="4264">
          <cell r="A4264"/>
        </row>
        <row r="4265">
          <cell r="A4265"/>
        </row>
        <row r="4266">
          <cell r="A4266"/>
        </row>
        <row r="4267">
          <cell r="A4267"/>
        </row>
        <row r="4268">
          <cell r="A4268"/>
        </row>
        <row r="4269">
          <cell r="A4269"/>
        </row>
        <row r="4270">
          <cell r="A4270"/>
        </row>
        <row r="4271">
          <cell r="A4271"/>
        </row>
        <row r="4272">
          <cell r="A4272"/>
        </row>
        <row r="4273">
          <cell r="A4273"/>
        </row>
        <row r="4274">
          <cell r="A4274"/>
        </row>
        <row r="4275">
          <cell r="A4275"/>
        </row>
        <row r="4276">
          <cell r="A4276"/>
        </row>
        <row r="4277">
          <cell r="A4277"/>
        </row>
        <row r="4278">
          <cell r="A4278"/>
        </row>
        <row r="4279">
          <cell r="A4279"/>
        </row>
        <row r="4280">
          <cell r="A4280"/>
        </row>
        <row r="4281">
          <cell r="A4281"/>
        </row>
        <row r="4282">
          <cell r="A4282"/>
        </row>
        <row r="4283">
          <cell r="A4283"/>
        </row>
        <row r="4284">
          <cell r="A4284"/>
        </row>
        <row r="4285">
          <cell r="A4285"/>
        </row>
        <row r="4286">
          <cell r="A4286"/>
        </row>
        <row r="4287">
          <cell r="A4287"/>
        </row>
        <row r="4288">
          <cell r="A4288"/>
        </row>
        <row r="4289">
          <cell r="A4289"/>
        </row>
        <row r="4290">
          <cell r="A4290"/>
        </row>
        <row r="4291">
          <cell r="A4291"/>
        </row>
        <row r="4292">
          <cell r="A4292"/>
        </row>
        <row r="4293">
          <cell r="A4293"/>
        </row>
        <row r="4294">
          <cell r="A4294"/>
        </row>
        <row r="4295">
          <cell r="A4295"/>
        </row>
        <row r="4296">
          <cell r="A4296"/>
        </row>
        <row r="4297">
          <cell r="A4297"/>
        </row>
        <row r="4298">
          <cell r="A4298"/>
        </row>
        <row r="4299">
          <cell r="A4299"/>
        </row>
        <row r="4300">
          <cell r="A4300"/>
        </row>
        <row r="4301">
          <cell r="A4301"/>
        </row>
        <row r="4302">
          <cell r="A4302"/>
        </row>
        <row r="4303">
          <cell r="A4303"/>
        </row>
        <row r="4304">
          <cell r="A4304"/>
        </row>
        <row r="4305">
          <cell r="A4305"/>
        </row>
        <row r="4306">
          <cell r="A4306"/>
        </row>
        <row r="4307">
          <cell r="A4307"/>
        </row>
        <row r="4308">
          <cell r="A4308"/>
        </row>
        <row r="4309">
          <cell r="A4309"/>
        </row>
        <row r="4310">
          <cell r="A4310"/>
        </row>
        <row r="4311">
          <cell r="A4311"/>
        </row>
        <row r="4312">
          <cell r="A4312"/>
        </row>
        <row r="4313">
          <cell r="A4313"/>
        </row>
        <row r="4314">
          <cell r="A4314"/>
        </row>
        <row r="4315">
          <cell r="A4315"/>
        </row>
        <row r="4316">
          <cell r="A4316"/>
        </row>
        <row r="4317">
          <cell r="A4317"/>
        </row>
        <row r="4318">
          <cell r="A4318"/>
        </row>
        <row r="4319">
          <cell r="A4319"/>
        </row>
        <row r="4320">
          <cell r="A4320"/>
        </row>
        <row r="4321">
          <cell r="A4321"/>
        </row>
        <row r="4322">
          <cell r="A4322"/>
        </row>
        <row r="4323">
          <cell r="A4323"/>
        </row>
        <row r="4324">
          <cell r="A4324"/>
        </row>
        <row r="4325">
          <cell r="A4325"/>
        </row>
        <row r="4326">
          <cell r="A4326"/>
        </row>
        <row r="4327">
          <cell r="A4327"/>
        </row>
        <row r="4328">
          <cell r="A4328"/>
        </row>
        <row r="4329">
          <cell r="A4329"/>
        </row>
        <row r="4330">
          <cell r="A4330"/>
        </row>
        <row r="4331">
          <cell r="A4331"/>
        </row>
        <row r="4332">
          <cell r="A4332"/>
        </row>
        <row r="4333">
          <cell r="A4333"/>
        </row>
        <row r="4334">
          <cell r="A4334"/>
        </row>
        <row r="4335">
          <cell r="A4335"/>
        </row>
        <row r="4336">
          <cell r="A4336"/>
        </row>
        <row r="4337">
          <cell r="A4337"/>
        </row>
        <row r="4338">
          <cell r="A4338"/>
        </row>
        <row r="4339">
          <cell r="A4339"/>
        </row>
        <row r="4340">
          <cell r="A4340"/>
        </row>
        <row r="4341">
          <cell r="A4341"/>
        </row>
        <row r="4342">
          <cell r="A4342"/>
        </row>
        <row r="4343">
          <cell r="A4343"/>
        </row>
        <row r="4344">
          <cell r="A4344"/>
        </row>
        <row r="4345">
          <cell r="A4345"/>
        </row>
        <row r="4346">
          <cell r="A4346"/>
        </row>
        <row r="4347">
          <cell r="A4347"/>
        </row>
        <row r="4348">
          <cell r="A4348"/>
        </row>
        <row r="4349">
          <cell r="A4349"/>
        </row>
        <row r="4350">
          <cell r="A4350"/>
        </row>
        <row r="4351">
          <cell r="A4351"/>
        </row>
        <row r="4352">
          <cell r="A4352"/>
        </row>
        <row r="4353">
          <cell r="A4353"/>
        </row>
        <row r="4354">
          <cell r="A4354"/>
        </row>
        <row r="4355">
          <cell r="A4355"/>
        </row>
        <row r="4356">
          <cell r="A4356"/>
        </row>
        <row r="4357">
          <cell r="A4357"/>
        </row>
        <row r="4358">
          <cell r="A4358"/>
        </row>
        <row r="4359">
          <cell r="A4359"/>
        </row>
        <row r="4360">
          <cell r="A4360"/>
        </row>
        <row r="4361">
          <cell r="A4361"/>
        </row>
        <row r="4362">
          <cell r="A4362"/>
        </row>
        <row r="4363">
          <cell r="A4363"/>
        </row>
        <row r="4364">
          <cell r="A4364"/>
        </row>
        <row r="4365">
          <cell r="A4365"/>
        </row>
        <row r="4366">
          <cell r="A4366"/>
        </row>
        <row r="4367">
          <cell r="A4367"/>
        </row>
        <row r="4368">
          <cell r="A4368"/>
        </row>
        <row r="4369">
          <cell r="A4369"/>
        </row>
        <row r="4370">
          <cell r="A4370"/>
        </row>
        <row r="4371">
          <cell r="A4371"/>
        </row>
        <row r="4372">
          <cell r="A4372"/>
        </row>
        <row r="4373">
          <cell r="A4373"/>
        </row>
        <row r="4374">
          <cell r="A4374"/>
        </row>
        <row r="4375">
          <cell r="A4375"/>
        </row>
        <row r="4376">
          <cell r="A4376"/>
        </row>
        <row r="4377">
          <cell r="A4377"/>
        </row>
        <row r="4378">
          <cell r="A4378"/>
        </row>
        <row r="4379">
          <cell r="A4379"/>
        </row>
        <row r="4380">
          <cell r="A4380"/>
        </row>
        <row r="4381">
          <cell r="A4381"/>
        </row>
        <row r="4382">
          <cell r="A4382"/>
        </row>
        <row r="4383">
          <cell r="A4383"/>
        </row>
        <row r="4384">
          <cell r="A4384"/>
        </row>
        <row r="4385">
          <cell r="A4385"/>
        </row>
        <row r="4386">
          <cell r="A4386"/>
        </row>
        <row r="4387">
          <cell r="A4387"/>
        </row>
        <row r="4388">
          <cell r="A4388"/>
        </row>
        <row r="4389">
          <cell r="A4389"/>
        </row>
        <row r="4390">
          <cell r="A4390"/>
        </row>
        <row r="4391">
          <cell r="A4391"/>
        </row>
        <row r="4392">
          <cell r="A4392"/>
        </row>
        <row r="4393">
          <cell r="A4393"/>
        </row>
        <row r="4394">
          <cell r="A4394"/>
        </row>
        <row r="4395">
          <cell r="A4395"/>
        </row>
        <row r="4396">
          <cell r="A4396"/>
        </row>
        <row r="4397">
          <cell r="A4397"/>
        </row>
        <row r="4398">
          <cell r="A4398"/>
        </row>
        <row r="4399">
          <cell r="A4399"/>
        </row>
        <row r="4400">
          <cell r="A4400"/>
        </row>
        <row r="4401">
          <cell r="A4401"/>
        </row>
        <row r="4402">
          <cell r="A4402"/>
        </row>
        <row r="4403">
          <cell r="A4403"/>
        </row>
        <row r="4404">
          <cell r="A4404"/>
        </row>
        <row r="4405">
          <cell r="A4405"/>
        </row>
        <row r="4406">
          <cell r="A4406"/>
        </row>
        <row r="4407">
          <cell r="A4407"/>
        </row>
        <row r="4408">
          <cell r="A4408"/>
        </row>
        <row r="4409">
          <cell r="A4409"/>
        </row>
        <row r="4410">
          <cell r="A4410"/>
        </row>
        <row r="4411">
          <cell r="A4411"/>
        </row>
        <row r="4412">
          <cell r="A4412"/>
        </row>
        <row r="4413">
          <cell r="A4413"/>
        </row>
        <row r="4414">
          <cell r="A4414"/>
        </row>
        <row r="4415">
          <cell r="A4415"/>
        </row>
        <row r="4416">
          <cell r="A4416"/>
        </row>
        <row r="4417">
          <cell r="A4417"/>
        </row>
        <row r="4418">
          <cell r="A4418"/>
        </row>
        <row r="4419">
          <cell r="A4419"/>
        </row>
        <row r="4420">
          <cell r="A4420"/>
        </row>
        <row r="4421">
          <cell r="A4421"/>
        </row>
        <row r="4422">
          <cell r="A4422"/>
        </row>
        <row r="4423">
          <cell r="A4423"/>
        </row>
        <row r="4424">
          <cell r="A4424"/>
        </row>
        <row r="4425">
          <cell r="A4425"/>
        </row>
        <row r="4426">
          <cell r="A4426"/>
        </row>
        <row r="4427">
          <cell r="A4427"/>
        </row>
        <row r="4428">
          <cell r="A4428"/>
        </row>
        <row r="4429">
          <cell r="A4429"/>
        </row>
        <row r="4430">
          <cell r="A4430"/>
        </row>
        <row r="4431">
          <cell r="A4431"/>
        </row>
        <row r="4432">
          <cell r="A4432"/>
        </row>
        <row r="4433">
          <cell r="A4433"/>
        </row>
        <row r="4434">
          <cell r="A4434"/>
        </row>
        <row r="4435">
          <cell r="A4435"/>
        </row>
        <row r="4436">
          <cell r="A4436"/>
        </row>
        <row r="4437">
          <cell r="A4437"/>
        </row>
        <row r="4438">
          <cell r="A4438"/>
        </row>
        <row r="4439">
          <cell r="A4439"/>
        </row>
        <row r="4440">
          <cell r="A4440"/>
        </row>
        <row r="4441">
          <cell r="A4441"/>
        </row>
        <row r="4442">
          <cell r="A4442"/>
        </row>
        <row r="4443">
          <cell r="A4443"/>
        </row>
        <row r="4444">
          <cell r="A4444"/>
        </row>
        <row r="4445">
          <cell r="A4445"/>
        </row>
        <row r="4446">
          <cell r="A4446"/>
        </row>
        <row r="4447">
          <cell r="A4447"/>
        </row>
        <row r="4448">
          <cell r="A4448"/>
        </row>
        <row r="4449">
          <cell r="A4449"/>
        </row>
        <row r="4450">
          <cell r="A4450"/>
        </row>
        <row r="4451">
          <cell r="A4451"/>
        </row>
        <row r="4452">
          <cell r="A4452"/>
        </row>
        <row r="4453">
          <cell r="A4453"/>
        </row>
        <row r="4454">
          <cell r="A4454"/>
        </row>
        <row r="4455">
          <cell r="A4455"/>
        </row>
        <row r="4456">
          <cell r="A4456"/>
        </row>
        <row r="4457">
          <cell r="A4457"/>
        </row>
        <row r="4458">
          <cell r="A4458"/>
        </row>
        <row r="4459">
          <cell r="A4459"/>
        </row>
        <row r="4460">
          <cell r="A4460"/>
        </row>
        <row r="4461">
          <cell r="A4461"/>
        </row>
        <row r="4462">
          <cell r="A4462"/>
        </row>
        <row r="4463">
          <cell r="A4463"/>
        </row>
        <row r="4464">
          <cell r="A4464"/>
        </row>
        <row r="4465">
          <cell r="A4465"/>
        </row>
        <row r="4466">
          <cell r="A4466"/>
        </row>
        <row r="4467">
          <cell r="A4467"/>
        </row>
        <row r="4468">
          <cell r="A4468"/>
        </row>
        <row r="4469">
          <cell r="A4469"/>
        </row>
        <row r="4470">
          <cell r="A4470"/>
        </row>
        <row r="4471">
          <cell r="A4471"/>
        </row>
        <row r="4472">
          <cell r="A4472"/>
        </row>
        <row r="4473">
          <cell r="A4473"/>
        </row>
        <row r="4474">
          <cell r="A4474"/>
        </row>
        <row r="4475">
          <cell r="A4475"/>
        </row>
        <row r="4476">
          <cell r="A4476"/>
        </row>
        <row r="4477">
          <cell r="A4477"/>
        </row>
        <row r="4478">
          <cell r="A4478"/>
        </row>
        <row r="4479">
          <cell r="A4479"/>
        </row>
        <row r="4480">
          <cell r="A4480"/>
        </row>
        <row r="4481">
          <cell r="A4481"/>
        </row>
        <row r="4482">
          <cell r="A4482"/>
        </row>
        <row r="4483">
          <cell r="A4483"/>
        </row>
        <row r="4484">
          <cell r="A4484"/>
        </row>
        <row r="4485">
          <cell r="A4485"/>
        </row>
        <row r="4486">
          <cell r="A4486"/>
        </row>
        <row r="4487">
          <cell r="A4487"/>
        </row>
        <row r="4488">
          <cell r="A4488"/>
        </row>
        <row r="4489">
          <cell r="A4489"/>
        </row>
        <row r="4490">
          <cell r="A4490"/>
        </row>
        <row r="4491">
          <cell r="A4491"/>
        </row>
        <row r="4492">
          <cell r="A4492"/>
        </row>
        <row r="4493">
          <cell r="A4493"/>
        </row>
        <row r="4494">
          <cell r="A4494"/>
        </row>
        <row r="4495">
          <cell r="A4495"/>
        </row>
        <row r="4496">
          <cell r="A4496"/>
        </row>
        <row r="4497">
          <cell r="A4497"/>
        </row>
        <row r="4498">
          <cell r="A4498"/>
        </row>
        <row r="4499">
          <cell r="A4499"/>
        </row>
        <row r="4500">
          <cell r="A4500"/>
        </row>
        <row r="4501">
          <cell r="A4501"/>
        </row>
        <row r="4502">
          <cell r="A4502"/>
        </row>
        <row r="4503">
          <cell r="A4503"/>
        </row>
        <row r="4504">
          <cell r="A4504"/>
        </row>
        <row r="4505">
          <cell r="A4505"/>
        </row>
        <row r="4506">
          <cell r="A4506"/>
        </row>
        <row r="4507">
          <cell r="A4507"/>
        </row>
        <row r="4508">
          <cell r="A4508"/>
        </row>
        <row r="4509">
          <cell r="A4509"/>
        </row>
        <row r="4510">
          <cell r="A4510"/>
        </row>
        <row r="4511">
          <cell r="A4511"/>
        </row>
        <row r="4512">
          <cell r="A4512"/>
        </row>
        <row r="4513">
          <cell r="A4513"/>
        </row>
        <row r="4514">
          <cell r="A4514"/>
        </row>
        <row r="4515">
          <cell r="A4515"/>
        </row>
        <row r="4516">
          <cell r="A4516"/>
        </row>
        <row r="4517">
          <cell r="A4517"/>
        </row>
        <row r="4518">
          <cell r="A4518"/>
        </row>
        <row r="4519">
          <cell r="A4519"/>
        </row>
        <row r="4520">
          <cell r="A4520"/>
        </row>
        <row r="4521">
          <cell r="A4521"/>
        </row>
        <row r="4522">
          <cell r="A4522"/>
        </row>
        <row r="4523">
          <cell r="A4523"/>
        </row>
        <row r="4524">
          <cell r="A4524"/>
        </row>
        <row r="4525">
          <cell r="A4525"/>
        </row>
        <row r="4526">
          <cell r="A4526"/>
        </row>
        <row r="4527">
          <cell r="A4527"/>
        </row>
        <row r="4528">
          <cell r="A4528"/>
        </row>
        <row r="4529">
          <cell r="A4529"/>
        </row>
        <row r="4530">
          <cell r="A4530"/>
        </row>
        <row r="4531">
          <cell r="A4531"/>
        </row>
        <row r="4532">
          <cell r="A4532"/>
        </row>
        <row r="4533">
          <cell r="A4533"/>
        </row>
        <row r="4534">
          <cell r="A4534"/>
        </row>
        <row r="4535">
          <cell r="A4535"/>
        </row>
        <row r="4536">
          <cell r="A4536"/>
        </row>
        <row r="4537">
          <cell r="A4537"/>
        </row>
        <row r="4538">
          <cell r="A4538"/>
        </row>
        <row r="4539">
          <cell r="A4539"/>
        </row>
        <row r="4540">
          <cell r="A4540"/>
        </row>
        <row r="4541">
          <cell r="A4541"/>
        </row>
        <row r="4542">
          <cell r="A4542"/>
        </row>
        <row r="4543">
          <cell r="A4543"/>
        </row>
        <row r="4544">
          <cell r="A4544"/>
        </row>
        <row r="4545">
          <cell r="A4545"/>
        </row>
        <row r="4546">
          <cell r="A4546"/>
        </row>
        <row r="4547">
          <cell r="A4547"/>
        </row>
        <row r="4548">
          <cell r="A4548"/>
        </row>
        <row r="4549">
          <cell r="A4549"/>
        </row>
        <row r="4550">
          <cell r="A4550"/>
        </row>
        <row r="4551">
          <cell r="A4551"/>
        </row>
        <row r="4552">
          <cell r="A4552"/>
        </row>
        <row r="4553">
          <cell r="A4553"/>
        </row>
        <row r="4554">
          <cell r="A4554"/>
        </row>
        <row r="4555">
          <cell r="A4555"/>
        </row>
        <row r="4556">
          <cell r="A4556"/>
        </row>
        <row r="4557">
          <cell r="A4557"/>
        </row>
        <row r="4558">
          <cell r="A4558"/>
        </row>
        <row r="4559">
          <cell r="A4559"/>
        </row>
        <row r="4560">
          <cell r="A4560"/>
        </row>
        <row r="4561">
          <cell r="A4561"/>
        </row>
        <row r="4562">
          <cell r="A4562"/>
        </row>
        <row r="4563">
          <cell r="A4563"/>
        </row>
        <row r="4564">
          <cell r="A4564"/>
        </row>
        <row r="4565">
          <cell r="A4565"/>
        </row>
        <row r="4566">
          <cell r="A4566"/>
        </row>
        <row r="4567">
          <cell r="A4567"/>
        </row>
        <row r="4568">
          <cell r="A4568"/>
        </row>
        <row r="4569">
          <cell r="A4569"/>
        </row>
        <row r="4570">
          <cell r="A4570"/>
        </row>
        <row r="4571">
          <cell r="A4571"/>
        </row>
        <row r="4572">
          <cell r="A4572"/>
        </row>
        <row r="4573">
          <cell r="A4573"/>
        </row>
        <row r="4574">
          <cell r="A4574"/>
        </row>
        <row r="4575">
          <cell r="A4575"/>
        </row>
        <row r="4576">
          <cell r="A4576"/>
        </row>
        <row r="4577">
          <cell r="A4577"/>
        </row>
        <row r="4578">
          <cell r="A4578"/>
        </row>
        <row r="4579">
          <cell r="A4579"/>
        </row>
        <row r="4580">
          <cell r="A4580"/>
        </row>
        <row r="4581">
          <cell r="A4581"/>
        </row>
        <row r="4582">
          <cell r="A4582"/>
        </row>
        <row r="4583">
          <cell r="A4583"/>
        </row>
        <row r="4584">
          <cell r="A4584"/>
        </row>
        <row r="4585">
          <cell r="A4585"/>
        </row>
        <row r="4586">
          <cell r="A4586"/>
        </row>
        <row r="4587">
          <cell r="A4587"/>
        </row>
        <row r="4588">
          <cell r="A4588"/>
        </row>
        <row r="4589">
          <cell r="A4589"/>
        </row>
        <row r="4590">
          <cell r="A4590"/>
        </row>
        <row r="4591">
          <cell r="A4591"/>
        </row>
        <row r="4592">
          <cell r="A4592"/>
        </row>
        <row r="4593">
          <cell r="A4593"/>
        </row>
        <row r="4594">
          <cell r="A4594"/>
        </row>
        <row r="4595">
          <cell r="A4595"/>
        </row>
        <row r="4596">
          <cell r="A4596"/>
        </row>
        <row r="4597">
          <cell r="A4597"/>
        </row>
        <row r="4598">
          <cell r="A4598"/>
        </row>
        <row r="4599">
          <cell r="A4599"/>
        </row>
        <row r="4600">
          <cell r="A4600"/>
        </row>
        <row r="4601">
          <cell r="A4601"/>
        </row>
        <row r="4602">
          <cell r="A4602"/>
        </row>
        <row r="4603">
          <cell r="A4603"/>
        </row>
        <row r="4604">
          <cell r="A4604"/>
        </row>
        <row r="4605">
          <cell r="A4605"/>
        </row>
        <row r="4606">
          <cell r="A4606"/>
        </row>
        <row r="4607">
          <cell r="A4607"/>
        </row>
        <row r="4608">
          <cell r="A4608"/>
        </row>
        <row r="4609">
          <cell r="A4609"/>
        </row>
        <row r="4610">
          <cell r="A4610"/>
        </row>
        <row r="4611">
          <cell r="A4611"/>
        </row>
        <row r="4612">
          <cell r="A4612"/>
        </row>
        <row r="4613">
          <cell r="A4613"/>
        </row>
        <row r="4614">
          <cell r="A4614"/>
        </row>
        <row r="4615">
          <cell r="A4615"/>
        </row>
        <row r="4616">
          <cell r="A4616"/>
        </row>
        <row r="4617">
          <cell r="A4617"/>
        </row>
        <row r="4618">
          <cell r="A4618"/>
        </row>
        <row r="4619">
          <cell r="A4619"/>
        </row>
        <row r="4620">
          <cell r="A4620"/>
        </row>
        <row r="4621">
          <cell r="A4621"/>
        </row>
        <row r="4622">
          <cell r="A4622"/>
        </row>
        <row r="4623">
          <cell r="A4623"/>
        </row>
        <row r="4624">
          <cell r="A4624"/>
        </row>
        <row r="4625">
          <cell r="A4625"/>
        </row>
        <row r="4626">
          <cell r="A4626"/>
        </row>
        <row r="4627">
          <cell r="A4627"/>
        </row>
        <row r="4628">
          <cell r="A4628"/>
        </row>
        <row r="4629">
          <cell r="A4629"/>
        </row>
        <row r="4630">
          <cell r="A4630"/>
        </row>
        <row r="4631">
          <cell r="A4631"/>
        </row>
        <row r="4632">
          <cell r="A4632"/>
        </row>
        <row r="4633">
          <cell r="A4633"/>
        </row>
        <row r="4634">
          <cell r="A4634"/>
        </row>
        <row r="4635">
          <cell r="A4635"/>
        </row>
        <row r="4636">
          <cell r="A4636"/>
        </row>
        <row r="4637">
          <cell r="A4637"/>
        </row>
        <row r="4638">
          <cell r="A4638"/>
        </row>
        <row r="4639">
          <cell r="A4639"/>
        </row>
        <row r="4640">
          <cell r="A4640"/>
        </row>
        <row r="4641">
          <cell r="A4641"/>
        </row>
        <row r="4642">
          <cell r="A4642"/>
        </row>
        <row r="4643">
          <cell r="A4643"/>
        </row>
        <row r="4644">
          <cell r="A4644"/>
        </row>
        <row r="4645">
          <cell r="A4645"/>
        </row>
        <row r="4646">
          <cell r="A4646"/>
        </row>
        <row r="4647">
          <cell r="A4647"/>
        </row>
        <row r="4648">
          <cell r="A4648"/>
        </row>
        <row r="4649">
          <cell r="A4649"/>
        </row>
        <row r="4650">
          <cell r="A4650"/>
        </row>
        <row r="4651">
          <cell r="A4651"/>
        </row>
        <row r="4652">
          <cell r="A4652"/>
        </row>
        <row r="4653">
          <cell r="A4653"/>
        </row>
        <row r="4654">
          <cell r="A4654"/>
        </row>
        <row r="4655">
          <cell r="A4655"/>
        </row>
        <row r="4656">
          <cell r="A4656"/>
        </row>
        <row r="4657">
          <cell r="A4657"/>
        </row>
        <row r="4658">
          <cell r="A4658"/>
        </row>
        <row r="4659">
          <cell r="A4659"/>
        </row>
        <row r="4660">
          <cell r="A4660"/>
        </row>
        <row r="4661">
          <cell r="A4661"/>
        </row>
        <row r="4662">
          <cell r="A4662"/>
        </row>
        <row r="4663">
          <cell r="A4663"/>
        </row>
        <row r="4664">
          <cell r="A4664"/>
        </row>
        <row r="4665">
          <cell r="A4665"/>
        </row>
        <row r="4666">
          <cell r="A4666"/>
        </row>
        <row r="4667">
          <cell r="A4667"/>
        </row>
        <row r="4668">
          <cell r="A4668"/>
        </row>
        <row r="4669">
          <cell r="A4669"/>
        </row>
        <row r="4670">
          <cell r="A4670"/>
        </row>
        <row r="4671">
          <cell r="A4671"/>
        </row>
        <row r="4672">
          <cell r="A4672"/>
        </row>
        <row r="4673">
          <cell r="A4673"/>
        </row>
        <row r="4674">
          <cell r="A4674"/>
        </row>
        <row r="4675">
          <cell r="A4675"/>
        </row>
        <row r="4676">
          <cell r="A4676"/>
        </row>
        <row r="4677">
          <cell r="A4677"/>
        </row>
        <row r="4678">
          <cell r="A4678"/>
        </row>
        <row r="4679">
          <cell r="A4679"/>
        </row>
        <row r="4680">
          <cell r="A4680"/>
        </row>
        <row r="4681">
          <cell r="A4681"/>
        </row>
        <row r="4682">
          <cell r="A4682"/>
        </row>
        <row r="4683">
          <cell r="A4683"/>
        </row>
        <row r="4684">
          <cell r="A4684"/>
        </row>
        <row r="4685">
          <cell r="A4685"/>
        </row>
        <row r="4686">
          <cell r="A4686"/>
        </row>
        <row r="4687">
          <cell r="A4687"/>
        </row>
        <row r="4688">
          <cell r="A4688"/>
        </row>
        <row r="4689">
          <cell r="A4689"/>
        </row>
        <row r="4690">
          <cell r="A4690"/>
        </row>
        <row r="4691">
          <cell r="A4691"/>
        </row>
        <row r="4692">
          <cell r="A4692"/>
        </row>
        <row r="4693">
          <cell r="A4693"/>
        </row>
        <row r="4694">
          <cell r="A4694"/>
        </row>
        <row r="4695">
          <cell r="A4695"/>
        </row>
        <row r="4696">
          <cell r="A4696"/>
        </row>
        <row r="4697">
          <cell r="A4697"/>
        </row>
        <row r="4698">
          <cell r="A4698"/>
        </row>
        <row r="4699">
          <cell r="A4699"/>
        </row>
        <row r="4700">
          <cell r="A4700"/>
        </row>
        <row r="4701">
          <cell r="A4701"/>
        </row>
        <row r="4702">
          <cell r="A4702"/>
        </row>
        <row r="4703">
          <cell r="A4703"/>
        </row>
        <row r="4704">
          <cell r="A4704"/>
        </row>
        <row r="4705">
          <cell r="A4705"/>
        </row>
        <row r="4706">
          <cell r="A4706"/>
        </row>
        <row r="4707">
          <cell r="A4707"/>
        </row>
        <row r="4708">
          <cell r="A4708"/>
        </row>
        <row r="4709">
          <cell r="A4709"/>
        </row>
        <row r="4710">
          <cell r="A4710"/>
        </row>
        <row r="4711">
          <cell r="A4711"/>
        </row>
        <row r="4712">
          <cell r="A4712"/>
        </row>
        <row r="4713">
          <cell r="A4713"/>
        </row>
        <row r="4714">
          <cell r="A4714"/>
        </row>
        <row r="4715">
          <cell r="A4715"/>
        </row>
        <row r="4716">
          <cell r="A4716"/>
        </row>
        <row r="4717">
          <cell r="A4717"/>
        </row>
        <row r="4718">
          <cell r="A4718"/>
        </row>
        <row r="4719">
          <cell r="A4719"/>
        </row>
        <row r="4720">
          <cell r="A4720"/>
        </row>
        <row r="4721">
          <cell r="A4721"/>
        </row>
        <row r="4722">
          <cell r="A4722"/>
        </row>
        <row r="4723">
          <cell r="A4723"/>
        </row>
        <row r="4724">
          <cell r="A4724"/>
        </row>
        <row r="4725">
          <cell r="A4725"/>
        </row>
        <row r="4726">
          <cell r="A4726"/>
        </row>
        <row r="4727">
          <cell r="A4727"/>
        </row>
        <row r="4728">
          <cell r="A4728"/>
        </row>
        <row r="4729">
          <cell r="A4729"/>
        </row>
        <row r="4730">
          <cell r="A4730"/>
        </row>
        <row r="4731">
          <cell r="A4731"/>
        </row>
        <row r="4732">
          <cell r="A4732"/>
        </row>
        <row r="4733">
          <cell r="A4733"/>
        </row>
        <row r="4734">
          <cell r="A4734"/>
        </row>
        <row r="4735">
          <cell r="A4735"/>
        </row>
        <row r="4736">
          <cell r="A4736"/>
        </row>
        <row r="4737">
          <cell r="A4737"/>
        </row>
        <row r="4738">
          <cell r="A4738"/>
        </row>
        <row r="4739">
          <cell r="A4739"/>
        </row>
        <row r="4740">
          <cell r="A4740"/>
        </row>
        <row r="4741">
          <cell r="A4741"/>
        </row>
        <row r="4742">
          <cell r="A4742"/>
        </row>
        <row r="4743">
          <cell r="A4743"/>
        </row>
        <row r="4744">
          <cell r="A4744"/>
        </row>
        <row r="4745">
          <cell r="A4745"/>
        </row>
        <row r="4746">
          <cell r="A4746"/>
        </row>
        <row r="4747">
          <cell r="A4747"/>
        </row>
        <row r="4748">
          <cell r="A4748"/>
        </row>
        <row r="4749">
          <cell r="A4749"/>
        </row>
        <row r="4750">
          <cell r="A4750"/>
        </row>
        <row r="4751">
          <cell r="A4751"/>
        </row>
        <row r="4752">
          <cell r="A4752"/>
        </row>
        <row r="4753">
          <cell r="A4753"/>
        </row>
        <row r="4754">
          <cell r="A4754"/>
        </row>
        <row r="4755">
          <cell r="A4755"/>
        </row>
        <row r="4756">
          <cell r="A4756"/>
        </row>
        <row r="4757">
          <cell r="A4757"/>
        </row>
        <row r="4758">
          <cell r="A4758"/>
        </row>
        <row r="4759">
          <cell r="A4759"/>
        </row>
        <row r="4760">
          <cell r="A4760"/>
        </row>
        <row r="4761">
          <cell r="A4761"/>
        </row>
        <row r="4762">
          <cell r="A4762"/>
        </row>
        <row r="4763">
          <cell r="A4763"/>
        </row>
        <row r="4764">
          <cell r="A4764"/>
        </row>
        <row r="4765">
          <cell r="A4765"/>
        </row>
        <row r="4766">
          <cell r="A4766"/>
        </row>
        <row r="4767">
          <cell r="A4767"/>
        </row>
        <row r="4768">
          <cell r="A4768"/>
        </row>
        <row r="4769">
          <cell r="A4769"/>
        </row>
        <row r="4770">
          <cell r="A4770"/>
        </row>
        <row r="4771">
          <cell r="A4771"/>
        </row>
        <row r="4772">
          <cell r="A4772"/>
        </row>
        <row r="4773">
          <cell r="A4773"/>
        </row>
        <row r="4774">
          <cell r="A4774"/>
        </row>
        <row r="4775">
          <cell r="A4775"/>
        </row>
        <row r="4776">
          <cell r="A4776"/>
        </row>
        <row r="4777">
          <cell r="A4777"/>
        </row>
        <row r="4778">
          <cell r="A4778"/>
        </row>
        <row r="4779">
          <cell r="A4779"/>
        </row>
        <row r="4780">
          <cell r="A4780"/>
        </row>
        <row r="4781">
          <cell r="A4781"/>
        </row>
        <row r="4782">
          <cell r="A4782"/>
        </row>
        <row r="4783">
          <cell r="A4783"/>
        </row>
        <row r="4784">
          <cell r="A4784"/>
        </row>
        <row r="4785">
          <cell r="A4785"/>
        </row>
        <row r="4786">
          <cell r="A4786"/>
        </row>
        <row r="4787">
          <cell r="A4787"/>
        </row>
        <row r="4788">
          <cell r="A4788"/>
        </row>
        <row r="4789">
          <cell r="A4789"/>
        </row>
        <row r="4790">
          <cell r="A4790"/>
        </row>
        <row r="4791">
          <cell r="A4791"/>
        </row>
        <row r="4792">
          <cell r="A4792"/>
        </row>
        <row r="4793">
          <cell r="A4793"/>
        </row>
        <row r="4794">
          <cell r="A4794"/>
        </row>
        <row r="4795">
          <cell r="A4795"/>
        </row>
        <row r="4796">
          <cell r="A4796"/>
        </row>
        <row r="4797">
          <cell r="A4797"/>
        </row>
        <row r="4798">
          <cell r="A4798"/>
        </row>
        <row r="4799">
          <cell r="A4799"/>
        </row>
        <row r="4800">
          <cell r="A4800"/>
        </row>
        <row r="4801">
          <cell r="A4801"/>
        </row>
        <row r="4802">
          <cell r="A4802"/>
        </row>
        <row r="4803">
          <cell r="A4803"/>
        </row>
        <row r="4804">
          <cell r="A4804"/>
        </row>
        <row r="4805">
          <cell r="A4805"/>
        </row>
        <row r="4806">
          <cell r="A4806"/>
        </row>
        <row r="4807">
          <cell r="A4807"/>
        </row>
        <row r="4808">
          <cell r="A4808"/>
        </row>
        <row r="4809">
          <cell r="A4809"/>
        </row>
        <row r="4810">
          <cell r="A4810"/>
        </row>
        <row r="4811">
          <cell r="A4811"/>
        </row>
        <row r="4812">
          <cell r="A4812"/>
        </row>
        <row r="4813">
          <cell r="A4813"/>
        </row>
        <row r="4814">
          <cell r="A4814"/>
        </row>
        <row r="4815">
          <cell r="A4815"/>
        </row>
        <row r="4816">
          <cell r="A4816"/>
        </row>
        <row r="4817">
          <cell r="A4817"/>
        </row>
        <row r="4818">
          <cell r="A4818"/>
        </row>
        <row r="4819">
          <cell r="A4819"/>
        </row>
        <row r="4820">
          <cell r="A4820"/>
        </row>
        <row r="4821">
          <cell r="A4821"/>
        </row>
        <row r="4822">
          <cell r="A4822"/>
        </row>
        <row r="4823">
          <cell r="A4823"/>
        </row>
        <row r="4824">
          <cell r="A4824"/>
        </row>
        <row r="4825">
          <cell r="A4825"/>
        </row>
        <row r="4826">
          <cell r="A4826"/>
        </row>
        <row r="4827">
          <cell r="A4827"/>
        </row>
        <row r="4828">
          <cell r="A4828"/>
        </row>
        <row r="4829">
          <cell r="A4829"/>
        </row>
        <row r="4830">
          <cell r="A4830"/>
        </row>
        <row r="4831">
          <cell r="A4831"/>
        </row>
        <row r="4832">
          <cell r="A4832"/>
        </row>
        <row r="4833">
          <cell r="A4833"/>
        </row>
        <row r="4834">
          <cell r="A4834"/>
        </row>
        <row r="4835">
          <cell r="A4835"/>
        </row>
        <row r="4836">
          <cell r="A4836"/>
        </row>
        <row r="4837">
          <cell r="A4837"/>
        </row>
        <row r="4838">
          <cell r="A4838"/>
        </row>
        <row r="4839">
          <cell r="A4839"/>
        </row>
        <row r="4840">
          <cell r="A4840"/>
        </row>
        <row r="4841">
          <cell r="A4841"/>
        </row>
        <row r="4842">
          <cell r="A4842"/>
        </row>
        <row r="4843">
          <cell r="A4843"/>
        </row>
        <row r="4844">
          <cell r="A4844"/>
        </row>
        <row r="4845">
          <cell r="A4845"/>
        </row>
        <row r="4846">
          <cell r="A4846"/>
        </row>
        <row r="4847">
          <cell r="A4847"/>
        </row>
        <row r="4848">
          <cell r="A4848"/>
        </row>
        <row r="4849">
          <cell r="A4849"/>
        </row>
        <row r="4850">
          <cell r="A4850"/>
        </row>
        <row r="4851">
          <cell r="A4851"/>
        </row>
        <row r="4852">
          <cell r="A4852"/>
        </row>
        <row r="4853">
          <cell r="A4853"/>
        </row>
        <row r="4854">
          <cell r="A4854"/>
        </row>
        <row r="4855">
          <cell r="A4855"/>
        </row>
        <row r="4856">
          <cell r="A4856"/>
        </row>
        <row r="4857">
          <cell r="A4857"/>
        </row>
        <row r="4858">
          <cell r="A4858"/>
        </row>
        <row r="4859">
          <cell r="A4859"/>
        </row>
        <row r="4860">
          <cell r="A4860"/>
        </row>
        <row r="4861">
          <cell r="A4861"/>
        </row>
        <row r="4862">
          <cell r="A4862"/>
        </row>
        <row r="4863">
          <cell r="A4863"/>
        </row>
        <row r="4864">
          <cell r="A4864"/>
        </row>
        <row r="4865">
          <cell r="A4865"/>
        </row>
        <row r="4866">
          <cell r="A4866"/>
        </row>
        <row r="4867">
          <cell r="A4867"/>
        </row>
        <row r="4868">
          <cell r="A4868"/>
        </row>
        <row r="4869">
          <cell r="A4869"/>
        </row>
        <row r="4870">
          <cell r="A4870"/>
        </row>
        <row r="4871">
          <cell r="A4871"/>
        </row>
        <row r="4872">
          <cell r="A4872"/>
        </row>
        <row r="4873">
          <cell r="A4873"/>
        </row>
        <row r="4874">
          <cell r="A4874"/>
        </row>
        <row r="4875">
          <cell r="A4875"/>
        </row>
        <row r="4876">
          <cell r="A4876"/>
        </row>
        <row r="4877">
          <cell r="A4877"/>
        </row>
        <row r="4878">
          <cell r="A4878"/>
        </row>
        <row r="4879">
          <cell r="A4879"/>
        </row>
        <row r="4880">
          <cell r="A4880"/>
        </row>
        <row r="4881">
          <cell r="A4881"/>
        </row>
        <row r="4882">
          <cell r="A4882"/>
        </row>
        <row r="4883">
          <cell r="A4883"/>
        </row>
        <row r="4884">
          <cell r="A4884"/>
        </row>
        <row r="4885">
          <cell r="A4885"/>
        </row>
        <row r="4886">
          <cell r="A4886"/>
        </row>
        <row r="4887">
          <cell r="A4887"/>
        </row>
        <row r="4888">
          <cell r="A4888"/>
        </row>
        <row r="4889">
          <cell r="A4889"/>
        </row>
        <row r="4890">
          <cell r="A4890"/>
        </row>
        <row r="4891">
          <cell r="A4891"/>
        </row>
        <row r="4892">
          <cell r="A4892"/>
        </row>
        <row r="4893">
          <cell r="A4893"/>
        </row>
        <row r="4894">
          <cell r="A4894"/>
        </row>
        <row r="4895">
          <cell r="A4895"/>
        </row>
        <row r="4896">
          <cell r="A4896"/>
        </row>
        <row r="4897">
          <cell r="A4897"/>
        </row>
        <row r="4898">
          <cell r="A4898"/>
        </row>
        <row r="4899">
          <cell r="A4899"/>
        </row>
        <row r="4900">
          <cell r="A4900"/>
        </row>
        <row r="4901">
          <cell r="A4901"/>
        </row>
        <row r="4902">
          <cell r="A4902"/>
        </row>
        <row r="4903">
          <cell r="A4903"/>
        </row>
        <row r="4904">
          <cell r="A4904"/>
        </row>
        <row r="4905">
          <cell r="A4905"/>
        </row>
        <row r="4906">
          <cell r="A4906"/>
        </row>
        <row r="4907">
          <cell r="A4907"/>
        </row>
        <row r="4908">
          <cell r="A4908"/>
        </row>
        <row r="4909">
          <cell r="A4909"/>
        </row>
        <row r="4910">
          <cell r="A4910"/>
        </row>
        <row r="4911">
          <cell r="A4911"/>
        </row>
        <row r="4912">
          <cell r="A4912"/>
        </row>
        <row r="4913">
          <cell r="A4913"/>
        </row>
        <row r="4914">
          <cell r="A4914"/>
        </row>
        <row r="4915">
          <cell r="A4915"/>
        </row>
        <row r="4916">
          <cell r="A4916"/>
        </row>
        <row r="4917">
          <cell r="A4917"/>
        </row>
        <row r="4918">
          <cell r="A4918"/>
        </row>
        <row r="4919">
          <cell r="A4919"/>
        </row>
        <row r="4920">
          <cell r="A4920"/>
        </row>
        <row r="4921">
          <cell r="A4921"/>
        </row>
        <row r="4922">
          <cell r="A4922"/>
        </row>
        <row r="4923">
          <cell r="A4923"/>
        </row>
        <row r="4924">
          <cell r="A4924"/>
        </row>
        <row r="4925">
          <cell r="A4925"/>
        </row>
        <row r="4926">
          <cell r="A4926"/>
        </row>
        <row r="4927">
          <cell r="A4927"/>
        </row>
        <row r="4928">
          <cell r="A4928"/>
        </row>
        <row r="4929">
          <cell r="A4929"/>
        </row>
        <row r="4930">
          <cell r="A4930"/>
        </row>
        <row r="4931">
          <cell r="A4931"/>
        </row>
        <row r="4932">
          <cell r="A4932"/>
        </row>
        <row r="4933">
          <cell r="A4933"/>
        </row>
        <row r="4934">
          <cell r="A4934"/>
        </row>
        <row r="4935">
          <cell r="A4935"/>
        </row>
        <row r="4936">
          <cell r="A4936"/>
        </row>
        <row r="4937">
          <cell r="A4937"/>
        </row>
        <row r="4938">
          <cell r="A4938"/>
        </row>
        <row r="4939">
          <cell r="A4939"/>
        </row>
        <row r="4940">
          <cell r="A4940"/>
        </row>
        <row r="4941">
          <cell r="A4941"/>
        </row>
        <row r="4942">
          <cell r="A4942"/>
        </row>
        <row r="4943">
          <cell r="A4943"/>
        </row>
        <row r="4944">
          <cell r="A4944"/>
        </row>
        <row r="4945">
          <cell r="A4945"/>
        </row>
        <row r="4946">
          <cell r="A4946"/>
        </row>
        <row r="4947">
          <cell r="A4947"/>
        </row>
        <row r="4948">
          <cell r="A4948"/>
        </row>
        <row r="4949">
          <cell r="A4949"/>
        </row>
        <row r="4950">
          <cell r="A4950"/>
        </row>
        <row r="4951">
          <cell r="A4951"/>
        </row>
        <row r="4952">
          <cell r="A4952"/>
        </row>
        <row r="4953">
          <cell r="A4953"/>
        </row>
        <row r="4954">
          <cell r="A4954"/>
        </row>
        <row r="4955">
          <cell r="A4955"/>
        </row>
        <row r="4956">
          <cell r="A4956"/>
        </row>
        <row r="4957">
          <cell r="A4957"/>
        </row>
        <row r="4958">
          <cell r="A4958"/>
        </row>
        <row r="4959">
          <cell r="A4959"/>
        </row>
        <row r="4960">
          <cell r="A4960"/>
        </row>
        <row r="4961">
          <cell r="A4961"/>
        </row>
        <row r="4962">
          <cell r="A4962"/>
        </row>
        <row r="4963">
          <cell r="A4963"/>
        </row>
        <row r="4964">
          <cell r="A4964"/>
        </row>
        <row r="4965">
          <cell r="A4965"/>
        </row>
        <row r="4966">
          <cell r="A4966"/>
        </row>
        <row r="4967">
          <cell r="A4967"/>
        </row>
        <row r="4968">
          <cell r="A4968"/>
        </row>
        <row r="4969">
          <cell r="A4969"/>
        </row>
        <row r="4970">
          <cell r="A4970"/>
        </row>
        <row r="4971">
          <cell r="A4971"/>
        </row>
        <row r="4972">
          <cell r="A4972"/>
        </row>
        <row r="4973">
          <cell r="A4973"/>
        </row>
        <row r="4974">
          <cell r="A4974"/>
        </row>
        <row r="4975">
          <cell r="A4975"/>
        </row>
        <row r="4976">
          <cell r="A4976"/>
        </row>
        <row r="4977">
          <cell r="A4977"/>
        </row>
        <row r="4978">
          <cell r="A4978"/>
        </row>
        <row r="4979">
          <cell r="A4979"/>
        </row>
        <row r="4980">
          <cell r="A4980"/>
        </row>
        <row r="4981">
          <cell r="A4981"/>
        </row>
        <row r="4982">
          <cell r="A4982"/>
        </row>
        <row r="4983">
          <cell r="A4983"/>
        </row>
        <row r="4984">
          <cell r="A4984"/>
        </row>
        <row r="4985">
          <cell r="A4985"/>
        </row>
        <row r="4986">
          <cell r="A4986"/>
        </row>
        <row r="4987">
          <cell r="A4987"/>
        </row>
        <row r="4988">
          <cell r="A4988"/>
        </row>
        <row r="4989">
          <cell r="A4989"/>
        </row>
        <row r="4990">
          <cell r="A4990"/>
        </row>
        <row r="4991">
          <cell r="A4991"/>
        </row>
        <row r="4992">
          <cell r="A4992"/>
        </row>
        <row r="4993">
          <cell r="A4993"/>
        </row>
        <row r="4994">
          <cell r="A4994"/>
        </row>
        <row r="4995">
          <cell r="A4995"/>
        </row>
        <row r="4996">
          <cell r="A4996"/>
        </row>
        <row r="4997">
          <cell r="A4997"/>
        </row>
        <row r="4998">
          <cell r="A4998"/>
        </row>
        <row r="4999">
          <cell r="A4999"/>
        </row>
        <row r="5000">
          <cell r="A5000"/>
        </row>
        <row r="5001">
          <cell r="A5001"/>
        </row>
        <row r="5002">
          <cell r="A5002"/>
        </row>
        <row r="5003">
          <cell r="A5003"/>
        </row>
        <row r="5004">
          <cell r="A5004"/>
        </row>
        <row r="5005">
          <cell r="A5005"/>
        </row>
        <row r="5006">
          <cell r="A5006"/>
        </row>
        <row r="5007">
          <cell r="A5007"/>
        </row>
        <row r="5008">
          <cell r="A5008"/>
        </row>
        <row r="5009">
          <cell r="A5009"/>
        </row>
        <row r="5010">
          <cell r="A5010"/>
        </row>
        <row r="5011">
          <cell r="A5011"/>
        </row>
        <row r="5012">
          <cell r="A5012"/>
        </row>
        <row r="5013">
          <cell r="A5013"/>
        </row>
        <row r="5014">
          <cell r="A5014"/>
        </row>
      </sheetData>
      <sheetData sheetId="6">
        <row r="1">
          <cell r="A1" t="str">
            <v>Mat #</v>
          </cell>
        </row>
        <row r="2">
          <cell r="A2">
            <v>1476518</v>
          </cell>
        </row>
        <row r="3">
          <cell r="A3">
            <v>1770734</v>
          </cell>
        </row>
        <row r="4">
          <cell r="A4">
            <v>1771598</v>
          </cell>
        </row>
        <row r="5">
          <cell r="A5">
            <v>1816122</v>
          </cell>
        </row>
        <row r="6">
          <cell r="A6">
            <v>1816502</v>
          </cell>
        </row>
        <row r="7">
          <cell r="A7">
            <v>1856575</v>
          </cell>
        </row>
        <row r="8">
          <cell r="A8">
            <v>1871818</v>
          </cell>
        </row>
        <row r="9">
          <cell r="A9">
            <v>1881402</v>
          </cell>
        </row>
        <row r="10">
          <cell r="A10">
            <v>1881596</v>
          </cell>
        </row>
        <row r="11">
          <cell r="A11">
            <v>1770314</v>
          </cell>
        </row>
        <row r="12">
          <cell r="A12">
            <v>1770324</v>
          </cell>
        </row>
        <row r="13">
          <cell r="A13">
            <v>1920821</v>
          </cell>
        </row>
        <row r="14">
          <cell r="A14">
            <v>1947120</v>
          </cell>
        </row>
        <row r="15">
          <cell r="A15">
            <v>1342671</v>
          </cell>
        </row>
        <row r="16">
          <cell r="A16">
            <v>1527074</v>
          </cell>
        </row>
        <row r="17">
          <cell r="A17">
            <v>1965185</v>
          </cell>
        </row>
        <row r="18">
          <cell r="A18">
            <v>1964681</v>
          </cell>
        </row>
        <row r="19">
          <cell r="A19">
            <v>1562208</v>
          </cell>
        </row>
        <row r="20">
          <cell r="A20">
            <v>1523411</v>
          </cell>
        </row>
        <row r="21">
          <cell r="A21">
            <v>1657274</v>
          </cell>
        </row>
        <row r="22">
          <cell r="A22">
            <v>1360621</v>
          </cell>
        </row>
        <row r="23">
          <cell r="A23">
            <v>1345836</v>
          </cell>
        </row>
        <row r="24">
          <cell r="A24">
            <v>1384256</v>
          </cell>
        </row>
        <row r="25">
          <cell r="A25">
            <v>1172591</v>
          </cell>
        </row>
        <row r="26">
          <cell r="A26">
            <v>1241691</v>
          </cell>
        </row>
        <row r="27">
          <cell r="A27">
            <v>1322800</v>
          </cell>
        </row>
        <row r="28">
          <cell r="A28">
            <v>1395356</v>
          </cell>
        </row>
        <row r="29">
          <cell r="A29">
            <v>1451697</v>
          </cell>
        </row>
        <row r="30">
          <cell r="A30">
            <v>1486036</v>
          </cell>
        </row>
        <row r="31">
          <cell r="A31">
            <v>1521800</v>
          </cell>
        </row>
        <row r="32">
          <cell r="A32">
            <v>1597069</v>
          </cell>
        </row>
        <row r="33">
          <cell r="A33">
            <v>1603436</v>
          </cell>
        </row>
        <row r="34">
          <cell r="A34">
            <v>1611269</v>
          </cell>
        </row>
        <row r="35">
          <cell r="A35">
            <v>1614308</v>
          </cell>
        </row>
        <row r="36">
          <cell r="A36">
            <v>1650631</v>
          </cell>
        </row>
        <row r="37">
          <cell r="A37">
            <v>1667715</v>
          </cell>
        </row>
        <row r="38">
          <cell r="A38">
            <v>1705076</v>
          </cell>
        </row>
        <row r="39">
          <cell r="A39">
            <v>1715498</v>
          </cell>
        </row>
        <row r="40">
          <cell r="A40">
            <v>1741403</v>
          </cell>
        </row>
        <row r="41">
          <cell r="A41">
            <v>1818260</v>
          </cell>
        </row>
        <row r="42">
          <cell r="A42">
            <v>1819196</v>
          </cell>
        </row>
        <row r="43">
          <cell r="A43">
            <v>1838601</v>
          </cell>
        </row>
        <row r="44">
          <cell r="A44">
            <v>1838992</v>
          </cell>
        </row>
        <row r="45">
          <cell r="A45">
            <v>1840510</v>
          </cell>
        </row>
        <row r="46">
          <cell r="A46">
            <v>1757495</v>
          </cell>
        </row>
        <row r="47">
          <cell r="A47">
            <v>1344720</v>
          </cell>
        </row>
        <row r="48">
          <cell r="A48">
            <v>1000721</v>
          </cell>
        </row>
        <row r="49">
          <cell r="A49">
            <v>1001690</v>
          </cell>
        </row>
        <row r="50">
          <cell r="A50">
            <v>1001737</v>
          </cell>
        </row>
        <row r="51">
          <cell r="A51">
            <v>1006395</v>
          </cell>
        </row>
        <row r="52">
          <cell r="A52">
            <v>1006397</v>
          </cell>
        </row>
        <row r="53">
          <cell r="A53">
            <v>1018634</v>
          </cell>
        </row>
        <row r="54">
          <cell r="A54">
            <v>1092800</v>
          </cell>
        </row>
        <row r="55">
          <cell r="A55">
            <v>1092994</v>
          </cell>
        </row>
        <row r="56">
          <cell r="A56">
            <v>1092995</v>
          </cell>
        </row>
        <row r="57">
          <cell r="A57">
            <v>1093095</v>
          </cell>
        </row>
        <row r="58">
          <cell r="A58">
            <v>1093098</v>
          </cell>
        </row>
        <row r="59">
          <cell r="A59">
            <v>1116404</v>
          </cell>
        </row>
        <row r="60">
          <cell r="A60">
            <v>1122395</v>
          </cell>
        </row>
        <row r="61">
          <cell r="A61">
            <v>1129810</v>
          </cell>
        </row>
        <row r="62">
          <cell r="A62">
            <v>1148902</v>
          </cell>
        </row>
        <row r="63">
          <cell r="A63">
            <v>1165195</v>
          </cell>
        </row>
        <row r="64">
          <cell r="A64">
            <v>1168609</v>
          </cell>
        </row>
        <row r="65">
          <cell r="A65">
            <v>1192009</v>
          </cell>
        </row>
        <row r="66">
          <cell r="A66">
            <v>1194498</v>
          </cell>
        </row>
        <row r="67">
          <cell r="A67">
            <v>1195113</v>
          </cell>
        </row>
        <row r="68">
          <cell r="A68">
            <v>1195396</v>
          </cell>
        </row>
        <row r="69">
          <cell r="A69">
            <v>1202337</v>
          </cell>
        </row>
        <row r="70">
          <cell r="A70">
            <v>1203034</v>
          </cell>
        </row>
        <row r="71">
          <cell r="A71">
            <v>1203150</v>
          </cell>
        </row>
        <row r="72">
          <cell r="A72">
            <v>1213770</v>
          </cell>
        </row>
        <row r="73">
          <cell r="A73">
            <v>1218097</v>
          </cell>
        </row>
        <row r="74">
          <cell r="A74">
            <v>1233608</v>
          </cell>
        </row>
        <row r="75">
          <cell r="A75">
            <v>1233718</v>
          </cell>
        </row>
        <row r="76">
          <cell r="A76">
            <v>1235308</v>
          </cell>
        </row>
        <row r="77">
          <cell r="A77">
            <v>1242278</v>
          </cell>
        </row>
        <row r="78">
          <cell r="A78">
            <v>1244019</v>
          </cell>
        </row>
        <row r="79">
          <cell r="A79">
            <v>1250923</v>
          </cell>
        </row>
        <row r="80">
          <cell r="A80">
            <v>1250994</v>
          </cell>
        </row>
        <row r="81">
          <cell r="A81">
            <v>1251202</v>
          </cell>
        </row>
        <row r="82">
          <cell r="A82">
            <v>1258305</v>
          </cell>
        </row>
        <row r="83">
          <cell r="A83">
            <v>1259395</v>
          </cell>
        </row>
        <row r="84">
          <cell r="A84">
            <v>1280300</v>
          </cell>
        </row>
        <row r="85">
          <cell r="A85">
            <v>1281000</v>
          </cell>
        </row>
        <row r="86">
          <cell r="A86">
            <v>1289446</v>
          </cell>
        </row>
        <row r="87">
          <cell r="A87">
            <v>1306536</v>
          </cell>
        </row>
        <row r="88">
          <cell r="A88">
            <v>1308655</v>
          </cell>
        </row>
        <row r="89">
          <cell r="A89">
            <v>1309118</v>
          </cell>
        </row>
        <row r="90">
          <cell r="A90">
            <v>1310904</v>
          </cell>
        </row>
        <row r="91">
          <cell r="A91">
            <v>1315623</v>
          </cell>
        </row>
        <row r="92">
          <cell r="A92">
            <v>1316099</v>
          </cell>
        </row>
        <row r="93">
          <cell r="A93">
            <v>1317330</v>
          </cell>
        </row>
        <row r="94">
          <cell r="A94">
            <v>1323602</v>
          </cell>
        </row>
        <row r="95">
          <cell r="A95">
            <v>1327325</v>
          </cell>
        </row>
        <row r="96">
          <cell r="A96">
            <v>1327373</v>
          </cell>
        </row>
        <row r="97">
          <cell r="A97">
            <v>1328299</v>
          </cell>
        </row>
        <row r="98">
          <cell r="A98">
            <v>1329335</v>
          </cell>
        </row>
        <row r="99">
          <cell r="A99">
            <v>1334700</v>
          </cell>
        </row>
        <row r="100">
          <cell r="A100">
            <v>1335016</v>
          </cell>
        </row>
        <row r="101">
          <cell r="A101">
            <v>1340313</v>
          </cell>
        </row>
        <row r="102">
          <cell r="A102">
            <v>1341227</v>
          </cell>
        </row>
        <row r="103">
          <cell r="A103">
            <v>1343299</v>
          </cell>
        </row>
        <row r="104">
          <cell r="A104">
            <v>1344755</v>
          </cell>
        </row>
        <row r="105">
          <cell r="A105">
            <v>1345410</v>
          </cell>
        </row>
        <row r="106">
          <cell r="A106">
            <v>1347937</v>
          </cell>
        </row>
        <row r="107">
          <cell r="A107">
            <v>1347939</v>
          </cell>
        </row>
        <row r="108">
          <cell r="A108">
            <v>1347945</v>
          </cell>
        </row>
        <row r="109">
          <cell r="A109">
            <v>1349536</v>
          </cell>
        </row>
        <row r="110">
          <cell r="A110">
            <v>1357848</v>
          </cell>
        </row>
        <row r="111">
          <cell r="A111">
            <v>1359315</v>
          </cell>
        </row>
        <row r="112">
          <cell r="A112">
            <v>1365935</v>
          </cell>
        </row>
        <row r="113">
          <cell r="A113">
            <v>1366102</v>
          </cell>
        </row>
        <row r="114">
          <cell r="A114">
            <v>1366108</v>
          </cell>
        </row>
        <row r="115">
          <cell r="A115">
            <v>1366142</v>
          </cell>
        </row>
        <row r="116">
          <cell r="A116">
            <v>1372008</v>
          </cell>
        </row>
        <row r="117">
          <cell r="A117">
            <v>1372204</v>
          </cell>
        </row>
        <row r="118">
          <cell r="A118">
            <v>1372218</v>
          </cell>
        </row>
        <row r="119">
          <cell r="A119">
            <v>1376715</v>
          </cell>
        </row>
        <row r="120">
          <cell r="A120">
            <v>1377213</v>
          </cell>
        </row>
        <row r="121">
          <cell r="A121">
            <v>1378628</v>
          </cell>
        </row>
        <row r="122">
          <cell r="A122">
            <v>1379544</v>
          </cell>
        </row>
        <row r="123">
          <cell r="A123">
            <v>1384394</v>
          </cell>
        </row>
        <row r="124">
          <cell r="A124">
            <v>1385902</v>
          </cell>
        </row>
        <row r="125">
          <cell r="A125">
            <v>1386848</v>
          </cell>
        </row>
        <row r="126">
          <cell r="A126">
            <v>1395720</v>
          </cell>
        </row>
        <row r="127">
          <cell r="A127">
            <v>1397016</v>
          </cell>
        </row>
        <row r="128">
          <cell r="A128">
            <v>1399299</v>
          </cell>
        </row>
        <row r="129">
          <cell r="A129">
            <v>1399325</v>
          </cell>
        </row>
        <row r="130">
          <cell r="A130">
            <v>1399523</v>
          </cell>
        </row>
        <row r="131">
          <cell r="A131">
            <v>1399997</v>
          </cell>
        </row>
        <row r="132">
          <cell r="A132">
            <v>1400124</v>
          </cell>
        </row>
        <row r="133">
          <cell r="A133">
            <v>1404811</v>
          </cell>
        </row>
        <row r="134">
          <cell r="A134">
            <v>1405653</v>
          </cell>
        </row>
        <row r="135">
          <cell r="A135">
            <v>1405757</v>
          </cell>
        </row>
        <row r="136">
          <cell r="A136">
            <v>1407231</v>
          </cell>
        </row>
        <row r="137">
          <cell r="A137">
            <v>1408452</v>
          </cell>
        </row>
        <row r="138">
          <cell r="A138">
            <v>1408495</v>
          </cell>
        </row>
        <row r="139">
          <cell r="A139">
            <v>1410447</v>
          </cell>
        </row>
        <row r="140">
          <cell r="A140">
            <v>1412211</v>
          </cell>
        </row>
        <row r="141">
          <cell r="A141">
            <v>1413218</v>
          </cell>
        </row>
        <row r="142">
          <cell r="A142">
            <v>1414125</v>
          </cell>
        </row>
        <row r="143">
          <cell r="A143">
            <v>1414133</v>
          </cell>
        </row>
        <row r="144">
          <cell r="A144">
            <v>1414808</v>
          </cell>
        </row>
        <row r="145">
          <cell r="A145">
            <v>1417295</v>
          </cell>
        </row>
        <row r="146">
          <cell r="A146">
            <v>1417301</v>
          </cell>
        </row>
        <row r="147">
          <cell r="A147">
            <v>1418500</v>
          </cell>
        </row>
        <row r="148">
          <cell r="A148">
            <v>1419499</v>
          </cell>
        </row>
        <row r="149">
          <cell r="A149">
            <v>1420012</v>
          </cell>
        </row>
        <row r="150">
          <cell r="A150">
            <v>1425509</v>
          </cell>
        </row>
        <row r="151">
          <cell r="A151">
            <v>1428456</v>
          </cell>
        </row>
        <row r="152">
          <cell r="A152">
            <v>1434747</v>
          </cell>
        </row>
        <row r="153">
          <cell r="A153">
            <v>1437722</v>
          </cell>
        </row>
        <row r="154">
          <cell r="A154">
            <v>1439302</v>
          </cell>
        </row>
        <row r="155">
          <cell r="A155">
            <v>1441537</v>
          </cell>
        </row>
        <row r="156">
          <cell r="A156">
            <v>1442606</v>
          </cell>
        </row>
        <row r="157">
          <cell r="A157">
            <v>1447638</v>
          </cell>
        </row>
        <row r="158">
          <cell r="A158">
            <v>1451701</v>
          </cell>
        </row>
        <row r="159">
          <cell r="A159">
            <v>1458823</v>
          </cell>
        </row>
        <row r="160">
          <cell r="A160">
            <v>1458829</v>
          </cell>
        </row>
        <row r="161">
          <cell r="A161">
            <v>1459769</v>
          </cell>
        </row>
        <row r="162">
          <cell r="A162">
            <v>1459806</v>
          </cell>
        </row>
        <row r="163">
          <cell r="A163">
            <v>1473931</v>
          </cell>
        </row>
        <row r="164">
          <cell r="A164">
            <v>1482622</v>
          </cell>
        </row>
        <row r="165">
          <cell r="A165">
            <v>1487133</v>
          </cell>
        </row>
        <row r="166">
          <cell r="A166">
            <v>1489705</v>
          </cell>
        </row>
        <row r="167">
          <cell r="A167">
            <v>1490608</v>
          </cell>
        </row>
        <row r="168">
          <cell r="A168">
            <v>1498406</v>
          </cell>
        </row>
        <row r="169">
          <cell r="A169">
            <v>1498517</v>
          </cell>
        </row>
        <row r="170">
          <cell r="A170">
            <v>1498542</v>
          </cell>
        </row>
        <row r="171">
          <cell r="A171">
            <v>1501913</v>
          </cell>
        </row>
        <row r="172">
          <cell r="A172">
            <v>1503963</v>
          </cell>
        </row>
        <row r="173">
          <cell r="A173">
            <v>1507900</v>
          </cell>
        </row>
        <row r="174">
          <cell r="A174">
            <v>1510104</v>
          </cell>
        </row>
        <row r="175">
          <cell r="A175">
            <v>1512698</v>
          </cell>
        </row>
        <row r="176">
          <cell r="A176">
            <v>1512702</v>
          </cell>
        </row>
        <row r="177">
          <cell r="A177">
            <v>1516996</v>
          </cell>
        </row>
        <row r="178">
          <cell r="A178">
            <v>1519569</v>
          </cell>
        </row>
        <row r="179">
          <cell r="A179">
            <v>1519741</v>
          </cell>
        </row>
        <row r="180">
          <cell r="A180">
            <v>1524063</v>
          </cell>
        </row>
        <row r="181">
          <cell r="A181">
            <v>1524251</v>
          </cell>
        </row>
        <row r="182">
          <cell r="A182">
            <v>1525219</v>
          </cell>
        </row>
        <row r="183">
          <cell r="A183">
            <v>1525366</v>
          </cell>
        </row>
        <row r="184">
          <cell r="A184">
            <v>1525924</v>
          </cell>
        </row>
        <row r="185">
          <cell r="A185">
            <v>1528371</v>
          </cell>
        </row>
        <row r="186">
          <cell r="A186">
            <v>1529077</v>
          </cell>
        </row>
        <row r="187">
          <cell r="A187">
            <v>1529249</v>
          </cell>
        </row>
        <row r="188">
          <cell r="A188">
            <v>1530022</v>
          </cell>
        </row>
        <row r="189">
          <cell r="A189">
            <v>1534095</v>
          </cell>
        </row>
        <row r="190">
          <cell r="A190">
            <v>1536360</v>
          </cell>
        </row>
        <row r="191">
          <cell r="A191">
            <v>1536376</v>
          </cell>
        </row>
        <row r="192">
          <cell r="A192">
            <v>1536662</v>
          </cell>
        </row>
        <row r="193">
          <cell r="A193">
            <v>1538980</v>
          </cell>
        </row>
        <row r="194">
          <cell r="A194">
            <v>1544517</v>
          </cell>
        </row>
        <row r="195">
          <cell r="A195">
            <v>1548041</v>
          </cell>
        </row>
        <row r="196">
          <cell r="A196">
            <v>1549415</v>
          </cell>
        </row>
        <row r="197">
          <cell r="A197">
            <v>1551108</v>
          </cell>
        </row>
        <row r="198">
          <cell r="A198">
            <v>1551729</v>
          </cell>
        </row>
        <row r="199">
          <cell r="A199">
            <v>1552514</v>
          </cell>
        </row>
        <row r="200">
          <cell r="A200">
            <v>1554927</v>
          </cell>
        </row>
        <row r="201">
          <cell r="A201">
            <v>1556013</v>
          </cell>
        </row>
        <row r="202">
          <cell r="A202">
            <v>1556014</v>
          </cell>
        </row>
        <row r="203">
          <cell r="A203">
            <v>1562032</v>
          </cell>
        </row>
        <row r="204">
          <cell r="A204">
            <v>1562594</v>
          </cell>
        </row>
        <row r="205">
          <cell r="A205">
            <v>1562744</v>
          </cell>
        </row>
        <row r="206">
          <cell r="A206">
            <v>1564194</v>
          </cell>
        </row>
        <row r="207">
          <cell r="A207">
            <v>1564234</v>
          </cell>
        </row>
        <row r="208">
          <cell r="A208">
            <v>1572328</v>
          </cell>
        </row>
        <row r="209">
          <cell r="A209">
            <v>1578209</v>
          </cell>
        </row>
        <row r="210">
          <cell r="A210">
            <v>1590840</v>
          </cell>
        </row>
        <row r="211">
          <cell r="A211">
            <v>1593300</v>
          </cell>
        </row>
        <row r="212">
          <cell r="A212">
            <v>1596740</v>
          </cell>
        </row>
        <row r="213">
          <cell r="A213">
            <v>1600158</v>
          </cell>
        </row>
        <row r="214">
          <cell r="A214">
            <v>1603439</v>
          </cell>
        </row>
        <row r="215">
          <cell r="A215">
            <v>1608711</v>
          </cell>
        </row>
        <row r="216">
          <cell r="A216">
            <v>1609532</v>
          </cell>
        </row>
        <row r="217">
          <cell r="A217">
            <v>1610506</v>
          </cell>
        </row>
        <row r="218">
          <cell r="A218">
            <v>1611552</v>
          </cell>
        </row>
        <row r="219">
          <cell r="A219">
            <v>1614311</v>
          </cell>
        </row>
        <row r="220">
          <cell r="A220">
            <v>1615098</v>
          </cell>
        </row>
        <row r="221">
          <cell r="A221">
            <v>1617831</v>
          </cell>
        </row>
        <row r="222">
          <cell r="A222">
            <v>1617851</v>
          </cell>
        </row>
        <row r="223">
          <cell r="A223">
            <v>1617855</v>
          </cell>
        </row>
        <row r="224">
          <cell r="A224">
            <v>1618408</v>
          </cell>
        </row>
        <row r="225">
          <cell r="A225">
            <v>1623576</v>
          </cell>
        </row>
        <row r="226">
          <cell r="A226">
            <v>1624201</v>
          </cell>
        </row>
        <row r="227">
          <cell r="A227">
            <v>1624204</v>
          </cell>
        </row>
        <row r="228">
          <cell r="A228">
            <v>1624234</v>
          </cell>
        </row>
        <row r="229">
          <cell r="A229">
            <v>1624244</v>
          </cell>
        </row>
        <row r="230">
          <cell r="A230">
            <v>1624458</v>
          </cell>
        </row>
        <row r="231">
          <cell r="A231">
            <v>1628403</v>
          </cell>
        </row>
        <row r="232">
          <cell r="A232">
            <v>1628472</v>
          </cell>
        </row>
        <row r="233">
          <cell r="A233">
            <v>1630171</v>
          </cell>
        </row>
        <row r="234">
          <cell r="A234">
            <v>1630460</v>
          </cell>
        </row>
        <row r="235">
          <cell r="A235">
            <v>1631589</v>
          </cell>
        </row>
        <row r="236">
          <cell r="A236">
            <v>1633006</v>
          </cell>
        </row>
        <row r="237">
          <cell r="A237">
            <v>1633312</v>
          </cell>
        </row>
        <row r="238">
          <cell r="A238">
            <v>1633326</v>
          </cell>
        </row>
        <row r="239">
          <cell r="A239">
            <v>1633703</v>
          </cell>
        </row>
        <row r="240">
          <cell r="A240">
            <v>1634200</v>
          </cell>
        </row>
        <row r="241">
          <cell r="A241">
            <v>1634203</v>
          </cell>
        </row>
        <row r="242">
          <cell r="A242">
            <v>1635215</v>
          </cell>
        </row>
        <row r="243">
          <cell r="A243">
            <v>1636206</v>
          </cell>
        </row>
        <row r="244">
          <cell r="A244">
            <v>1643859</v>
          </cell>
        </row>
        <row r="245">
          <cell r="A245">
            <v>1645601</v>
          </cell>
        </row>
        <row r="246">
          <cell r="A246">
            <v>1645612</v>
          </cell>
        </row>
        <row r="247">
          <cell r="A247">
            <v>1645653</v>
          </cell>
        </row>
        <row r="248">
          <cell r="A248">
            <v>1648653</v>
          </cell>
        </row>
        <row r="249">
          <cell r="A249">
            <v>1650107</v>
          </cell>
        </row>
        <row r="250">
          <cell r="A250">
            <v>1652709</v>
          </cell>
        </row>
        <row r="251">
          <cell r="A251">
            <v>1652714</v>
          </cell>
        </row>
        <row r="252">
          <cell r="A252">
            <v>1657850</v>
          </cell>
        </row>
        <row r="253">
          <cell r="A253">
            <v>1661200</v>
          </cell>
        </row>
        <row r="254">
          <cell r="A254">
            <v>1662968</v>
          </cell>
        </row>
        <row r="255">
          <cell r="A255">
            <v>1663915</v>
          </cell>
        </row>
        <row r="256">
          <cell r="A256">
            <v>1668839</v>
          </cell>
        </row>
        <row r="257">
          <cell r="A257">
            <v>1669077</v>
          </cell>
        </row>
        <row r="258">
          <cell r="A258">
            <v>1676696</v>
          </cell>
        </row>
        <row r="259">
          <cell r="A259">
            <v>1684300</v>
          </cell>
        </row>
        <row r="260">
          <cell r="A260">
            <v>1684603</v>
          </cell>
        </row>
        <row r="261">
          <cell r="A261">
            <v>1686741</v>
          </cell>
        </row>
        <row r="262">
          <cell r="A262">
            <v>1687123</v>
          </cell>
        </row>
        <row r="263">
          <cell r="A263">
            <v>1688921</v>
          </cell>
        </row>
        <row r="264">
          <cell r="A264">
            <v>1690042</v>
          </cell>
        </row>
        <row r="265">
          <cell r="A265">
            <v>1692311</v>
          </cell>
        </row>
        <row r="266">
          <cell r="A266">
            <v>1695842</v>
          </cell>
        </row>
        <row r="267">
          <cell r="A267">
            <v>1696943</v>
          </cell>
        </row>
        <row r="268">
          <cell r="A268">
            <v>1702619</v>
          </cell>
        </row>
        <row r="269">
          <cell r="A269">
            <v>1702810</v>
          </cell>
        </row>
        <row r="270">
          <cell r="A270">
            <v>1702835</v>
          </cell>
        </row>
        <row r="271">
          <cell r="A271">
            <v>1704632</v>
          </cell>
        </row>
        <row r="272">
          <cell r="A272">
            <v>1705078</v>
          </cell>
        </row>
        <row r="273">
          <cell r="A273">
            <v>1705762</v>
          </cell>
        </row>
        <row r="274">
          <cell r="A274">
            <v>1705770</v>
          </cell>
        </row>
        <row r="275">
          <cell r="A275">
            <v>1705913</v>
          </cell>
        </row>
        <row r="276">
          <cell r="A276">
            <v>1706800</v>
          </cell>
        </row>
        <row r="277">
          <cell r="A277">
            <v>1706806</v>
          </cell>
        </row>
        <row r="278">
          <cell r="A278">
            <v>1712624</v>
          </cell>
        </row>
        <row r="279">
          <cell r="A279">
            <v>1713302</v>
          </cell>
        </row>
        <row r="280">
          <cell r="A280">
            <v>1715783</v>
          </cell>
        </row>
        <row r="281">
          <cell r="A281">
            <v>1730321</v>
          </cell>
        </row>
        <row r="282">
          <cell r="A282">
            <v>1732397</v>
          </cell>
        </row>
        <row r="283">
          <cell r="A283">
            <v>1732994</v>
          </cell>
        </row>
        <row r="284">
          <cell r="A284">
            <v>1733906</v>
          </cell>
        </row>
        <row r="285">
          <cell r="A285">
            <v>1737307</v>
          </cell>
        </row>
        <row r="286">
          <cell r="A286">
            <v>1737520</v>
          </cell>
        </row>
        <row r="287">
          <cell r="A287">
            <v>1737615</v>
          </cell>
        </row>
        <row r="288">
          <cell r="A288">
            <v>1738220</v>
          </cell>
        </row>
        <row r="289">
          <cell r="A289">
            <v>1738502</v>
          </cell>
        </row>
        <row r="290">
          <cell r="A290">
            <v>1739381</v>
          </cell>
        </row>
        <row r="291">
          <cell r="A291">
            <v>1740898</v>
          </cell>
        </row>
        <row r="292">
          <cell r="A292">
            <v>1740899</v>
          </cell>
        </row>
        <row r="293">
          <cell r="A293">
            <v>1741402</v>
          </cell>
        </row>
        <row r="294">
          <cell r="A294">
            <v>1744796</v>
          </cell>
        </row>
        <row r="295">
          <cell r="A295">
            <v>1745468</v>
          </cell>
        </row>
        <row r="296">
          <cell r="A296">
            <v>1745908</v>
          </cell>
        </row>
        <row r="297">
          <cell r="A297">
            <v>1746514</v>
          </cell>
        </row>
        <row r="298">
          <cell r="A298">
            <v>1748722</v>
          </cell>
        </row>
        <row r="299">
          <cell r="A299">
            <v>1749898</v>
          </cell>
        </row>
        <row r="300">
          <cell r="A300">
            <v>1749908</v>
          </cell>
        </row>
        <row r="301">
          <cell r="A301">
            <v>1749912</v>
          </cell>
        </row>
        <row r="302">
          <cell r="A302">
            <v>1750998</v>
          </cell>
        </row>
        <row r="303">
          <cell r="A303">
            <v>1753310</v>
          </cell>
        </row>
        <row r="304">
          <cell r="A304">
            <v>1755099</v>
          </cell>
        </row>
        <row r="305">
          <cell r="A305">
            <v>1755507</v>
          </cell>
        </row>
        <row r="306">
          <cell r="A306">
            <v>1756620</v>
          </cell>
        </row>
        <row r="307">
          <cell r="A307">
            <v>1759107</v>
          </cell>
        </row>
        <row r="308">
          <cell r="A308">
            <v>1760408</v>
          </cell>
        </row>
        <row r="309">
          <cell r="A309">
            <v>1760707</v>
          </cell>
        </row>
        <row r="310">
          <cell r="A310">
            <v>1761033</v>
          </cell>
        </row>
        <row r="311">
          <cell r="A311">
            <v>1762430</v>
          </cell>
        </row>
        <row r="312">
          <cell r="A312">
            <v>1762435</v>
          </cell>
        </row>
        <row r="313">
          <cell r="A313">
            <v>1762559</v>
          </cell>
        </row>
        <row r="314">
          <cell r="A314">
            <v>1762562</v>
          </cell>
        </row>
        <row r="315">
          <cell r="A315">
            <v>1763777</v>
          </cell>
        </row>
        <row r="316">
          <cell r="A316">
            <v>1764956</v>
          </cell>
        </row>
        <row r="317">
          <cell r="A317">
            <v>1765710</v>
          </cell>
        </row>
        <row r="318">
          <cell r="A318">
            <v>1766114</v>
          </cell>
        </row>
        <row r="319">
          <cell r="A319">
            <v>1769715</v>
          </cell>
        </row>
        <row r="320">
          <cell r="A320">
            <v>1769910</v>
          </cell>
        </row>
        <row r="321">
          <cell r="A321">
            <v>1770633</v>
          </cell>
        </row>
        <row r="322">
          <cell r="A322">
            <v>1770641</v>
          </cell>
        </row>
        <row r="323">
          <cell r="A323">
            <v>1770651</v>
          </cell>
        </row>
        <row r="324">
          <cell r="A324">
            <v>1770842</v>
          </cell>
        </row>
        <row r="325">
          <cell r="A325">
            <v>1771031</v>
          </cell>
        </row>
        <row r="326">
          <cell r="A326">
            <v>1771034</v>
          </cell>
        </row>
        <row r="327">
          <cell r="A327">
            <v>1771057</v>
          </cell>
        </row>
        <row r="328">
          <cell r="A328">
            <v>1771613</v>
          </cell>
        </row>
        <row r="329">
          <cell r="A329">
            <v>1772112</v>
          </cell>
        </row>
        <row r="330">
          <cell r="A330">
            <v>1772520</v>
          </cell>
        </row>
        <row r="331">
          <cell r="A331">
            <v>1772917</v>
          </cell>
        </row>
        <row r="332">
          <cell r="A332">
            <v>1774744</v>
          </cell>
        </row>
        <row r="333">
          <cell r="A333">
            <v>1775258</v>
          </cell>
        </row>
        <row r="334">
          <cell r="A334">
            <v>1780302</v>
          </cell>
        </row>
        <row r="335">
          <cell r="A335">
            <v>1780908</v>
          </cell>
        </row>
        <row r="336">
          <cell r="A336">
            <v>1787241</v>
          </cell>
        </row>
        <row r="337">
          <cell r="A337">
            <v>1788744</v>
          </cell>
        </row>
        <row r="338">
          <cell r="A338">
            <v>1790221</v>
          </cell>
        </row>
        <row r="339">
          <cell r="A339">
            <v>1791748</v>
          </cell>
        </row>
        <row r="340">
          <cell r="A340">
            <v>1794719</v>
          </cell>
        </row>
        <row r="341">
          <cell r="A341">
            <v>1800018</v>
          </cell>
        </row>
        <row r="342">
          <cell r="A342">
            <v>1802897</v>
          </cell>
        </row>
        <row r="343">
          <cell r="A343">
            <v>1808321</v>
          </cell>
        </row>
        <row r="344">
          <cell r="A344">
            <v>1811304</v>
          </cell>
        </row>
        <row r="345">
          <cell r="A345">
            <v>1811400</v>
          </cell>
        </row>
        <row r="346">
          <cell r="A346">
            <v>1811751</v>
          </cell>
        </row>
        <row r="347">
          <cell r="A347">
            <v>1812533</v>
          </cell>
        </row>
        <row r="348">
          <cell r="A348">
            <v>1814105</v>
          </cell>
        </row>
        <row r="349">
          <cell r="A349">
            <v>1814803</v>
          </cell>
        </row>
        <row r="350">
          <cell r="A350">
            <v>1815179</v>
          </cell>
        </row>
        <row r="351">
          <cell r="A351">
            <v>1816896</v>
          </cell>
        </row>
        <row r="352">
          <cell r="A352">
            <v>1817629</v>
          </cell>
        </row>
        <row r="353">
          <cell r="A353">
            <v>1819275</v>
          </cell>
        </row>
        <row r="354">
          <cell r="A354">
            <v>1825003</v>
          </cell>
        </row>
        <row r="355">
          <cell r="A355">
            <v>1825401</v>
          </cell>
        </row>
        <row r="356">
          <cell r="A356">
            <v>1827494</v>
          </cell>
        </row>
        <row r="357">
          <cell r="A357">
            <v>1828628</v>
          </cell>
        </row>
        <row r="358">
          <cell r="A358">
            <v>1830617</v>
          </cell>
        </row>
        <row r="359">
          <cell r="A359">
            <v>1831401</v>
          </cell>
        </row>
        <row r="360">
          <cell r="A360">
            <v>1832614</v>
          </cell>
        </row>
        <row r="361">
          <cell r="A361">
            <v>1833626</v>
          </cell>
        </row>
        <row r="362">
          <cell r="A362">
            <v>1834776</v>
          </cell>
        </row>
        <row r="363">
          <cell r="A363">
            <v>1835099</v>
          </cell>
        </row>
        <row r="364">
          <cell r="A364">
            <v>1836222</v>
          </cell>
        </row>
        <row r="365">
          <cell r="A365">
            <v>1840007</v>
          </cell>
        </row>
        <row r="366">
          <cell r="A366">
            <v>1845102</v>
          </cell>
        </row>
        <row r="367">
          <cell r="A367">
            <v>1845595</v>
          </cell>
        </row>
        <row r="368">
          <cell r="A368">
            <v>1845797</v>
          </cell>
        </row>
        <row r="369">
          <cell r="A369">
            <v>1847419</v>
          </cell>
        </row>
        <row r="370">
          <cell r="A370">
            <v>1851227</v>
          </cell>
        </row>
        <row r="371">
          <cell r="A371">
            <v>1852563</v>
          </cell>
        </row>
        <row r="372">
          <cell r="A372">
            <v>1856535</v>
          </cell>
        </row>
        <row r="373">
          <cell r="A373">
            <v>1856578</v>
          </cell>
        </row>
        <row r="374">
          <cell r="A374">
            <v>1860111</v>
          </cell>
        </row>
        <row r="375">
          <cell r="A375">
            <v>1862408</v>
          </cell>
        </row>
        <row r="376">
          <cell r="A376">
            <v>1862535</v>
          </cell>
        </row>
        <row r="377">
          <cell r="A377">
            <v>1862597</v>
          </cell>
        </row>
        <row r="378">
          <cell r="A378">
            <v>1862600</v>
          </cell>
        </row>
        <row r="379">
          <cell r="A379">
            <v>1864346</v>
          </cell>
        </row>
        <row r="380">
          <cell r="A380">
            <v>1865600</v>
          </cell>
        </row>
        <row r="381">
          <cell r="A381">
            <v>1865803</v>
          </cell>
        </row>
        <row r="382">
          <cell r="A382">
            <v>1866238</v>
          </cell>
        </row>
        <row r="383">
          <cell r="A383">
            <v>1866626</v>
          </cell>
        </row>
        <row r="384">
          <cell r="A384">
            <v>1868307</v>
          </cell>
        </row>
        <row r="385">
          <cell r="A385">
            <v>1868399</v>
          </cell>
        </row>
        <row r="386">
          <cell r="A386">
            <v>1868932</v>
          </cell>
        </row>
        <row r="387">
          <cell r="A387">
            <v>1870798</v>
          </cell>
        </row>
        <row r="388">
          <cell r="A388">
            <v>1871301</v>
          </cell>
        </row>
        <row r="389">
          <cell r="A389">
            <v>1871827</v>
          </cell>
        </row>
        <row r="390">
          <cell r="A390">
            <v>1873457</v>
          </cell>
        </row>
        <row r="391">
          <cell r="A391">
            <v>1873532</v>
          </cell>
        </row>
        <row r="392">
          <cell r="A392">
            <v>1873557</v>
          </cell>
        </row>
        <row r="393">
          <cell r="A393">
            <v>1873565</v>
          </cell>
        </row>
        <row r="394">
          <cell r="A394">
            <v>1873809</v>
          </cell>
        </row>
        <row r="395">
          <cell r="A395">
            <v>1874001</v>
          </cell>
        </row>
        <row r="396">
          <cell r="A396">
            <v>1874303</v>
          </cell>
        </row>
        <row r="397">
          <cell r="A397">
            <v>1875638</v>
          </cell>
        </row>
        <row r="398">
          <cell r="A398">
            <v>1875901</v>
          </cell>
        </row>
        <row r="399">
          <cell r="A399">
            <v>1880224</v>
          </cell>
        </row>
        <row r="400">
          <cell r="A400">
            <v>1880413</v>
          </cell>
        </row>
        <row r="401">
          <cell r="A401">
            <v>1880607</v>
          </cell>
        </row>
        <row r="402">
          <cell r="A402">
            <v>1880700</v>
          </cell>
        </row>
        <row r="403">
          <cell r="A403">
            <v>1881000</v>
          </cell>
        </row>
        <row r="404">
          <cell r="A404">
            <v>1881411</v>
          </cell>
        </row>
        <row r="405">
          <cell r="A405">
            <v>1881606</v>
          </cell>
        </row>
        <row r="406">
          <cell r="A406">
            <v>1881638</v>
          </cell>
        </row>
        <row r="407">
          <cell r="A407">
            <v>1882900</v>
          </cell>
        </row>
        <row r="408">
          <cell r="A408">
            <v>1884327</v>
          </cell>
        </row>
        <row r="409">
          <cell r="A409">
            <v>1891415</v>
          </cell>
        </row>
        <row r="410">
          <cell r="A410">
            <v>1895419</v>
          </cell>
        </row>
        <row r="411">
          <cell r="A411">
            <v>1899334</v>
          </cell>
        </row>
        <row r="412">
          <cell r="A412">
            <v>1900900</v>
          </cell>
        </row>
        <row r="413">
          <cell r="A413">
            <v>1900902</v>
          </cell>
        </row>
        <row r="414">
          <cell r="A414">
            <v>1910298</v>
          </cell>
        </row>
        <row r="415">
          <cell r="A415">
            <v>1910100</v>
          </cell>
        </row>
        <row r="416">
          <cell r="A416">
            <v>1883498</v>
          </cell>
        </row>
        <row r="417">
          <cell r="A417">
            <v>1913796</v>
          </cell>
        </row>
        <row r="418">
          <cell r="A418">
            <v>1910740</v>
          </cell>
        </row>
        <row r="419">
          <cell r="A419">
            <v>1913332</v>
          </cell>
        </row>
        <row r="420">
          <cell r="A420">
            <v>1920699</v>
          </cell>
        </row>
        <row r="421">
          <cell r="A421">
            <v>1914444</v>
          </cell>
        </row>
        <row r="422">
          <cell r="A422">
            <v>1922807</v>
          </cell>
        </row>
        <row r="423">
          <cell r="A423">
            <v>1922802</v>
          </cell>
        </row>
        <row r="424">
          <cell r="A424">
            <v>1921000</v>
          </cell>
        </row>
        <row r="425">
          <cell r="A425">
            <v>1831360</v>
          </cell>
        </row>
        <row r="426">
          <cell r="A426">
            <v>1925178</v>
          </cell>
        </row>
        <row r="427">
          <cell r="A427">
            <v>1909199</v>
          </cell>
        </row>
        <row r="428">
          <cell r="A428">
            <v>1872505</v>
          </cell>
        </row>
        <row r="429">
          <cell r="A429">
            <v>1928069</v>
          </cell>
        </row>
        <row r="430">
          <cell r="A430">
            <v>1928411</v>
          </cell>
        </row>
        <row r="431">
          <cell r="A431">
            <v>1928698</v>
          </cell>
        </row>
        <row r="432">
          <cell r="A432">
            <v>1928706</v>
          </cell>
        </row>
        <row r="433">
          <cell r="A433">
            <v>1928697</v>
          </cell>
        </row>
        <row r="434">
          <cell r="A434">
            <v>1928211</v>
          </cell>
        </row>
        <row r="435">
          <cell r="A435">
            <v>1928191</v>
          </cell>
        </row>
        <row r="436">
          <cell r="A436">
            <v>1924703</v>
          </cell>
        </row>
        <row r="437">
          <cell r="A437">
            <v>1927132</v>
          </cell>
        </row>
        <row r="438">
          <cell r="A438">
            <v>1928031</v>
          </cell>
        </row>
        <row r="439">
          <cell r="A439">
            <v>1945612</v>
          </cell>
        </row>
        <row r="440">
          <cell r="A440">
            <v>1929274</v>
          </cell>
        </row>
        <row r="441">
          <cell r="A441">
            <v>1945313</v>
          </cell>
        </row>
        <row r="442">
          <cell r="A442">
            <v>1842810</v>
          </cell>
        </row>
        <row r="443">
          <cell r="A443">
            <v>1656322</v>
          </cell>
        </row>
        <row r="444">
          <cell r="A444">
            <v>1913119</v>
          </cell>
        </row>
        <row r="445">
          <cell r="A445">
            <v>1360609</v>
          </cell>
        </row>
        <row r="446">
          <cell r="A446">
            <v>1246945</v>
          </cell>
        </row>
        <row r="447">
          <cell r="A447">
            <v>1019768</v>
          </cell>
        </row>
        <row r="448">
          <cell r="A448">
            <v>1036652</v>
          </cell>
        </row>
        <row r="449">
          <cell r="A449">
            <v>1273347</v>
          </cell>
        </row>
        <row r="450">
          <cell r="A450">
            <v>1523415</v>
          </cell>
        </row>
        <row r="451">
          <cell r="A451">
            <v>1951142</v>
          </cell>
        </row>
        <row r="452">
          <cell r="A452">
            <v>1951610</v>
          </cell>
        </row>
        <row r="453">
          <cell r="A453">
            <v>1467799</v>
          </cell>
        </row>
        <row r="454">
          <cell r="A454">
            <v>1467910</v>
          </cell>
        </row>
        <row r="455">
          <cell r="A455">
            <v>1106499</v>
          </cell>
        </row>
        <row r="456">
          <cell r="A456">
            <v>1478006</v>
          </cell>
        </row>
        <row r="457">
          <cell r="A457">
            <v>1523412</v>
          </cell>
        </row>
        <row r="458">
          <cell r="A458">
            <v>1523413</v>
          </cell>
        </row>
        <row r="459">
          <cell r="A459">
            <v>1591519</v>
          </cell>
        </row>
        <row r="460">
          <cell r="A460">
            <v>1250210</v>
          </cell>
        </row>
        <row r="461">
          <cell r="A461">
            <v>1913895</v>
          </cell>
        </row>
        <row r="462">
          <cell r="A462">
            <v>1949343</v>
          </cell>
        </row>
        <row r="463">
          <cell r="A463">
            <v>1953069</v>
          </cell>
        </row>
        <row r="464">
          <cell r="A464">
            <v>1956829</v>
          </cell>
        </row>
        <row r="465">
          <cell r="A465">
            <v>1957334</v>
          </cell>
        </row>
        <row r="466">
          <cell r="A466">
            <v>1960431</v>
          </cell>
        </row>
        <row r="467">
          <cell r="A467">
            <v>1030058</v>
          </cell>
        </row>
        <row r="468">
          <cell r="A468">
            <v>1961036</v>
          </cell>
        </row>
        <row r="469">
          <cell r="A469">
            <v>1960656</v>
          </cell>
        </row>
        <row r="470">
          <cell r="A470">
            <v>1957098</v>
          </cell>
        </row>
        <row r="471">
          <cell r="A471">
            <v>1952407</v>
          </cell>
        </row>
        <row r="472">
          <cell r="A472">
            <v>1958029</v>
          </cell>
        </row>
        <row r="473">
          <cell r="A473">
            <v>1950341</v>
          </cell>
        </row>
        <row r="474">
          <cell r="A474">
            <v>1962608</v>
          </cell>
        </row>
        <row r="475">
          <cell r="A475">
            <v>1961440</v>
          </cell>
        </row>
        <row r="476">
          <cell r="A476">
            <v>1963557</v>
          </cell>
        </row>
        <row r="477">
          <cell r="A477">
            <v>1962741</v>
          </cell>
        </row>
        <row r="478">
          <cell r="A478">
            <v>1964613</v>
          </cell>
        </row>
        <row r="479">
          <cell r="A479">
            <v>1964500</v>
          </cell>
        </row>
        <row r="480">
          <cell r="A480">
            <v>1965228</v>
          </cell>
        </row>
        <row r="481">
          <cell r="A481">
            <v>1965039</v>
          </cell>
        </row>
        <row r="482">
          <cell r="A482">
            <v>1964723</v>
          </cell>
        </row>
        <row r="483">
          <cell r="A483">
            <v>1964969</v>
          </cell>
        </row>
        <row r="484">
          <cell r="A484">
            <v>1964676</v>
          </cell>
        </row>
        <row r="485">
          <cell r="A485">
            <v>1964665</v>
          </cell>
        </row>
        <row r="486">
          <cell r="A486">
            <v>1928064</v>
          </cell>
        </row>
        <row r="487">
          <cell r="A487">
            <v>1928043</v>
          </cell>
        </row>
        <row r="488">
          <cell r="A488">
            <v>1929506</v>
          </cell>
        </row>
        <row r="489">
          <cell r="A489">
            <v>1962430</v>
          </cell>
        </row>
        <row r="490">
          <cell r="A490">
            <v>1925347</v>
          </cell>
        </row>
        <row r="491">
          <cell r="A491">
            <v>1966802</v>
          </cell>
        </row>
        <row r="492">
          <cell r="A492">
            <v>1964686</v>
          </cell>
        </row>
        <row r="493">
          <cell r="A493">
            <v>1966870</v>
          </cell>
        </row>
        <row r="494">
          <cell r="A494">
            <v>1206703</v>
          </cell>
        </row>
        <row r="495">
          <cell r="A495">
            <v>1964991</v>
          </cell>
        </row>
        <row r="496">
          <cell r="A496">
            <v>1347617</v>
          </cell>
        </row>
        <row r="497">
          <cell r="A497">
            <v>1733136</v>
          </cell>
        </row>
        <row r="498">
          <cell r="A498">
            <v>1874626</v>
          </cell>
        </row>
        <row r="499">
          <cell r="A499">
            <v>1523438</v>
          </cell>
        </row>
        <row r="500">
          <cell r="A500">
            <v>1969434</v>
          </cell>
        </row>
        <row r="501">
          <cell r="A501">
            <v>1974315</v>
          </cell>
        </row>
        <row r="502">
          <cell r="A502">
            <v>1969312</v>
          </cell>
        </row>
        <row r="503">
          <cell r="A503">
            <v>1975352</v>
          </cell>
        </row>
        <row r="504">
          <cell r="A504">
            <v>1975356</v>
          </cell>
        </row>
        <row r="505">
          <cell r="A505">
            <v>1975808</v>
          </cell>
        </row>
        <row r="506">
          <cell r="A506">
            <v>1975655</v>
          </cell>
        </row>
        <row r="507">
          <cell r="A507">
            <v>1729916</v>
          </cell>
        </row>
        <row r="508">
          <cell r="A508">
            <v>1977084</v>
          </cell>
        </row>
        <row r="509">
          <cell r="A509">
            <v>1908840</v>
          </cell>
        </row>
        <row r="510">
          <cell r="A510">
            <v>1982311</v>
          </cell>
        </row>
        <row r="511">
          <cell r="A511">
            <v>1977041</v>
          </cell>
        </row>
        <row r="512">
          <cell r="A512">
            <v>1983206</v>
          </cell>
        </row>
        <row r="513">
          <cell r="A513">
            <v>1980289</v>
          </cell>
        </row>
        <row r="514">
          <cell r="A514">
            <v>1976989</v>
          </cell>
        </row>
        <row r="515">
          <cell r="A515">
            <v>1982566</v>
          </cell>
        </row>
        <row r="516">
          <cell r="A516">
            <v>1982597</v>
          </cell>
        </row>
        <row r="517">
          <cell r="A517">
            <v>1986125</v>
          </cell>
        </row>
        <row r="518">
          <cell r="A518">
            <v>1874644</v>
          </cell>
        </row>
        <row r="519">
          <cell r="A519">
            <v>1878114</v>
          </cell>
        </row>
        <row r="520">
          <cell r="A520">
            <v>1986421</v>
          </cell>
        </row>
        <row r="521">
          <cell r="A521">
            <v>1164716</v>
          </cell>
        </row>
        <row r="522">
          <cell r="A522">
            <v>1998013</v>
          </cell>
        </row>
        <row r="523">
          <cell r="A523">
            <v>1997859</v>
          </cell>
        </row>
        <row r="524">
          <cell r="A524">
            <v>1985113</v>
          </cell>
        </row>
        <row r="525">
          <cell r="A525">
            <v>1969082</v>
          </cell>
        </row>
        <row r="526">
          <cell r="A526">
            <v>2003367</v>
          </cell>
        </row>
        <row r="527">
          <cell r="A527">
            <v>1964462</v>
          </cell>
        </row>
        <row r="528">
          <cell r="A528">
            <v>2003413</v>
          </cell>
        </row>
        <row r="529">
          <cell r="A529">
            <v>2003379</v>
          </cell>
        </row>
        <row r="530">
          <cell r="A530">
            <v>1695307</v>
          </cell>
        </row>
        <row r="531">
          <cell r="A531">
            <v>1695304</v>
          </cell>
        </row>
        <row r="532">
          <cell r="A532">
            <v>2003922</v>
          </cell>
        </row>
        <row r="533">
          <cell r="A533">
            <v>2005960</v>
          </cell>
        </row>
        <row r="534">
          <cell r="A534">
            <v>2005076</v>
          </cell>
        </row>
        <row r="535">
          <cell r="A535">
            <v>2005080</v>
          </cell>
        </row>
        <row r="536">
          <cell r="A536">
            <v>2005801</v>
          </cell>
        </row>
        <row r="537">
          <cell r="A537">
            <v>2004993</v>
          </cell>
        </row>
        <row r="538">
          <cell r="A538">
            <v>2008407</v>
          </cell>
        </row>
        <row r="539">
          <cell r="A539">
            <v>1987130</v>
          </cell>
        </row>
        <row r="540">
          <cell r="A540">
            <v>1987128</v>
          </cell>
        </row>
        <row r="541">
          <cell r="A541">
            <v>2006060</v>
          </cell>
        </row>
        <row r="542">
          <cell r="A542">
            <v>2010009</v>
          </cell>
        </row>
        <row r="543">
          <cell r="A543">
            <v>1001543</v>
          </cell>
        </row>
        <row r="544">
          <cell r="A544">
            <v>2010146</v>
          </cell>
        </row>
        <row r="545">
          <cell r="A545">
            <v>1769915</v>
          </cell>
        </row>
        <row r="546">
          <cell r="A546">
            <v>2010745</v>
          </cell>
        </row>
        <row r="547">
          <cell r="A547">
            <v>2006250</v>
          </cell>
        </row>
        <row r="548">
          <cell r="A548">
            <v>2015112</v>
          </cell>
        </row>
        <row r="549">
          <cell r="A549">
            <v>2010998</v>
          </cell>
        </row>
        <row r="550">
          <cell r="A550">
            <v>2015131</v>
          </cell>
        </row>
        <row r="551">
          <cell r="A551">
            <v>2014955</v>
          </cell>
        </row>
        <row r="552">
          <cell r="A552">
            <v>2010447</v>
          </cell>
        </row>
        <row r="553">
          <cell r="A553">
            <v>2012564</v>
          </cell>
        </row>
        <row r="554">
          <cell r="A554">
            <v>2015085</v>
          </cell>
        </row>
        <row r="555">
          <cell r="A555">
            <v>1746497</v>
          </cell>
        </row>
        <row r="556">
          <cell r="A556">
            <v>2015638</v>
          </cell>
        </row>
        <row r="557">
          <cell r="A557">
            <v>2009611</v>
          </cell>
        </row>
        <row r="558">
          <cell r="A558">
            <v>2016784</v>
          </cell>
        </row>
        <row r="559">
          <cell r="A559">
            <v>2017297</v>
          </cell>
        </row>
        <row r="560">
          <cell r="A560">
            <v>2017321</v>
          </cell>
        </row>
        <row r="561">
          <cell r="A561">
            <v>2003370</v>
          </cell>
        </row>
        <row r="562">
          <cell r="A562">
            <v>2017693</v>
          </cell>
        </row>
        <row r="563">
          <cell r="A563">
            <v>2017215</v>
          </cell>
        </row>
        <row r="564">
          <cell r="A564">
            <v>2016179</v>
          </cell>
        </row>
        <row r="565">
          <cell r="A565">
            <v>2034402</v>
          </cell>
        </row>
        <row r="566">
          <cell r="A566">
            <v>2034795</v>
          </cell>
        </row>
        <row r="567">
          <cell r="A567">
            <v>2034587</v>
          </cell>
        </row>
        <row r="568">
          <cell r="A568">
            <v>2034001</v>
          </cell>
        </row>
        <row r="569">
          <cell r="A569">
            <v>2035010</v>
          </cell>
        </row>
        <row r="570">
          <cell r="A570">
            <v>2035517</v>
          </cell>
        </row>
        <row r="571">
          <cell r="A571">
            <v>2036968</v>
          </cell>
        </row>
        <row r="572">
          <cell r="A572">
            <v>2036136</v>
          </cell>
        </row>
        <row r="573">
          <cell r="A573">
            <v>2036514</v>
          </cell>
        </row>
        <row r="574">
          <cell r="A574">
            <v>2036131</v>
          </cell>
        </row>
        <row r="575">
          <cell r="A575">
            <v>2035155</v>
          </cell>
        </row>
        <row r="576">
          <cell r="A576">
            <v>2036557</v>
          </cell>
        </row>
        <row r="577">
          <cell r="A577">
            <v>2036577</v>
          </cell>
        </row>
        <row r="578">
          <cell r="A578">
            <v>1770841</v>
          </cell>
        </row>
        <row r="579">
          <cell r="A579">
            <v>1712621</v>
          </cell>
        </row>
        <row r="580">
          <cell r="A580">
            <v>2033607</v>
          </cell>
        </row>
        <row r="581">
          <cell r="A581">
            <v>2036546</v>
          </cell>
        </row>
        <row r="582">
          <cell r="A582">
            <v>2038098</v>
          </cell>
        </row>
        <row r="583">
          <cell r="A583">
            <v>2038049</v>
          </cell>
        </row>
        <row r="584">
          <cell r="A584">
            <v>2036785</v>
          </cell>
        </row>
        <row r="585">
          <cell r="A585">
            <v>2039125</v>
          </cell>
        </row>
        <row r="586">
          <cell r="A586">
            <v>2038388</v>
          </cell>
        </row>
        <row r="587">
          <cell r="A587">
            <v>2039516</v>
          </cell>
        </row>
        <row r="588">
          <cell r="A588">
            <v>2039131</v>
          </cell>
        </row>
        <row r="589">
          <cell r="A589">
            <v>2039690</v>
          </cell>
        </row>
        <row r="590">
          <cell r="A590">
            <v>2039687</v>
          </cell>
        </row>
        <row r="591">
          <cell r="A591">
            <v>2040333</v>
          </cell>
        </row>
        <row r="592">
          <cell r="A592">
            <v>2040337</v>
          </cell>
        </row>
        <row r="593">
          <cell r="A593">
            <v>2040082</v>
          </cell>
        </row>
        <row r="594">
          <cell r="A594">
            <v>2040511</v>
          </cell>
        </row>
        <row r="595">
          <cell r="A595">
            <v>2036590</v>
          </cell>
        </row>
        <row r="596">
          <cell r="A596">
            <v>2045590</v>
          </cell>
        </row>
        <row r="597">
          <cell r="A597">
            <v>2046445</v>
          </cell>
        </row>
        <row r="598">
          <cell r="A598">
            <v>2045462</v>
          </cell>
        </row>
        <row r="599">
          <cell r="A599">
            <v>2041625</v>
          </cell>
        </row>
        <row r="600">
          <cell r="A600">
            <v>1984735</v>
          </cell>
        </row>
        <row r="601">
          <cell r="A601">
            <v>2048197</v>
          </cell>
        </row>
        <row r="602">
          <cell r="A602">
            <v>2048201</v>
          </cell>
        </row>
        <row r="603">
          <cell r="A603">
            <v>2045774</v>
          </cell>
        </row>
        <row r="604">
          <cell r="A604">
            <v>2049529</v>
          </cell>
        </row>
        <row r="605">
          <cell r="A605">
            <v>2050962</v>
          </cell>
        </row>
        <row r="606">
          <cell r="A606">
            <v>1841903</v>
          </cell>
        </row>
        <row r="607">
          <cell r="A607">
            <v>2052761</v>
          </cell>
        </row>
        <row r="608">
          <cell r="A608">
            <v>2056954</v>
          </cell>
        </row>
        <row r="609">
          <cell r="A609">
            <v>2058808</v>
          </cell>
        </row>
        <row r="610">
          <cell r="A610">
            <v>2058301</v>
          </cell>
        </row>
        <row r="611">
          <cell r="A611">
            <v>2058901</v>
          </cell>
        </row>
        <row r="612">
          <cell r="A612">
            <v>2050238</v>
          </cell>
        </row>
        <row r="613">
          <cell r="A613">
            <v>1964460</v>
          </cell>
        </row>
        <row r="614">
          <cell r="A614">
            <v>2052763</v>
          </cell>
        </row>
        <row r="615">
          <cell r="A615">
            <v>2068561</v>
          </cell>
        </row>
        <row r="616">
          <cell r="A616">
            <v>2068121</v>
          </cell>
        </row>
        <row r="617">
          <cell r="A617">
            <v>2050143</v>
          </cell>
        </row>
        <row r="618">
          <cell r="A618">
            <v>2072466</v>
          </cell>
        </row>
        <row r="619">
          <cell r="A619">
            <v>2072477</v>
          </cell>
        </row>
        <row r="620">
          <cell r="A620">
            <v>2074219</v>
          </cell>
        </row>
        <row r="621">
          <cell r="A621">
            <v>2096222</v>
          </cell>
        </row>
        <row r="622">
          <cell r="A622">
            <v>2096229</v>
          </cell>
        </row>
        <row r="623">
          <cell r="A623">
            <v>2073348</v>
          </cell>
        </row>
        <row r="624">
          <cell r="A624">
            <v>2095857</v>
          </cell>
        </row>
        <row r="625">
          <cell r="A625">
            <v>2096728</v>
          </cell>
        </row>
        <row r="626">
          <cell r="A626">
            <v>2072039</v>
          </cell>
        </row>
        <row r="627">
          <cell r="A627">
            <v>2074216</v>
          </cell>
        </row>
        <row r="628">
          <cell r="A628">
            <v>2072031</v>
          </cell>
        </row>
        <row r="629">
          <cell r="A629">
            <v>2072408</v>
          </cell>
        </row>
        <row r="630">
          <cell r="A630">
            <v>2096726</v>
          </cell>
        </row>
        <row r="631">
          <cell r="A631">
            <v>1844418</v>
          </cell>
        </row>
        <row r="632">
          <cell r="A632">
            <v>1825107</v>
          </cell>
        </row>
        <row r="633">
          <cell r="A633">
            <v>2095848</v>
          </cell>
        </row>
        <row r="634">
          <cell r="A634">
            <v>2098138</v>
          </cell>
        </row>
        <row r="635">
          <cell r="A635">
            <v>2098415</v>
          </cell>
        </row>
        <row r="636">
          <cell r="A636">
            <v>2098514</v>
          </cell>
        </row>
        <row r="637">
          <cell r="A637">
            <v>2098816</v>
          </cell>
        </row>
        <row r="638">
          <cell r="A638">
            <v>2099619</v>
          </cell>
        </row>
        <row r="639">
          <cell r="A639">
            <v>2099548</v>
          </cell>
        </row>
        <row r="640">
          <cell r="A640">
            <v>2099623</v>
          </cell>
        </row>
        <row r="641">
          <cell r="A641">
            <v>2083721</v>
          </cell>
        </row>
        <row r="642">
          <cell r="A642">
            <v>2100317</v>
          </cell>
        </row>
        <row r="643">
          <cell r="A643">
            <v>2098465</v>
          </cell>
        </row>
        <row r="644">
          <cell r="A644">
            <v>2100918</v>
          </cell>
        </row>
        <row r="645">
          <cell r="A645">
            <v>2101501</v>
          </cell>
        </row>
        <row r="646">
          <cell r="A646">
            <v>2101124</v>
          </cell>
        </row>
        <row r="647">
          <cell r="A647">
            <v>2102314</v>
          </cell>
        </row>
        <row r="648">
          <cell r="A648">
            <v>2102307</v>
          </cell>
        </row>
        <row r="649">
          <cell r="A649">
            <v>2101431</v>
          </cell>
        </row>
        <row r="650">
          <cell r="A650">
            <v>2104513</v>
          </cell>
        </row>
        <row r="651">
          <cell r="A651">
            <v>1564231</v>
          </cell>
        </row>
        <row r="652">
          <cell r="A652">
            <v>1976998</v>
          </cell>
        </row>
        <row r="653">
          <cell r="A653">
            <v>2103675</v>
          </cell>
        </row>
        <row r="654">
          <cell r="A654">
            <v>2101885</v>
          </cell>
        </row>
        <row r="655">
          <cell r="A655">
            <v>2104852</v>
          </cell>
        </row>
        <row r="656">
          <cell r="A656">
            <v>3001189</v>
          </cell>
        </row>
        <row r="657">
          <cell r="A657">
            <v>2104732</v>
          </cell>
        </row>
        <row r="658">
          <cell r="A658">
            <v>3000404</v>
          </cell>
        </row>
        <row r="659">
          <cell r="A659">
            <v>3000063</v>
          </cell>
        </row>
        <row r="660">
          <cell r="A660">
            <v>3001717</v>
          </cell>
        </row>
        <row r="661">
          <cell r="A661">
            <v>3000599</v>
          </cell>
        </row>
        <row r="662">
          <cell r="A662">
            <v>3000383</v>
          </cell>
        </row>
        <row r="663">
          <cell r="A663">
            <v>1958100</v>
          </cell>
        </row>
        <row r="664">
          <cell r="A664">
            <v>1962506</v>
          </cell>
        </row>
        <row r="665">
          <cell r="A665">
            <v>1857080</v>
          </cell>
        </row>
        <row r="666">
          <cell r="A666">
            <v>1961834</v>
          </cell>
        </row>
        <row r="667">
          <cell r="A667">
            <v>3001408</v>
          </cell>
        </row>
        <row r="668">
          <cell r="A668">
            <v>3000394</v>
          </cell>
        </row>
        <row r="669">
          <cell r="A669">
            <v>3002211</v>
          </cell>
        </row>
        <row r="670">
          <cell r="A670">
            <v>3002807</v>
          </cell>
        </row>
        <row r="671">
          <cell r="A671">
            <v>3003588</v>
          </cell>
        </row>
        <row r="672">
          <cell r="A672">
            <v>3004003</v>
          </cell>
        </row>
        <row r="673">
          <cell r="A673">
            <v>3004007</v>
          </cell>
        </row>
        <row r="674">
          <cell r="A674">
            <v>3004015</v>
          </cell>
        </row>
        <row r="675">
          <cell r="A675">
            <v>3002271</v>
          </cell>
        </row>
        <row r="676">
          <cell r="A676">
            <v>3002886</v>
          </cell>
        </row>
        <row r="677">
          <cell r="A677">
            <v>3003746</v>
          </cell>
        </row>
        <row r="678">
          <cell r="A678"/>
        </row>
        <row r="679">
          <cell r="A679"/>
        </row>
        <row r="680">
          <cell r="A680"/>
        </row>
        <row r="681">
          <cell r="A681"/>
        </row>
        <row r="682">
          <cell r="A682"/>
        </row>
        <row r="683">
          <cell r="A683"/>
        </row>
        <row r="684">
          <cell r="A684"/>
        </row>
        <row r="685">
          <cell r="A685"/>
        </row>
        <row r="686">
          <cell r="A686"/>
        </row>
        <row r="687">
          <cell r="A687"/>
        </row>
        <row r="688">
          <cell r="A688"/>
        </row>
        <row r="689">
          <cell r="A689"/>
        </row>
        <row r="690">
          <cell r="A690"/>
        </row>
        <row r="691">
          <cell r="A691"/>
        </row>
        <row r="692">
          <cell r="A692"/>
        </row>
        <row r="693">
          <cell r="A693"/>
        </row>
        <row r="694">
          <cell r="A694"/>
        </row>
        <row r="695">
          <cell r="A695"/>
        </row>
        <row r="696">
          <cell r="A696"/>
        </row>
        <row r="697">
          <cell r="A697"/>
        </row>
        <row r="698">
          <cell r="A698"/>
        </row>
        <row r="699">
          <cell r="A699"/>
        </row>
        <row r="700">
          <cell r="A700"/>
        </row>
        <row r="701">
          <cell r="A701"/>
        </row>
        <row r="702">
          <cell r="A702"/>
        </row>
        <row r="703">
          <cell r="A703"/>
        </row>
        <row r="704">
          <cell r="A704"/>
        </row>
        <row r="705">
          <cell r="A705"/>
        </row>
        <row r="706">
          <cell r="A706"/>
        </row>
        <row r="707">
          <cell r="A707"/>
        </row>
        <row r="708">
          <cell r="A708"/>
        </row>
        <row r="709">
          <cell r="A709"/>
        </row>
        <row r="710">
          <cell r="A710"/>
        </row>
        <row r="711">
          <cell r="A711"/>
        </row>
        <row r="712">
          <cell r="A712"/>
        </row>
        <row r="713">
          <cell r="A713"/>
        </row>
        <row r="714">
          <cell r="A714"/>
        </row>
        <row r="715">
          <cell r="A715"/>
        </row>
        <row r="716">
          <cell r="A716"/>
        </row>
        <row r="717">
          <cell r="A717"/>
        </row>
        <row r="718">
          <cell r="A718"/>
        </row>
        <row r="719">
          <cell r="A719"/>
        </row>
        <row r="720">
          <cell r="A720"/>
        </row>
        <row r="721">
          <cell r="A721"/>
        </row>
        <row r="722">
          <cell r="A722"/>
        </row>
        <row r="723">
          <cell r="A723"/>
        </row>
        <row r="724">
          <cell r="A724"/>
        </row>
        <row r="725">
          <cell r="A725"/>
        </row>
        <row r="726">
          <cell r="A726"/>
        </row>
        <row r="727">
          <cell r="A727"/>
        </row>
        <row r="728">
          <cell r="A728"/>
        </row>
        <row r="729">
          <cell r="A729"/>
        </row>
        <row r="730">
          <cell r="A730"/>
        </row>
        <row r="731">
          <cell r="A731"/>
        </row>
        <row r="732">
          <cell r="A732"/>
        </row>
        <row r="733">
          <cell r="A733"/>
        </row>
        <row r="734">
          <cell r="A734"/>
        </row>
        <row r="735">
          <cell r="A735"/>
        </row>
        <row r="736">
          <cell r="A736"/>
        </row>
        <row r="737">
          <cell r="A737"/>
        </row>
        <row r="738">
          <cell r="A738"/>
        </row>
        <row r="739">
          <cell r="A739"/>
        </row>
        <row r="740">
          <cell r="A740"/>
        </row>
        <row r="741">
          <cell r="A741"/>
        </row>
        <row r="742">
          <cell r="A742"/>
        </row>
        <row r="743">
          <cell r="A743"/>
        </row>
        <row r="744">
          <cell r="A744"/>
        </row>
        <row r="745">
          <cell r="A745"/>
        </row>
        <row r="746">
          <cell r="A746"/>
        </row>
        <row r="747">
          <cell r="A747"/>
        </row>
        <row r="748">
          <cell r="A748"/>
        </row>
        <row r="749">
          <cell r="A749"/>
        </row>
        <row r="750">
          <cell r="A750"/>
        </row>
        <row r="751">
          <cell r="A751"/>
        </row>
        <row r="752">
          <cell r="A752"/>
        </row>
        <row r="753">
          <cell r="A753"/>
        </row>
        <row r="754">
          <cell r="A754"/>
        </row>
        <row r="755">
          <cell r="A755"/>
        </row>
        <row r="756">
          <cell r="A756"/>
        </row>
        <row r="757">
          <cell r="A757"/>
        </row>
        <row r="758">
          <cell r="A758"/>
        </row>
        <row r="759">
          <cell r="A759"/>
        </row>
        <row r="760">
          <cell r="A760"/>
        </row>
        <row r="761">
          <cell r="A761"/>
        </row>
        <row r="762">
          <cell r="A762"/>
        </row>
        <row r="763">
          <cell r="A763"/>
        </row>
        <row r="764">
          <cell r="A764"/>
        </row>
        <row r="765">
          <cell r="A765"/>
        </row>
        <row r="766">
          <cell r="A766"/>
        </row>
        <row r="767">
          <cell r="A767"/>
        </row>
        <row r="768">
          <cell r="A768"/>
        </row>
        <row r="769">
          <cell r="A769"/>
        </row>
        <row r="770">
          <cell r="A770"/>
        </row>
        <row r="771">
          <cell r="A771"/>
        </row>
        <row r="772">
          <cell r="A772"/>
        </row>
        <row r="773">
          <cell r="A773"/>
        </row>
        <row r="774">
          <cell r="A774"/>
        </row>
        <row r="775">
          <cell r="A775"/>
        </row>
        <row r="776">
          <cell r="A776"/>
        </row>
        <row r="777">
          <cell r="A777"/>
        </row>
        <row r="778">
          <cell r="A778"/>
        </row>
        <row r="779">
          <cell r="A779"/>
        </row>
        <row r="780">
          <cell r="A780"/>
        </row>
        <row r="781">
          <cell r="A781"/>
        </row>
        <row r="782">
          <cell r="A782"/>
        </row>
        <row r="783">
          <cell r="A783"/>
        </row>
        <row r="784">
          <cell r="A784"/>
        </row>
        <row r="785">
          <cell r="A785"/>
        </row>
        <row r="786">
          <cell r="A786"/>
        </row>
        <row r="787">
          <cell r="A787"/>
        </row>
        <row r="788">
          <cell r="A788"/>
        </row>
        <row r="789">
          <cell r="A789"/>
        </row>
        <row r="790">
          <cell r="A790"/>
        </row>
        <row r="791">
          <cell r="A791"/>
        </row>
        <row r="792">
          <cell r="A792"/>
        </row>
        <row r="793">
          <cell r="A793"/>
        </row>
        <row r="794">
          <cell r="A794"/>
        </row>
        <row r="795">
          <cell r="A795"/>
        </row>
        <row r="796">
          <cell r="A796"/>
        </row>
        <row r="797">
          <cell r="A797"/>
        </row>
        <row r="798">
          <cell r="A798"/>
        </row>
        <row r="799">
          <cell r="A799"/>
        </row>
        <row r="800">
          <cell r="A800"/>
        </row>
        <row r="801">
          <cell r="A801"/>
        </row>
        <row r="802">
          <cell r="A802"/>
        </row>
        <row r="803">
          <cell r="A803"/>
        </row>
        <row r="804">
          <cell r="A804"/>
        </row>
        <row r="805">
          <cell r="A805"/>
        </row>
        <row r="806">
          <cell r="A806"/>
        </row>
        <row r="807">
          <cell r="A807"/>
        </row>
        <row r="808">
          <cell r="A808"/>
        </row>
        <row r="809">
          <cell r="A809"/>
        </row>
        <row r="810">
          <cell r="A810"/>
        </row>
        <row r="811">
          <cell r="A811"/>
        </row>
        <row r="812">
          <cell r="A812"/>
        </row>
        <row r="813">
          <cell r="A813"/>
        </row>
        <row r="814">
          <cell r="A814"/>
        </row>
        <row r="815">
          <cell r="A815"/>
        </row>
        <row r="816">
          <cell r="A816"/>
        </row>
        <row r="817">
          <cell r="A817"/>
        </row>
        <row r="818">
          <cell r="A818"/>
        </row>
        <row r="819">
          <cell r="A819"/>
        </row>
        <row r="820">
          <cell r="A820"/>
        </row>
        <row r="821">
          <cell r="A821"/>
        </row>
        <row r="822">
          <cell r="A822"/>
        </row>
        <row r="823">
          <cell r="A823"/>
        </row>
        <row r="824">
          <cell r="A824"/>
        </row>
        <row r="825">
          <cell r="A825"/>
        </row>
        <row r="826">
          <cell r="A826"/>
        </row>
        <row r="827">
          <cell r="A827"/>
        </row>
        <row r="828">
          <cell r="A828"/>
        </row>
        <row r="829">
          <cell r="A829"/>
        </row>
        <row r="830">
          <cell r="A830"/>
        </row>
        <row r="831">
          <cell r="A831"/>
        </row>
        <row r="832">
          <cell r="A832"/>
        </row>
        <row r="833">
          <cell r="A833"/>
        </row>
        <row r="834">
          <cell r="A834"/>
        </row>
        <row r="835">
          <cell r="A835"/>
        </row>
        <row r="836">
          <cell r="A836"/>
        </row>
        <row r="837">
          <cell r="A837"/>
        </row>
        <row r="838">
          <cell r="A838"/>
        </row>
        <row r="839">
          <cell r="A839"/>
        </row>
        <row r="840">
          <cell r="A840"/>
        </row>
        <row r="841">
          <cell r="A841"/>
        </row>
        <row r="842">
          <cell r="A842"/>
        </row>
        <row r="843">
          <cell r="A843"/>
        </row>
        <row r="844">
          <cell r="A844"/>
        </row>
        <row r="845">
          <cell r="A845"/>
        </row>
        <row r="846">
          <cell r="A846"/>
        </row>
        <row r="847">
          <cell r="A847"/>
        </row>
        <row r="848">
          <cell r="A848"/>
        </row>
        <row r="849">
          <cell r="A849"/>
        </row>
        <row r="850">
          <cell r="A850"/>
        </row>
        <row r="851">
          <cell r="A851"/>
        </row>
        <row r="852">
          <cell r="A852"/>
        </row>
        <row r="853">
          <cell r="A853"/>
        </row>
        <row r="854">
          <cell r="A854"/>
        </row>
        <row r="855">
          <cell r="A855"/>
        </row>
        <row r="856">
          <cell r="A856"/>
        </row>
        <row r="857">
          <cell r="A857"/>
        </row>
        <row r="858">
          <cell r="A858"/>
        </row>
        <row r="859">
          <cell r="A859"/>
        </row>
        <row r="860">
          <cell r="A860"/>
        </row>
        <row r="861">
          <cell r="A861"/>
        </row>
        <row r="862">
          <cell r="A862"/>
        </row>
        <row r="863">
          <cell r="A863"/>
        </row>
        <row r="864">
          <cell r="A864"/>
        </row>
        <row r="865">
          <cell r="A865"/>
        </row>
        <row r="866">
          <cell r="A866"/>
        </row>
        <row r="867">
          <cell r="A867"/>
        </row>
        <row r="868">
          <cell r="A868"/>
        </row>
        <row r="869">
          <cell r="A869"/>
        </row>
        <row r="870">
          <cell r="A870"/>
        </row>
        <row r="871">
          <cell r="A871"/>
        </row>
        <row r="872">
          <cell r="A872"/>
        </row>
        <row r="873">
          <cell r="A873"/>
        </row>
        <row r="874">
          <cell r="A874"/>
        </row>
        <row r="875">
          <cell r="A875"/>
        </row>
        <row r="876">
          <cell r="A876"/>
        </row>
        <row r="877">
          <cell r="A877"/>
        </row>
        <row r="878">
          <cell r="A878"/>
        </row>
        <row r="879">
          <cell r="A879"/>
        </row>
        <row r="880">
          <cell r="A880"/>
        </row>
        <row r="881">
          <cell r="A881"/>
        </row>
        <row r="882">
          <cell r="A882"/>
        </row>
        <row r="883">
          <cell r="A883"/>
        </row>
        <row r="884">
          <cell r="A884"/>
        </row>
        <row r="885">
          <cell r="A885"/>
        </row>
        <row r="886">
          <cell r="A886"/>
        </row>
        <row r="887">
          <cell r="A887"/>
        </row>
        <row r="888">
          <cell r="A888"/>
        </row>
        <row r="889">
          <cell r="A889"/>
        </row>
        <row r="890">
          <cell r="A890"/>
        </row>
        <row r="891">
          <cell r="A891"/>
        </row>
        <row r="892">
          <cell r="A892"/>
        </row>
        <row r="893">
          <cell r="A893"/>
        </row>
        <row r="894">
          <cell r="A894"/>
        </row>
        <row r="895">
          <cell r="A895"/>
        </row>
        <row r="896">
          <cell r="A896"/>
        </row>
        <row r="897">
          <cell r="A897"/>
        </row>
        <row r="898">
          <cell r="A898"/>
        </row>
        <row r="899">
          <cell r="A899"/>
        </row>
        <row r="900">
          <cell r="A900"/>
        </row>
        <row r="901">
          <cell r="A901"/>
        </row>
        <row r="902">
          <cell r="A902"/>
        </row>
        <row r="903">
          <cell r="A903"/>
        </row>
        <row r="904">
          <cell r="A904"/>
        </row>
        <row r="905">
          <cell r="A905"/>
        </row>
        <row r="906">
          <cell r="A906"/>
        </row>
        <row r="907">
          <cell r="A907"/>
        </row>
        <row r="908">
          <cell r="A908"/>
        </row>
        <row r="909">
          <cell r="A909"/>
        </row>
        <row r="910">
          <cell r="A910"/>
        </row>
        <row r="911">
          <cell r="A911"/>
        </row>
        <row r="912">
          <cell r="A912"/>
        </row>
        <row r="913">
          <cell r="A913"/>
        </row>
        <row r="914">
          <cell r="A914"/>
        </row>
        <row r="915">
          <cell r="A915"/>
        </row>
        <row r="916">
          <cell r="A916"/>
        </row>
        <row r="917">
          <cell r="A917"/>
        </row>
        <row r="918">
          <cell r="A918"/>
        </row>
        <row r="919">
          <cell r="A919"/>
        </row>
        <row r="920">
          <cell r="A920"/>
        </row>
        <row r="921">
          <cell r="A921"/>
        </row>
        <row r="922">
          <cell r="A922"/>
        </row>
        <row r="923">
          <cell r="A923"/>
        </row>
        <row r="924">
          <cell r="A924"/>
        </row>
        <row r="925">
          <cell r="A925"/>
        </row>
        <row r="926">
          <cell r="A926"/>
        </row>
        <row r="927">
          <cell r="A927"/>
        </row>
        <row r="928">
          <cell r="A928"/>
        </row>
        <row r="929">
          <cell r="A929"/>
        </row>
        <row r="930">
          <cell r="A930"/>
        </row>
        <row r="931">
          <cell r="A931"/>
        </row>
        <row r="932">
          <cell r="A932"/>
        </row>
        <row r="933">
          <cell r="A933"/>
        </row>
        <row r="934">
          <cell r="A934"/>
        </row>
        <row r="935">
          <cell r="A935"/>
        </row>
        <row r="936">
          <cell r="A936"/>
        </row>
        <row r="937">
          <cell r="A937"/>
        </row>
        <row r="938">
          <cell r="A938"/>
        </row>
        <row r="939">
          <cell r="A939"/>
        </row>
        <row r="940">
          <cell r="A940"/>
        </row>
        <row r="941">
          <cell r="A941"/>
        </row>
        <row r="942">
          <cell r="A942"/>
        </row>
        <row r="943">
          <cell r="A943"/>
        </row>
        <row r="944">
          <cell r="A944"/>
        </row>
        <row r="945">
          <cell r="A945"/>
        </row>
        <row r="946">
          <cell r="A946"/>
        </row>
        <row r="947">
          <cell r="A947"/>
        </row>
        <row r="948">
          <cell r="A948"/>
        </row>
        <row r="949">
          <cell r="A949"/>
        </row>
        <row r="950">
          <cell r="A950"/>
        </row>
        <row r="951">
          <cell r="A951"/>
        </row>
        <row r="952">
          <cell r="A952"/>
        </row>
        <row r="953">
          <cell r="A953"/>
        </row>
        <row r="954">
          <cell r="A954"/>
        </row>
        <row r="955">
          <cell r="A955"/>
        </row>
        <row r="956">
          <cell r="A956"/>
        </row>
        <row r="957">
          <cell r="A957"/>
        </row>
        <row r="958">
          <cell r="A958"/>
        </row>
        <row r="959">
          <cell r="A959"/>
        </row>
        <row r="960">
          <cell r="A960"/>
        </row>
        <row r="961">
          <cell r="A961"/>
        </row>
        <row r="962">
          <cell r="A962"/>
        </row>
        <row r="963">
          <cell r="A963"/>
        </row>
        <row r="964">
          <cell r="A964"/>
        </row>
        <row r="965">
          <cell r="A965"/>
        </row>
        <row r="966">
          <cell r="A966"/>
        </row>
        <row r="967">
          <cell r="A967"/>
        </row>
        <row r="968">
          <cell r="A968"/>
        </row>
        <row r="969">
          <cell r="A969"/>
        </row>
        <row r="970">
          <cell r="A970"/>
        </row>
        <row r="971">
          <cell r="A971"/>
        </row>
        <row r="972">
          <cell r="A972"/>
        </row>
        <row r="973">
          <cell r="A973"/>
        </row>
        <row r="974">
          <cell r="A974"/>
        </row>
        <row r="975">
          <cell r="A975"/>
        </row>
        <row r="976">
          <cell r="A976"/>
        </row>
        <row r="977">
          <cell r="A977"/>
        </row>
        <row r="978">
          <cell r="A978"/>
        </row>
        <row r="979">
          <cell r="A979"/>
        </row>
        <row r="980">
          <cell r="A980"/>
        </row>
        <row r="981">
          <cell r="A981"/>
        </row>
        <row r="982">
          <cell r="A982"/>
        </row>
        <row r="983">
          <cell r="A983"/>
        </row>
        <row r="984">
          <cell r="A984"/>
        </row>
        <row r="985">
          <cell r="A985"/>
        </row>
        <row r="986">
          <cell r="A986"/>
        </row>
        <row r="987">
          <cell r="A987"/>
        </row>
        <row r="988">
          <cell r="A988"/>
        </row>
        <row r="989">
          <cell r="A989"/>
        </row>
        <row r="990">
          <cell r="A990"/>
        </row>
        <row r="991">
          <cell r="A991"/>
        </row>
        <row r="992">
          <cell r="A992"/>
        </row>
        <row r="993">
          <cell r="A993"/>
        </row>
        <row r="994">
          <cell r="A994"/>
        </row>
        <row r="995">
          <cell r="A995"/>
        </row>
        <row r="996">
          <cell r="A996"/>
        </row>
        <row r="997">
          <cell r="A997"/>
        </row>
        <row r="998">
          <cell r="A998"/>
        </row>
        <row r="999">
          <cell r="A999"/>
        </row>
        <row r="1000">
          <cell r="A1000"/>
        </row>
        <row r="1001">
          <cell r="A1001"/>
        </row>
        <row r="1002">
          <cell r="A1002"/>
        </row>
        <row r="1003">
          <cell r="A1003"/>
        </row>
        <row r="1004">
          <cell r="A1004"/>
        </row>
        <row r="1005">
          <cell r="A1005"/>
        </row>
        <row r="1006">
          <cell r="A1006"/>
        </row>
        <row r="1007">
          <cell r="A1007"/>
        </row>
        <row r="1008">
          <cell r="A1008"/>
        </row>
        <row r="1009">
          <cell r="A1009"/>
        </row>
        <row r="1010">
          <cell r="A1010"/>
        </row>
        <row r="1011">
          <cell r="A1011"/>
        </row>
        <row r="1012">
          <cell r="A1012"/>
        </row>
        <row r="1013">
          <cell r="A1013"/>
        </row>
        <row r="1014">
          <cell r="A1014"/>
        </row>
        <row r="1015">
          <cell r="A1015"/>
        </row>
        <row r="1016">
          <cell r="A1016"/>
        </row>
        <row r="1017">
          <cell r="A1017"/>
        </row>
        <row r="1018">
          <cell r="A1018"/>
        </row>
        <row r="1019">
          <cell r="A1019"/>
        </row>
        <row r="1020">
          <cell r="A1020"/>
        </row>
        <row r="1021">
          <cell r="A1021"/>
        </row>
        <row r="1022">
          <cell r="A1022"/>
        </row>
        <row r="1023">
          <cell r="A1023"/>
        </row>
        <row r="1024">
          <cell r="A1024"/>
        </row>
        <row r="1025">
          <cell r="A1025"/>
        </row>
        <row r="1026">
          <cell r="A1026"/>
        </row>
        <row r="1027">
          <cell r="A1027"/>
        </row>
        <row r="1028">
          <cell r="A1028"/>
        </row>
        <row r="1029">
          <cell r="A1029"/>
        </row>
        <row r="1030">
          <cell r="A1030"/>
        </row>
        <row r="1031">
          <cell r="A1031"/>
        </row>
        <row r="1032">
          <cell r="A1032"/>
        </row>
        <row r="1033">
          <cell r="A1033"/>
        </row>
        <row r="1034">
          <cell r="A1034"/>
        </row>
        <row r="1035">
          <cell r="A1035"/>
        </row>
        <row r="1036">
          <cell r="A1036"/>
        </row>
        <row r="1037">
          <cell r="A1037"/>
        </row>
        <row r="1038">
          <cell r="A1038"/>
        </row>
        <row r="1039">
          <cell r="A1039"/>
        </row>
        <row r="1040">
          <cell r="A1040"/>
        </row>
        <row r="1041">
          <cell r="A1041"/>
        </row>
        <row r="1042">
          <cell r="A1042"/>
        </row>
        <row r="1043">
          <cell r="A1043"/>
        </row>
        <row r="1044">
          <cell r="A1044"/>
        </row>
        <row r="1045">
          <cell r="A1045"/>
        </row>
        <row r="1046">
          <cell r="A1046"/>
        </row>
        <row r="1047">
          <cell r="A1047"/>
        </row>
        <row r="1048">
          <cell r="A1048"/>
        </row>
        <row r="1049">
          <cell r="A1049"/>
        </row>
        <row r="1050">
          <cell r="A1050"/>
        </row>
        <row r="1051">
          <cell r="A1051"/>
        </row>
        <row r="1052">
          <cell r="A1052"/>
        </row>
        <row r="1053">
          <cell r="A1053"/>
        </row>
        <row r="1054">
          <cell r="A1054"/>
        </row>
        <row r="1055">
          <cell r="A1055"/>
        </row>
        <row r="1056">
          <cell r="A1056"/>
        </row>
        <row r="1057">
          <cell r="A1057"/>
        </row>
        <row r="1058">
          <cell r="A1058"/>
        </row>
        <row r="1059">
          <cell r="A1059"/>
        </row>
        <row r="1060">
          <cell r="A1060"/>
        </row>
        <row r="1061">
          <cell r="A1061"/>
        </row>
        <row r="1062">
          <cell r="A1062"/>
        </row>
        <row r="1063">
          <cell r="A1063"/>
        </row>
        <row r="1064">
          <cell r="A1064"/>
        </row>
        <row r="1065">
          <cell r="A1065"/>
        </row>
        <row r="1066">
          <cell r="A1066"/>
        </row>
        <row r="1067">
          <cell r="A1067"/>
        </row>
        <row r="1068">
          <cell r="A1068"/>
        </row>
        <row r="1069">
          <cell r="A1069"/>
        </row>
        <row r="1070">
          <cell r="A1070"/>
        </row>
        <row r="1071">
          <cell r="A1071"/>
        </row>
        <row r="1072">
          <cell r="A1072"/>
        </row>
        <row r="1073">
          <cell r="A1073"/>
        </row>
        <row r="1074">
          <cell r="A1074"/>
        </row>
        <row r="1075">
          <cell r="A1075"/>
        </row>
        <row r="1076">
          <cell r="A1076"/>
        </row>
        <row r="1077">
          <cell r="A1077"/>
        </row>
        <row r="1078">
          <cell r="A1078"/>
        </row>
        <row r="1079">
          <cell r="A1079"/>
        </row>
        <row r="1080">
          <cell r="A1080"/>
        </row>
        <row r="1081">
          <cell r="A1081"/>
        </row>
        <row r="1082">
          <cell r="A1082"/>
        </row>
        <row r="1083">
          <cell r="A1083"/>
        </row>
        <row r="1084">
          <cell r="A1084"/>
        </row>
        <row r="1085">
          <cell r="A1085"/>
        </row>
        <row r="1086">
          <cell r="A1086"/>
        </row>
        <row r="1087">
          <cell r="A1087"/>
        </row>
        <row r="1088">
          <cell r="A1088"/>
        </row>
        <row r="1089">
          <cell r="A1089"/>
        </row>
        <row r="1090">
          <cell r="A1090"/>
        </row>
        <row r="1091">
          <cell r="A1091"/>
        </row>
        <row r="1092">
          <cell r="A1092"/>
        </row>
        <row r="1093">
          <cell r="A1093"/>
        </row>
        <row r="1094">
          <cell r="A1094"/>
        </row>
        <row r="1095">
          <cell r="A1095"/>
        </row>
        <row r="1096">
          <cell r="A1096"/>
        </row>
        <row r="1097">
          <cell r="A1097"/>
        </row>
        <row r="1098">
          <cell r="A1098"/>
        </row>
        <row r="1099">
          <cell r="A1099"/>
        </row>
        <row r="1100">
          <cell r="A1100"/>
        </row>
        <row r="1101">
          <cell r="A1101"/>
        </row>
        <row r="1102">
          <cell r="A1102"/>
        </row>
        <row r="1103">
          <cell r="A1103"/>
        </row>
        <row r="1104">
          <cell r="A1104"/>
        </row>
        <row r="1105">
          <cell r="A1105"/>
        </row>
        <row r="1106">
          <cell r="A1106"/>
        </row>
        <row r="1107">
          <cell r="A1107"/>
        </row>
        <row r="1108">
          <cell r="A1108"/>
        </row>
        <row r="1109">
          <cell r="A1109"/>
        </row>
        <row r="1110">
          <cell r="A1110"/>
        </row>
        <row r="1111">
          <cell r="A1111"/>
        </row>
        <row r="1112">
          <cell r="A1112"/>
        </row>
        <row r="1113">
          <cell r="A1113"/>
        </row>
        <row r="1114">
          <cell r="A1114"/>
        </row>
        <row r="1115">
          <cell r="A1115"/>
        </row>
        <row r="1116">
          <cell r="A1116"/>
        </row>
        <row r="1117">
          <cell r="A1117"/>
        </row>
        <row r="1118">
          <cell r="A1118"/>
        </row>
        <row r="1119">
          <cell r="A1119"/>
        </row>
        <row r="1120">
          <cell r="A1120"/>
        </row>
        <row r="1121">
          <cell r="A1121"/>
        </row>
        <row r="1122">
          <cell r="A1122"/>
        </row>
        <row r="1123">
          <cell r="A1123"/>
        </row>
        <row r="1124">
          <cell r="A1124"/>
        </row>
        <row r="1125">
          <cell r="A1125"/>
        </row>
        <row r="1126">
          <cell r="A1126"/>
        </row>
        <row r="1127">
          <cell r="A1127"/>
        </row>
        <row r="1128">
          <cell r="A1128"/>
        </row>
        <row r="1129">
          <cell r="A1129"/>
        </row>
        <row r="1130">
          <cell r="A1130"/>
        </row>
        <row r="1131">
          <cell r="A1131"/>
        </row>
        <row r="1132">
          <cell r="A1132"/>
        </row>
        <row r="1133">
          <cell r="A1133"/>
        </row>
        <row r="1134">
          <cell r="A1134"/>
        </row>
        <row r="1135">
          <cell r="A1135"/>
        </row>
        <row r="1136">
          <cell r="A1136"/>
        </row>
        <row r="1137">
          <cell r="A1137"/>
        </row>
        <row r="1138">
          <cell r="A1138"/>
        </row>
        <row r="1139">
          <cell r="A1139"/>
        </row>
        <row r="1140">
          <cell r="A1140"/>
        </row>
        <row r="1141">
          <cell r="A1141"/>
        </row>
        <row r="1142">
          <cell r="A1142"/>
        </row>
        <row r="1143">
          <cell r="A1143"/>
        </row>
        <row r="1144">
          <cell r="A1144"/>
        </row>
        <row r="1145">
          <cell r="A1145"/>
        </row>
        <row r="1146">
          <cell r="A1146"/>
        </row>
        <row r="1147">
          <cell r="A1147"/>
        </row>
        <row r="1148">
          <cell r="A1148"/>
        </row>
        <row r="1149">
          <cell r="A1149"/>
        </row>
        <row r="1150">
          <cell r="A1150"/>
        </row>
        <row r="1151">
          <cell r="A1151"/>
        </row>
        <row r="1152">
          <cell r="A1152"/>
        </row>
        <row r="1153">
          <cell r="A1153"/>
        </row>
        <row r="1154">
          <cell r="A1154"/>
        </row>
        <row r="1155">
          <cell r="A1155"/>
        </row>
        <row r="1156">
          <cell r="A1156"/>
        </row>
        <row r="1157">
          <cell r="A1157"/>
        </row>
        <row r="1158">
          <cell r="A1158"/>
        </row>
        <row r="1159">
          <cell r="A1159"/>
        </row>
        <row r="1160">
          <cell r="A1160"/>
        </row>
        <row r="1161">
          <cell r="A1161"/>
        </row>
        <row r="1162">
          <cell r="A1162"/>
        </row>
        <row r="1163">
          <cell r="A1163"/>
        </row>
        <row r="1164">
          <cell r="A1164"/>
        </row>
        <row r="1165">
          <cell r="A1165"/>
        </row>
        <row r="1166">
          <cell r="A1166"/>
        </row>
        <row r="1167">
          <cell r="A1167"/>
        </row>
        <row r="1168">
          <cell r="A1168"/>
        </row>
        <row r="1169">
          <cell r="A1169"/>
        </row>
        <row r="1170">
          <cell r="A1170"/>
        </row>
        <row r="1171">
          <cell r="A1171"/>
        </row>
        <row r="1172">
          <cell r="A1172"/>
        </row>
        <row r="1173">
          <cell r="A1173"/>
        </row>
        <row r="1174">
          <cell r="A1174"/>
        </row>
        <row r="1175">
          <cell r="A1175"/>
        </row>
        <row r="1176">
          <cell r="A1176"/>
        </row>
        <row r="1177">
          <cell r="A1177"/>
        </row>
        <row r="1178">
          <cell r="A1178"/>
        </row>
        <row r="1179">
          <cell r="A1179"/>
        </row>
        <row r="1180">
          <cell r="A1180"/>
        </row>
        <row r="1181">
          <cell r="A1181"/>
        </row>
        <row r="1182">
          <cell r="A1182"/>
        </row>
        <row r="1183">
          <cell r="A1183"/>
        </row>
        <row r="1184">
          <cell r="A1184"/>
        </row>
        <row r="1185">
          <cell r="A1185"/>
        </row>
        <row r="1186">
          <cell r="A1186"/>
        </row>
        <row r="1187">
          <cell r="A1187"/>
        </row>
        <row r="1188">
          <cell r="A1188"/>
        </row>
        <row r="1189">
          <cell r="A1189"/>
        </row>
        <row r="1190">
          <cell r="A1190"/>
        </row>
        <row r="1191">
          <cell r="A1191"/>
        </row>
        <row r="1192">
          <cell r="A1192"/>
        </row>
        <row r="1193">
          <cell r="A1193"/>
        </row>
        <row r="1194">
          <cell r="A1194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A1" t="str">
            <v>Mat</v>
          </cell>
        </row>
      </sheetData>
      <sheetData sheetId="16">
        <row r="1">
          <cell r="A1" t="str">
            <v>Setup Grp</v>
          </cell>
        </row>
      </sheetData>
      <sheetData sheetId="17"/>
      <sheetData sheetId="18"/>
      <sheetData sheetId="19">
        <row r="1">
          <cell r="G1" t="str">
            <v>Week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C8D9D-41E0-4C55-AEFF-6EAE39486451}">
  <dimension ref="A1:EQ795"/>
  <sheetViews>
    <sheetView tabSelected="1" zoomScale="80" zoomScaleNormal="80" workbookViewId="0">
      <pane ySplit="1" topLeftCell="A2" activePane="bottomLeft" state="frozen"/>
      <selection pane="bottomLeft"/>
    </sheetView>
  </sheetViews>
  <sheetFormatPr defaultColWidth="9.1796875" defaultRowHeight="12.5" x14ac:dyDescent="0.25"/>
  <cols>
    <col min="1" max="1" width="8.26953125" style="1" bestFit="1" customWidth="1"/>
    <col min="2" max="2" width="15.7265625" style="11" customWidth="1"/>
    <col min="3" max="3" width="7.1796875" style="6" customWidth="1"/>
    <col min="4" max="4" width="7.453125" style="10" customWidth="1"/>
    <col min="5" max="6" width="8.453125" style="1" customWidth="1"/>
    <col min="7" max="7" width="9.81640625" style="9" bestFit="1" customWidth="1"/>
    <col min="8" max="8" width="6.7265625" style="6" bestFit="1" customWidth="1"/>
    <col min="9" max="9" width="10.1796875" style="6" customWidth="1"/>
    <col min="10" max="10" width="41.7265625" style="8" bestFit="1" customWidth="1"/>
    <col min="11" max="11" width="6.453125" style="7" customWidth="1"/>
    <col min="12" max="12" width="6.81640625" style="7" customWidth="1"/>
    <col min="13" max="13" width="28.7265625" style="1" customWidth="1"/>
    <col min="14" max="14" width="13.54296875" style="6" bestFit="1" customWidth="1"/>
    <col min="15" max="15" width="5.54296875" style="6" customWidth="1"/>
    <col min="16" max="16" width="40.453125" style="5" customWidth="1"/>
    <col min="17" max="17" width="8.7265625" style="6" customWidth="1"/>
    <col min="18" max="18" width="27.1796875" style="6" customWidth="1"/>
    <col min="19" max="19" width="20.453125" style="5" customWidth="1"/>
    <col min="20" max="20" width="8" style="5" hidden="1" customWidth="1"/>
    <col min="21" max="21" width="6.81640625" style="1" customWidth="1"/>
    <col min="22" max="22" width="11.1796875" style="1" bestFit="1" customWidth="1"/>
    <col min="23" max="23" width="16.54296875" style="4" customWidth="1"/>
    <col min="24" max="24" width="16.54296875" style="3" hidden="1" customWidth="1"/>
    <col min="25" max="26" width="0" style="3" hidden="1" customWidth="1"/>
    <col min="27" max="35" width="9.1796875" style="3"/>
    <col min="36" max="147" width="9.1796875" style="2"/>
    <col min="148" max="16384" width="9.1796875" style="1"/>
  </cols>
  <sheetData>
    <row r="1" spans="1:147" s="149" customFormat="1" ht="39" x14ac:dyDescent="0.25">
      <c r="B1" s="293" t="s">
        <v>88</v>
      </c>
      <c r="C1" s="184" t="s">
        <v>74</v>
      </c>
      <c r="D1" s="292" t="s">
        <v>73</v>
      </c>
      <c r="E1" s="184" t="s">
        <v>72</v>
      </c>
      <c r="F1" s="181" t="s">
        <v>71</v>
      </c>
      <c r="G1" s="291" t="s">
        <v>70</v>
      </c>
      <c r="H1" s="186" t="s">
        <v>30</v>
      </c>
      <c r="I1" s="189" t="s">
        <v>29</v>
      </c>
      <c r="J1" s="189" t="s">
        <v>28</v>
      </c>
      <c r="K1" s="188" t="s">
        <v>27</v>
      </c>
      <c r="L1" s="188" t="s">
        <v>26</v>
      </c>
      <c r="M1" s="187" t="s">
        <v>25</v>
      </c>
      <c r="N1" s="186" t="s">
        <v>24</v>
      </c>
      <c r="O1" s="184" t="s">
        <v>23</v>
      </c>
      <c r="P1" s="184" t="s">
        <v>22</v>
      </c>
      <c r="Q1" s="184" t="s">
        <v>21</v>
      </c>
      <c r="R1" s="184" t="s">
        <v>20</v>
      </c>
      <c r="S1" s="184" t="s">
        <v>19</v>
      </c>
      <c r="T1" s="184" t="s">
        <v>69</v>
      </c>
      <c r="U1" s="302" t="s">
        <v>87</v>
      </c>
      <c r="V1" s="303" t="s">
        <v>86</v>
      </c>
      <c r="W1" s="302" t="s">
        <v>85</v>
      </c>
      <c r="X1" s="302" t="s">
        <v>84</v>
      </c>
      <c r="Y1" s="302" t="s">
        <v>83</v>
      </c>
      <c r="Z1" s="302" t="s">
        <v>82</v>
      </c>
      <c r="AA1" s="151"/>
      <c r="AB1" s="151"/>
      <c r="AC1" s="151"/>
      <c r="AD1" s="151"/>
      <c r="AE1" s="151"/>
      <c r="AF1" s="151"/>
      <c r="AG1" s="151"/>
      <c r="AH1" s="151"/>
      <c r="AI1" s="151"/>
      <c r="AJ1" s="150"/>
      <c r="AK1" s="150"/>
      <c r="AL1" s="150"/>
      <c r="AM1" s="150"/>
      <c r="AN1" s="150"/>
      <c r="AO1" s="150"/>
      <c r="AP1" s="150"/>
      <c r="AQ1" s="150"/>
      <c r="AR1" s="150"/>
      <c r="AS1" s="150"/>
      <c r="AT1" s="150"/>
      <c r="AU1" s="150"/>
      <c r="AV1" s="150"/>
      <c r="AW1" s="150"/>
      <c r="AX1" s="150"/>
      <c r="AY1" s="150"/>
      <c r="AZ1" s="150"/>
      <c r="BA1" s="150"/>
      <c r="BB1" s="150"/>
      <c r="BC1" s="150"/>
      <c r="BD1" s="150"/>
      <c r="BE1" s="150"/>
      <c r="BF1" s="150"/>
      <c r="BG1" s="150"/>
      <c r="BH1" s="150"/>
      <c r="BI1" s="150"/>
      <c r="BJ1" s="150"/>
      <c r="BK1" s="150"/>
      <c r="BL1" s="150"/>
      <c r="BM1" s="150"/>
      <c r="BN1" s="150"/>
      <c r="BO1" s="150"/>
      <c r="BP1" s="150"/>
      <c r="BQ1" s="150"/>
      <c r="BR1" s="150"/>
      <c r="BS1" s="150"/>
      <c r="BT1" s="150"/>
      <c r="BU1" s="150"/>
      <c r="BV1" s="150"/>
      <c r="BW1" s="150"/>
      <c r="BX1" s="150"/>
      <c r="BY1" s="150"/>
      <c r="BZ1" s="150"/>
      <c r="CA1" s="150"/>
      <c r="CB1" s="150"/>
      <c r="CC1" s="150"/>
      <c r="CD1" s="150"/>
      <c r="CE1" s="150"/>
      <c r="CF1" s="150"/>
      <c r="CG1" s="150"/>
      <c r="CH1" s="150"/>
      <c r="CI1" s="150"/>
      <c r="CJ1" s="150"/>
      <c r="CK1" s="150"/>
      <c r="CL1" s="150"/>
      <c r="CM1" s="150"/>
      <c r="CN1" s="150"/>
      <c r="CO1" s="150"/>
      <c r="CP1" s="150"/>
      <c r="CQ1" s="150"/>
      <c r="CR1" s="150"/>
      <c r="CS1" s="150"/>
      <c r="CT1" s="150"/>
      <c r="CU1" s="150"/>
      <c r="CV1" s="150"/>
      <c r="CW1" s="150"/>
      <c r="CX1" s="150"/>
      <c r="CY1" s="150"/>
      <c r="CZ1" s="150"/>
      <c r="DA1" s="150"/>
      <c r="DB1" s="150"/>
      <c r="DC1" s="150"/>
      <c r="DD1" s="150"/>
      <c r="DE1" s="150"/>
      <c r="DF1" s="150"/>
      <c r="DG1" s="150"/>
      <c r="DH1" s="150"/>
      <c r="DI1" s="150"/>
      <c r="DJ1" s="150"/>
      <c r="DK1" s="150"/>
      <c r="DL1" s="150"/>
      <c r="DM1" s="150"/>
      <c r="DN1" s="150"/>
      <c r="DO1" s="150"/>
      <c r="DP1" s="150"/>
      <c r="DQ1" s="150"/>
      <c r="DR1" s="150"/>
      <c r="DS1" s="150"/>
      <c r="DT1" s="150"/>
      <c r="DU1" s="150"/>
      <c r="DV1" s="150"/>
      <c r="DW1" s="150"/>
      <c r="DX1" s="150"/>
      <c r="DY1" s="150"/>
      <c r="DZ1" s="150"/>
      <c r="EA1" s="150"/>
      <c r="EB1" s="150"/>
      <c r="EC1" s="150"/>
      <c r="ED1" s="150"/>
      <c r="EE1" s="150"/>
      <c r="EF1" s="150"/>
      <c r="EG1" s="150"/>
      <c r="EH1" s="150"/>
      <c r="EI1" s="150"/>
      <c r="EJ1" s="150"/>
      <c r="EK1" s="150"/>
      <c r="EL1" s="150"/>
      <c r="EM1" s="150"/>
      <c r="EN1" s="150"/>
      <c r="EO1" s="150"/>
      <c r="EP1" s="150"/>
      <c r="EQ1" s="150"/>
    </row>
    <row r="2" spans="1:147" ht="13" x14ac:dyDescent="0.25">
      <c r="A2" s="301"/>
      <c r="B2" s="226">
        <v>44142.833333333336</v>
      </c>
      <c r="C2" s="220">
        <f>B2</f>
        <v>44142.833333333336</v>
      </c>
      <c r="D2" s="220">
        <f>C2+(E2+G2)*(1/24)</f>
        <v>44142.84679166667</v>
      </c>
      <c r="E2" s="219">
        <f>INDEX('[1]Work sheet'!$G$2:$G$240,MATCH(I2,'[1]Work sheet'!$K$2:$K$240,0))+IFERROR(IF(FIND("WASH",J1,1)&gt;0,0,0.267),0.167)</f>
        <v>0.32300000000000001</v>
      </c>
      <c r="F2" s="218">
        <f>IFERROR(MROUND((L2/((INDEX('[1]Work sheet'!$G$2:$G$239,MATCH(I2,'[1]Work sheet'!$K$2:$K$239,0))*0.68)*60)),0.5),"")</f>
        <v>8.5</v>
      </c>
      <c r="G2" s="217"/>
      <c r="H2" s="175">
        <f>LEN(J2)-LEN(SUBSTITUTE(J2,",",""))</f>
        <v>0</v>
      </c>
      <c r="I2" s="175">
        <f>'[1]Work sheet'!K2</f>
        <v>1677144</v>
      </c>
      <c r="J2" s="174" t="str">
        <f>VLOOKUP(I2,'[1]Work sheet'!$K$2:L622,2,0)</f>
        <v>OR/N-1463.00 P1 6UN CTN 2 BAG</v>
      </c>
      <c r="K2" s="173">
        <f>VLOOKUP(I2,'[1]Work sheet'!$K$2:O739,3,0)</f>
        <v>27</v>
      </c>
      <c r="L2" s="173">
        <f>VLOOKUP(I2,'[1]Work sheet'!$K$2:O1134,4,0)</f>
        <v>54</v>
      </c>
      <c r="M2" s="171" t="str">
        <f>VLOOKUP(I2,'[1]Work sheet'!$K$2:T1443,10,0)</f>
        <v>CIT</v>
      </c>
      <c r="N2" s="172" t="str">
        <f>IFERROR(VLOOKUP(I2,'[1]PO Numbers'!$R$2:S199,2,0),"TBC")</f>
        <v>106991029</v>
      </c>
      <c r="O2" s="171" t="str">
        <f>IFERROR(VLOOKUP(VALUE(N2),'[1]PO Numbers'!$F$1:$J$400,5,0),"xxx")</f>
        <v>PI01</v>
      </c>
      <c r="P2" s="168" t="str">
        <f>VLOOKUP(I2,'[1]Work sheet'!$K$2:AA1059,13,0)</f>
        <v/>
      </c>
      <c r="Q2" s="170">
        <f>VLOOKUP(I2,'[1]Work sheet'!$K$2:AI739,16,0)</f>
        <v>8.9570000000000007</v>
      </c>
      <c r="R2" s="168" t="str">
        <f>VLOOKUP(I2,'[1]Work sheet'!$K$2:AA419,17,0)</f>
        <v>8-9Kgs CIT</v>
      </c>
      <c r="S2" s="169" t="str">
        <f>VLOOKUP(I2,'[1]Work sheet'!$K$2:AL302,28,0)</f>
        <v/>
      </c>
      <c r="T2" s="168">
        <f>IFERROR(VLOOKUP(I2,[1]Label!$A$1:C972,3,0),"")</f>
        <v>1561894</v>
      </c>
      <c r="U2" s="165" t="str">
        <f>IFERROR(IF(OR(VLOOKUP(I2,'[1]Work sheet'!$K$2:U624,11,0)="530",VLOOKUP(I2,'[1]Work sheet'!$K$2:U624,11,0)="526"),"BTO",""),"")</f>
        <v/>
      </c>
      <c r="V2" s="165"/>
      <c r="W2" s="167" t="str">
        <f>IF(COUNTIF('[1]OB Connect'!$F$13:$F$364,N2),"On Openbatch", "No")</f>
        <v>No</v>
      </c>
      <c r="X2" s="300" t="s">
        <v>81</v>
      </c>
      <c r="Y2" s="289">
        <f>1+E2+G2</f>
        <v>1.323</v>
      </c>
      <c r="Z2" s="165" t="str">
        <f>IF(Y2&lt;=12,"Shift 1",IF(AND(Y2&gt;12,Y2&lt;=24),"Shift 2",IF(AND(Y2&gt;24,Y2&lt;=36),"Shift 3",IF(AND(Y2&gt;36,Y2&lt;=48),"Shift 4",IF(AND(Y2&gt;48,Y2&lt;=60),"Shift 5",IF(AND(Y2&gt;60,Y2&lt;=72),"Shift 6",IF(AND(Y2&gt;72,Y2&lt;=84),"Shift 7",IF(AND(Y2&gt;84,Y2&lt;=96),IF(AND(Y2&gt;84,Y2&lt;=96),"Shift 8",),"Shift 9"))))))))</f>
        <v>Shift 1</v>
      </c>
    </row>
    <row r="3" spans="1:147" ht="13" x14ac:dyDescent="0.25">
      <c r="B3" s="116">
        <f>D2</f>
        <v>44142.84679166667</v>
      </c>
      <c r="C3" s="220">
        <f>D2</f>
        <v>44142.84679166667</v>
      </c>
      <c r="D3" s="220">
        <f>(E3/24)+C3+(G3/24)</f>
        <v>44142.866708333335</v>
      </c>
      <c r="E3" s="219">
        <f>INDEX('[1]Work sheet'!$G$2:$G$240,MATCH(I3,'[1]Work sheet'!$K$2:$K$240,0))+IFERROR(IF(FIND("WASH",J2,1)&gt;0,0,0.267),0.167)</f>
        <v>0.47799999999999998</v>
      </c>
      <c r="F3" s="218">
        <f>IFERROR(MROUND((L3/((INDEX('[1]Work sheet'!$G$2:$G$239,MATCH(I3,'[1]Work sheet'!$K$2:$K$239,0))*0.68)*60)),0.5),"")</f>
        <v>8.5</v>
      </c>
      <c r="G3" s="217"/>
      <c r="H3" s="175">
        <f>LEN(J3)-LEN(SUBSTITUTE(J3,",",""))</f>
        <v>0</v>
      </c>
      <c r="I3" s="175">
        <f>'[1]Work sheet'!K3</f>
        <v>1964692</v>
      </c>
      <c r="J3" s="174" t="str">
        <f>VLOOKUP(I3,'[1]Work sheet'!$K$2:L623,2,0)</f>
        <v>PE/B-495.00 P1 3UN CTN 1 BAG</v>
      </c>
      <c r="K3" s="173">
        <f>VLOOKUP(I3,'[1]Work sheet'!$K$2:O740,3,0)</f>
        <v>108</v>
      </c>
      <c r="L3" s="173">
        <f>VLOOKUP(I3,'[1]Work sheet'!$K$2:O1135,4,0)</f>
        <v>108</v>
      </c>
      <c r="M3" s="171" t="str">
        <f>VLOOKUP(I3,'[1]Work sheet'!$K$2:T1444,10,0)</f>
        <v>CIT</v>
      </c>
      <c r="N3" s="172" t="str">
        <f>IFERROR(VLOOKUP(I3,'[1]PO Numbers'!$R$2:S200,2,0),"TBC")</f>
        <v>106990996</v>
      </c>
      <c r="O3" s="171" t="str">
        <f>IFERROR(VLOOKUP(VALUE(N3),'[1]PO Numbers'!$F$1:$J$400,5,0),"xxx")</f>
        <v>PI01</v>
      </c>
      <c r="P3" s="168" t="str">
        <f>VLOOKUP(I3,'[1]Work sheet'!$K$2:AA1060,13,0)</f>
        <v/>
      </c>
      <c r="Q3" s="170">
        <f>VLOOKUP(I3,'[1]Work sheet'!$K$2:AI740,16,0)</f>
        <v>10.598000000000001</v>
      </c>
      <c r="R3" s="168" t="str">
        <f>VLOOKUP(I3,'[1]Work sheet'!$K$2:AA420,17,0)</f>
        <v xml:space="preserve">10-11Kgs CIT </v>
      </c>
      <c r="S3" s="169" t="str">
        <f>VLOOKUP(I3,'[1]Work sheet'!$K$2:AL303,28,0)</f>
        <v/>
      </c>
      <c r="T3" s="168" t="str">
        <f>IFERROR(VLOOKUP(I3,[1]Label!$A$1:C973,3,0),"")</f>
        <v/>
      </c>
      <c r="U3" s="165" t="str">
        <f>IFERROR(IF(OR(VLOOKUP(I3,'[1]Work sheet'!$K$2:U625,11,0)="530",VLOOKUP(I3,'[1]Work sheet'!$K$2:U625,11,0)="526"),"BTO",""),"")</f>
        <v/>
      </c>
      <c r="V3" s="165"/>
      <c r="W3" s="167" t="str">
        <f>IF(COUNTIF('[1]OB Connect'!$F$13:$F$364,N3),"On Openbatch", "No")</f>
        <v>No</v>
      </c>
      <c r="X3" s="166" t="str">
        <f>X2</f>
        <v>F_D4A</v>
      </c>
      <c r="Y3" s="274">
        <f>E3+G3+Y2</f>
        <v>1.8009999999999999</v>
      </c>
      <c r="Z3" s="165" t="str">
        <f>IF(Y3&lt;=12,"Shift 1",IF(AND(Y3&gt;12,Y3&lt;=24),"Shift 2",IF(AND(Y3&gt;24,Y3&lt;=36),"Shift 3",IF(AND(Y3&gt;36,Y3&lt;=48),"Shift 4",IF(AND(Y3&gt;48,Y3&lt;=60),"Shift 5",IF(AND(Y3&gt;60,Y3&lt;=72),"Shift 6",IF(AND(Y3&gt;72,Y3&lt;=84),"Shift 7",IF(AND(Y3&gt;84,Y3&lt;=96),IF(AND(Y3&gt;84,Y3&lt;=96),"Shift 8",),"Shift 9"))))))))</f>
        <v>Shift 1</v>
      </c>
    </row>
    <row r="4" spans="1:147" ht="13" x14ac:dyDescent="0.25">
      <c r="B4" s="116">
        <f>D3</f>
        <v>44142.866708333335</v>
      </c>
      <c r="C4" s="220">
        <f>D3</f>
        <v>44142.866708333335</v>
      </c>
      <c r="D4" s="220">
        <f>(E4/24)+C4+(G4/24)</f>
        <v>44142.899624999998</v>
      </c>
      <c r="E4" s="219">
        <f>INDEX('[1]Work sheet'!$G$2:$G$240,MATCH(I4,'[1]Work sheet'!$K$2:$K$240,0))+IFERROR(IF(FIND("WASH",J3,1)&gt;0,0,0.267),0.167)</f>
        <v>0.79</v>
      </c>
      <c r="F4" s="218">
        <f>IFERROR(MROUND((L4/((INDEX('[1]Work sheet'!$G$2:$G$239,MATCH(I4,'[1]Work sheet'!$K$2:$K$239,0))*0.68)*60)),0.5),"")</f>
        <v>8.5</v>
      </c>
      <c r="G4" s="217"/>
      <c r="H4" s="175">
        <f>LEN(J4)-LEN(SUBSTITUTE(J4,",",""))</f>
        <v>1</v>
      </c>
      <c r="I4" s="175">
        <f>'[1]Work sheet'!K4</f>
        <v>1405653</v>
      </c>
      <c r="J4" s="174" t="str">
        <f>VLOOKUP(I4,'[1]Work sheet'!$K$2:L625,2,0)</f>
        <v>OR-1078.002/.004 P1,1B 4UN CTN 4 BAGS</v>
      </c>
      <c r="K4" s="173">
        <f>VLOOKUP(I4,'[1]Work sheet'!$K$2:O742,3,0)</f>
        <v>54</v>
      </c>
      <c r="L4" s="173">
        <f>VLOOKUP(I4,'[1]Work sheet'!$K$2:O1137,4,0)</f>
        <v>216</v>
      </c>
      <c r="M4" s="171" t="str">
        <f>VLOOKUP(I4,'[1]Work sheet'!$K$2:T1446,10,0)</f>
        <v>CIT/ASC</v>
      </c>
      <c r="N4" s="172" t="str">
        <f>IFERROR(VLOOKUP(I4,'[1]PO Numbers'!$R$2:S202,2,0),"TBC")</f>
        <v>106991015</v>
      </c>
      <c r="O4" s="171" t="str">
        <f>IFERROR(VLOOKUP(VALUE(N4),'[1]PO Numbers'!$F$1:$J$400,5,0),"xxx")</f>
        <v>PI01</v>
      </c>
      <c r="P4" s="83" t="str">
        <f>VLOOKUP(I4,'[1]Work sheet'!$K$2:AA1062,13,0)</f>
        <v>4 of 1243142 (SBZ)</v>
      </c>
      <c r="Q4" s="170">
        <f>VLOOKUP(I4,'[1]Work sheet'!$K$2:AI742,16,0)</f>
        <v>3.8</v>
      </c>
      <c r="R4" s="168" t="str">
        <f>VLOOKUP(I4,'[1]Work sheet'!$K$2:AA422,17,0)</f>
        <v>3-4Kgs CIT, 0-1Kgs ASC</v>
      </c>
      <c r="S4" s="169" t="str">
        <f>VLOOKUP(I4,'[1]Work sheet'!$K$2:AL305,28,0)</f>
        <v/>
      </c>
      <c r="T4" s="168" t="str">
        <f>IFERROR(VLOOKUP(I4,[1]Label!$A$1:C975,3,0),"")</f>
        <v/>
      </c>
      <c r="U4" s="165" t="str">
        <f>IFERROR(IF(OR(VLOOKUP(I4,'[1]Work sheet'!$K$2:U627,11,0)="530",VLOOKUP(I4,'[1]Work sheet'!$K$2:U627,11,0)="526"),"BTO",""),"")</f>
        <v/>
      </c>
      <c r="V4" s="165"/>
      <c r="W4" s="167" t="str">
        <f>IF(COUNTIF('[1]OB Connect'!$F$13:$F$364,N4),"On Openbatch", "No")</f>
        <v>No</v>
      </c>
      <c r="X4" s="166" t="e">
        <f>#REF!</f>
        <v>#REF!</v>
      </c>
      <c r="Y4" s="274" t="e">
        <f>E4+G4+#REF!</f>
        <v>#REF!</v>
      </c>
      <c r="Z4" s="165" t="e">
        <f>IF(Y4&lt;=12,"Shift 1",IF(AND(Y4&gt;12,Y4&lt;=24),"Shift 2",IF(AND(Y4&gt;24,Y4&lt;=36),"Shift 3",IF(AND(Y4&gt;36,Y4&lt;=48),"Shift 4",IF(AND(Y4&gt;48,Y4&lt;=60),"Shift 5",IF(AND(Y4&gt;60,Y4&lt;=72),"Shift 6",IF(AND(Y4&gt;72,Y4&lt;=84),"Shift 7",IF(AND(Y4&gt;84,Y4&lt;=96),IF(AND(Y4&gt;84,Y4&lt;=96),"Shift 8",),"Shift 9"))))))))</f>
        <v>#REF!</v>
      </c>
    </row>
    <row r="5" spans="1:147" ht="13" x14ac:dyDescent="0.25">
      <c r="B5" s="116">
        <f>D4</f>
        <v>44142.899624999998</v>
      </c>
      <c r="C5" s="220">
        <f>D4</f>
        <v>44142.899624999998</v>
      </c>
      <c r="D5" s="220">
        <f>(E5/24)+C5+(G5/24)</f>
        <v>44142.919541666663</v>
      </c>
      <c r="E5" s="219">
        <f>INDEX('[1]Work sheet'!$G$2:$G$240,MATCH(I5,'[1]Work sheet'!$K$2:$K$240,0))+IFERROR(IF(FIND("WASH",J4,1)&gt;0,0,0.267),0.167)</f>
        <v>0.47799999999999998</v>
      </c>
      <c r="F5" s="218">
        <f>IFERROR(MROUND((L5/((INDEX('[1]Work sheet'!$G$2:$G$239,MATCH(I5,'[1]Work sheet'!$K$2:$K$239,0))*0.68)*60)),0.5),"")</f>
        <v>8.5</v>
      </c>
      <c r="G5" s="217"/>
      <c r="H5" s="175">
        <f>LEN(J5)-LEN(SUBSTITUTE(J5,",",""))</f>
        <v>0</v>
      </c>
      <c r="I5" s="175">
        <f>'[1]Work sheet'!K5</f>
        <v>1743107</v>
      </c>
      <c r="J5" s="174" t="str">
        <f>VLOOKUP(I5,'[1]Work sheet'!$K$2:L626,2,0)</f>
        <v>LE-536.30 P1 4UN CTN 2 BAGS</v>
      </c>
      <c r="K5" s="173">
        <f>VLOOKUP(I5,'[1]Work sheet'!$K$2:O743,3,0)</f>
        <v>54</v>
      </c>
      <c r="L5" s="173">
        <f>VLOOKUP(I5,'[1]Work sheet'!$K$2:O1138,4,0)</f>
        <v>108</v>
      </c>
      <c r="M5" s="171" t="str">
        <f>VLOOKUP(I5,'[1]Work sheet'!$K$2:T1447,10,0)</f>
        <v>CIT/ASC</v>
      </c>
      <c r="N5" s="172" t="str">
        <f>IFERROR(VLOOKUP(I5,'[1]PO Numbers'!$R$2:S203,2,0),"TBC")</f>
        <v>106991030</v>
      </c>
      <c r="O5" s="171" t="str">
        <f>IFERROR(VLOOKUP(VALUE(N5),'[1]PO Numbers'!$F$1:$J$400,5,0),"xxx")</f>
        <v>PI01</v>
      </c>
      <c r="P5" s="83" t="str">
        <f>VLOOKUP(I5,'[1]Work sheet'!$K$2:AA1063,13,0)</f>
        <v/>
      </c>
      <c r="Q5" s="170">
        <f>VLOOKUP(I5,'[1]Work sheet'!$K$2:AI743,16,0)</f>
        <v>11.04</v>
      </c>
      <c r="R5" s="168" t="str">
        <f>VLOOKUP(I5,'[1]Work sheet'!$K$2:AA423,17,0)</f>
        <v>10-11Kgs CIT, 0-1Kgs ASC</v>
      </c>
      <c r="S5" s="169" t="str">
        <f>VLOOKUP(I5,'[1]Work sheet'!$K$2:AL306,28,0)</f>
        <v/>
      </c>
      <c r="T5" s="168" t="str">
        <f>IFERROR(VLOOKUP(I5,[1]Label!$A$1:C976,3,0),"")</f>
        <v/>
      </c>
      <c r="U5" s="165" t="str">
        <f>IFERROR(IF(OR(VLOOKUP(I5,'[1]Work sheet'!$K$2:U628,11,0)="530",VLOOKUP(I5,'[1]Work sheet'!$K$2:U628,11,0)="526"),"BTO",""),"")</f>
        <v/>
      </c>
      <c r="V5" s="165"/>
      <c r="W5" s="167" t="str">
        <f>IF(COUNTIF('[1]OB Connect'!$F$13:$F$364,N5),"On Openbatch", "No")</f>
        <v>No</v>
      </c>
      <c r="X5" s="166" t="e">
        <f>X4</f>
        <v>#REF!</v>
      </c>
      <c r="Y5" s="274" t="e">
        <f>E5+G5+Y4</f>
        <v>#REF!</v>
      </c>
      <c r="Z5" s="165" t="e">
        <f>IF(Y5&lt;=12,"Shift 1",IF(AND(Y5&gt;12,Y5&lt;=24),"Shift 2",IF(AND(Y5&gt;24,Y5&lt;=36),"Shift 3",IF(AND(Y5&gt;36,Y5&lt;=48),"Shift 4",IF(AND(Y5&gt;48,Y5&lt;=60),"Shift 5",IF(AND(Y5&gt;60,Y5&lt;=72),"Shift 6",IF(AND(Y5&gt;72,Y5&lt;=84),"Shift 7",IF(AND(Y5&gt;84,Y5&lt;=96),IF(AND(Y5&gt;84,Y5&lt;=96),"Shift 8",),"Shift 9"))))))))</f>
        <v>#REF!</v>
      </c>
    </row>
    <row r="6" spans="1:147" ht="13" x14ac:dyDescent="0.25">
      <c r="B6" s="116">
        <f>D5</f>
        <v>44142.919541666663</v>
      </c>
      <c r="C6" s="220">
        <f>D5</f>
        <v>44142.919541666663</v>
      </c>
      <c r="D6" s="220">
        <f>(E6/24)+C6+(G6/24)</f>
        <v>44143.047958333329</v>
      </c>
      <c r="E6" s="219">
        <f>INDEX('[1]Work sheet'!$G$2:$G$240,MATCH(I6,'[1]Work sheet'!$K$2:$K$240,0))+IFERROR(IF(FIND("WASH",J5,1)&gt;0,0,0.267),0.167)</f>
        <v>0.33200000000000002</v>
      </c>
      <c r="F6" s="218">
        <f>IFERROR(MROUND((L6/((INDEX('[1]Work sheet'!$G$2:$G$239,MATCH(I6,'[1]Work sheet'!$K$2:$K$239,0))*0.68)*60)),0.5),"")</f>
        <v>8</v>
      </c>
      <c r="G6" s="217">
        <v>2.75</v>
      </c>
      <c r="H6" s="175">
        <f>LEN(J6)-LEN(SUBSTITUTE(J6,",",""))</f>
        <v>1</v>
      </c>
      <c r="I6" s="175">
        <f>'[1]Work sheet'!K6</f>
        <v>1408495</v>
      </c>
      <c r="J6" s="174" t="str">
        <f>VLOOKUP(I6,'[1]Work sheet'!$K$2:L627,2,0)</f>
        <v>OR-1087.002/.003 P1,1B 5UN CTN 1 BAG</v>
      </c>
      <c r="K6" s="173">
        <f>VLOOKUP(I6,'[1]Work sheet'!$K$2:O744,3,0)</f>
        <v>54</v>
      </c>
      <c r="L6" s="173">
        <f>VLOOKUP(I6,'[1]Work sheet'!$K$2:O1139,4,0)</f>
        <v>54</v>
      </c>
      <c r="M6" s="171" t="str">
        <f>VLOOKUP(I6,'[1]Work sheet'!$K$2:T1448,10,0)</f>
        <v>CIT/ASC</v>
      </c>
      <c r="N6" s="172" t="str">
        <f>IFERROR(VLOOKUP(I6,'[1]PO Numbers'!$R$2:S204,2,0),"TBC")</f>
        <v>106991037</v>
      </c>
      <c r="O6" s="171" t="str">
        <f>IFERROR(VLOOKUP(VALUE(N6),'[1]PO Numbers'!$F$1:$J$400,5,0),"xxx")</f>
        <v>PI01</v>
      </c>
      <c r="P6" s="83" t="str">
        <f>VLOOKUP(I6,'[1]Work sheet'!$K$2:AA1064,13,0)</f>
        <v>1 of 1408496 (SBZ/811)</v>
      </c>
      <c r="Q6" s="170">
        <f>VLOOKUP(I6,'[1]Work sheet'!$K$2:AI744,16,0)</f>
        <v>13.28</v>
      </c>
      <c r="R6" s="168" t="str">
        <f>VLOOKUP(I6,'[1]Work sheet'!$K$2:AA424,17,0)</f>
        <v>12-13Kgs CIT, 0-1Kgs ASC</v>
      </c>
      <c r="S6" s="169" t="str">
        <f>VLOOKUP(I6,'[1]Work sheet'!$K$2:AL307,28,0)</f>
        <v/>
      </c>
      <c r="T6" s="168" t="str">
        <f>IFERROR(VLOOKUP(I6,[1]Label!$A$1:C977,3,0),"")</f>
        <v/>
      </c>
      <c r="U6" s="165" t="str">
        <f>IFERROR(IF(OR(VLOOKUP(I6,'[1]Work sheet'!$K$2:U629,11,0)="530",VLOOKUP(I6,'[1]Work sheet'!$K$2:U629,11,0)="526"),"BTO",""),"")</f>
        <v/>
      </c>
      <c r="V6" s="165"/>
      <c r="W6" s="167" t="str">
        <f>IF(COUNTIF('[1]OB Connect'!$F$13:$F$364,N6),"On Openbatch", "No")</f>
        <v>No</v>
      </c>
      <c r="X6" s="166" t="e">
        <f>X5</f>
        <v>#REF!</v>
      </c>
      <c r="Y6" s="274" t="e">
        <f>E6+G6+Y5</f>
        <v>#REF!</v>
      </c>
      <c r="Z6" s="165" t="e">
        <f>IF(Y6&lt;=12,"Shift 1",IF(AND(Y6&gt;12,Y6&lt;=24),"Shift 2",IF(AND(Y6&gt;24,Y6&lt;=36),"Shift 3",IF(AND(Y6&gt;36,Y6&lt;=48),"Shift 4",IF(AND(Y6&gt;48,Y6&lt;=60),"Shift 5",IF(AND(Y6&gt;60,Y6&lt;=72),"Shift 6",IF(AND(Y6&gt;72,Y6&lt;=84),"Shift 7",IF(AND(Y6&gt;84,Y6&lt;=96),IF(AND(Y6&gt;84,Y6&lt;=96),"Shift 8",),"Shift 9"))))))))</f>
        <v>#REF!</v>
      </c>
    </row>
    <row r="7" spans="1:147" ht="13" x14ac:dyDescent="0.25">
      <c r="B7" s="116">
        <f>D6</f>
        <v>44143.047958333329</v>
      </c>
      <c r="C7" s="220">
        <f>D6</f>
        <v>44143.047958333329</v>
      </c>
      <c r="D7" s="220">
        <f>(E7/24)+C7+(G7/24)</f>
        <v>44143.089374999996</v>
      </c>
      <c r="E7" s="219">
        <f>INDEX('[1]Work sheet'!$G$2:$G$240,MATCH(I7,'[1]Work sheet'!$K$2:$K$240,0))+IFERROR(IF(FIND("WASH",J6,1)&gt;0,0,0.267),0.167)</f>
        <v>0.99399999999999999</v>
      </c>
      <c r="F7" s="218">
        <f>IFERROR(MROUND((L7/((INDEX('[1]Work sheet'!$G$2:$G$239,MATCH(I7,'[1]Work sheet'!$K$2:$K$239,0))*0.68)*60)),0.5),"")</f>
        <v>8</v>
      </c>
      <c r="G7" s="217"/>
      <c r="H7" s="175">
        <f>LEN(J7)-LEN(SUBSTITUTE(J7,",",""))</f>
        <v>1</v>
      </c>
      <c r="I7" s="175">
        <f>'[1]Work sheet'!K7</f>
        <v>1399997</v>
      </c>
      <c r="J7" s="174" t="str">
        <f>VLOOKUP(I7,'[1]Work sheet'!$K$2:L628,2,0)</f>
        <v>BT/LE/4-82.101/.301 P1,P1B 1UN CTN 1BAG</v>
      </c>
      <c r="K7" s="173">
        <f>VLOOKUP(I7,'[1]Work sheet'!$K$2:O745,3,0)</f>
        <v>270</v>
      </c>
      <c r="L7" s="173">
        <f>VLOOKUP(I7,'[1]Work sheet'!$K$2:O1140,4,0)</f>
        <v>270</v>
      </c>
      <c r="M7" s="171" t="str">
        <f>VLOOKUP(I7,'[1]Work sheet'!$K$2:T1449,10,0)</f>
        <v>CIT/ASC</v>
      </c>
      <c r="N7" s="172" t="str">
        <f>IFERROR(VLOOKUP(I7,'[1]PO Numbers'!$R$2:S205,2,0),"TBC")</f>
        <v>106991035</v>
      </c>
      <c r="O7" s="171" t="str">
        <f>IFERROR(VLOOKUP(VALUE(N7),'[1]PO Numbers'!$F$1:$J$400,5,0),"xxx")</f>
        <v>PI01</v>
      </c>
      <c r="P7" s="83" t="str">
        <f>VLOOKUP(I7,'[1]Work sheet'!$K$2:AA1065,13,0)</f>
        <v>1 of 1379547 (811)</v>
      </c>
      <c r="Q7" s="170">
        <f>VLOOKUP(I7,'[1]Work sheet'!$K$2:AI745,16,0)</f>
        <v>13.78</v>
      </c>
      <c r="R7" s="168" t="str">
        <f>VLOOKUP(I7,'[1]Work sheet'!$K$2:AA425,17,0)</f>
        <v>13-14Kgs CIT, 0-1Kgs ASC</v>
      </c>
      <c r="S7" s="169" t="str">
        <f>VLOOKUP(I7,'[1]Work sheet'!$K$2:AL308,28,0)</f>
        <v/>
      </c>
      <c r="T7" s="168">
        <f>IFERROR(VLOOKUP(I7,[1]Label!$A$1:C978,3,0),"")</f>
        <v>1561901</v>
      </c>
      <c r="U7" s="165" t="str">
        <f>IFERROR(IF(OR(VLOOKUP(I7,'[1]Work sheet'!$K$2:U630,11,0)="530",VLOOKUP(I7,'[1]Work sheet'!$K$2:U630,11,0)="526"),"BTO",""),"")</f>
        <v/>
      </c>
      <c r="V7" s="165"/>
      <c r="W7" s="167" t="str">
        <f>IF(COUNTIF('[1]OB Connect'!$F$13:$F$364,N7),"On Openbatch", "No")</f>
        <v>No</v>
      </c>
      <c r="X7" s="166" t="e">
        <f>X6</f>
        <v>#REF!</v>
      </c>
      <c r="Y7" s="274" t="e">
        <f>E7+G7+Y6</f>
        <v>#REF!</v>
      </c>
      <c r="Z7" s="165" t="e">
        <f>IF(Y7&lt;=12,"Shift 1",IF(AND(Y7&gt;12,Y7&lt;=24),"Shift 2",IF(AND(Y7&gt;24,Y7&lt;=36),"Shift 3",IF(AND(Y7&gt;36,Y7&lt;=48),"Shift 4",IF(AND(Y7&gt;48,Y7&lt;=60),"Shift 5",IF(AND(Y7&gt;60,Y7&lt;=72),"Shift 6",IF(AND(Y7&gt;72,Y7&lt;=84),"Shift 7",IF(AND(Y7&gt;84,Y7&lt;=96),IF(AND(Y7&gt;84,Y7&lt;=96),"Shift 8",),"Shift 9"))))))))</f>
        <v>#REF!</v>
      </c>
    </row>
    <row r="8" spans="1:147" ht="13" x14ac:dyDescent="0.25">
      <c r="B8" s="116">
        <f>D7</f>
        <v>44143.089374999996</v>
      </c>
      <c r="C8" s="220">
        <f>D7</f>
        <v>44143.089374999996</v>
      </c>
      <c r="D8" s="220">
        <f>(E8/24)+C8+(G8/24)</f>
        <v>44143.151499999993</v>
      </c>
      <c r="E8" s="219">
        <f>INDEX('[1]Work sheet'!$G$2:$G$240,MATCH(I8,'[1]Work sheet'!$K$2:$K$240,0))+IFERROR(IF(FIND("WASH",J7,1)&gt;0,0,0.267),0.167)</f>
        <v>1.4910000000000001</v>
      </c>
      <c r="F8" s="218">
        <f>IFERROR(MROUND((L8/((INDEX('[1]Work sheet'!$G$2:$G$239,MATCH(I8,'[1]Work sheet'!$K$2:$K$239,0))*0.68)*60)),0.5),"")</f>
        <v>8</v>
      </c>
      <c r="G8" s="217"/>
      <c r="H8" s="175">
        <f>LEN(J8)-LEN(SUBSTITUTE(J8,",",""))</f>
        <v>2</v>
      </c>
      <c r="I8" s="175">
        <f>'[1]Work sheet'!K8</f>
        <v>1498406</v>
      </c>
      <c r="J8" s="174" t="str">
        <f>VLOOKUP(I8,'[1]Work sheet'!$K$2:L629,2,0)</f>
        <v>MA/6-100.001 P1,1D,1B 0.5UN CTN 1 BAG</v>
      </c>
      <c r="K8" s="173">
        <f>VLOOKUP(I8,'[1]Work sheet'!$K$2:O746,3,0)</f>
        <v>432</v>
      </c>
      <c r="L8" s="173">
        <f>VLOOKUP(I8,'[1]Work sheet'!$K$2:O1141,4,0)</f>
        <v>432</v>
      </c>
      <c r="M8" s="171" t="str">
        <f>VLOOKUP(I8,'[1]Work sheet'!$K$2:T1450,10,0)</f>
        <v>CIT/ASC</v>
      </c>
      <c r="N8" s="172" t="str">
        <f>IFERROR(VLOOKUP(I8,'[1]PO Numbers'!$R$2:S206,2,0),"TBC")</f>
        <v>106990980</v>
      </c>
      <c r="O8" s="171" t="str">
        <f>IFERROR(VLOOKUP(VALUE(N8),'[1]PO Numbers'!$F$1:$J$400,5,0),"xxx")</f>
        <v>PI01</v>
      </c>
      <c r="P8" s="83" t="str">
        <f>VLOOKUP(I8,'[1]Work sheet'!$K$2:AA1066,13,0)</f>
        <v>1 of 1498401 (811), 1 of 1498403 (7635)</v>
      </c>
      <c r="Q8" s="170">
        <f>VLOOKUP(I8,'[1]Work sheet'!$K$2:AI746,16,0)</f>
        <v>14.55</v>
      </c>
      <c r="R8" s="168" t="str">
        <f>VLOOKUP(I8,'[1]Work sheet'!$K$2:AA426,17,0)</f>
        <v>13-14Kgs CIT, 1-2Kgs ASC</v>
      </c>
      <c r="S8" s="169" t="str">
        <f>VLOOKUP(I8,'[1]Work sheet'!$K$2:AL309,28,0)</f>
        <v/>
      </c>
      <c r="T8" s="168">
        <f>IFERROR(VLOOKUP(I8,[1]Label!$A$1:C979,3,0),"")</f>
        <v>1561901</v>
      </c>
      <c r="U8" s="165" t="str">
        <f>IFERROR(IF(OR(VLOOKUP(I8,'[1]Work sheet'!$K$2:U631,11,0)="530",VLOOKUP(I8,'[1]Work sheet'!$K$2:U631,11,0)="526"),"BTO",""),"")</f>
        <v/>
      </c>
      <c r="V8" s="165"/>
      <c r="W8" s="167" t="str">
        <f>IF(COUNTIF('[1]OB Connect'!$F$13:$F$364,N8),"On Openbatch", "No")</f>
        <v>No</v>
      </c>
      <c r="X8" s="166" t="e">
        <f>X7</f>
        <v>#REF!</v>
      </c>
      <c r="Y8" s="274" t="e">
        <f>E8+G8+Y7</f>
        <v>#REF!</v>
      </c>
      <c r="Z8" s="165" t="e">
        <f>IF(Y8&lt;=12,"Shift 1",IF(AND(Y8&gt;12,Y8&lt;=24),"Shift 2",IF(AND(Y8&gt;24,Y8&lt;=36),"Shift 3",IF(AND(Y8&gt;36,Y8&lt;=48),"Shift 4",IF(AND(Y8&gt;48,Y8&lt;=60),"Shift 5",IF(AND(Y8&gt;60,Y8&lt;=72),"Shift 6",IF(AND(Y8&gt;72,Y8&lt;=84),"Shift 7",IF(AND(Y8&gt;84,Y8&lt;=96),IF(AND(Y8&gt;84,Y8&lt;=96),"Shift 8",),"Shift 9"))))))))</f>
        <v>#REF!</v>
      </c>
    </row>
    <row r="9" spans="1:147" ht="13" x14ac:dyDescent="0.25">
      <c r="B9" s="116">
        <f>D8</f>
        <v>44143.151499999993</v>
      </c>
      <c r="C9" s="220">
        <f>D8</f>
        <v>44143.151499999993</v>
      </c>
      <c r="D9" s="220">
        <f>(E9/24)+C9+(G9/24)</f>
        <v>44143.172249999996</v>
      </c>
      <c r="E9" s="219">
        <f>INDEX('[1]Work sheet'!$G$2:$G$240,MATCH(I9,'[1]Work sheet'!$K$2:$K$240,0))+IFERROR(IF(FIND("WASH",J8,1)&gt;0,0,0.267),0.167)</f>
        <v>0.498</v>
      </c>
      <c r="F9" s="218">
        <f>IFERROR(MROUND((L9/((INDEX('[1]Work sheet'!$G$2:$G$239,MATCH(I9,'[1]Work sheet'!$K$2:$K$239,0))*0.68)*60)),0.5),"")</f>
        <v>8</v>
      </c>
      <c r="G9" s="217"/>
      <c r="H9" s="175">
        <f>LEN(J9)-LEN(SUBSTITUTE(J9,",",""))</f>
        <v>0</v>
      </c>
      <c r="I9" s="175">
        <f>'[1]Work sheet'!K9</f>
        <v>2050144</v>
      </c>
      <c r="J9" s="174" t="str">
        <f>VLOOKUP(I9,'[1]Work sheet'!$K$2:L630,2,0)</f>
        <v>MA/B/6-160.00 P1 0.5UN CTN 1 BAG</v>
      </c>
      <c r="K9" s="173">
        <f>VLOOKUP(I9,'[1]Work sheet'!$K$2:O747,3,0)</f>
        <v>108</v>
      </c>
      <c r="L9" s="173">
        <f>VLOOKUP(I9,'[1]Work sheet'!$K$2:O1142,4,0)</f>
        <v>108</v>
      </c>
      <c r="M9" s="171" t="str">
        <f>VLOOKUP(I9,'[1]Work sheet'!$K$2:T1451,10,0)</f>
        <v>CIT/ASC</v>
      </c>
      <c r="N9" s="172" t="str">
        <f>IFERROR(VLOOKUP(I9,'[1]PO Numbers'!$R$2:S207,2,0),"TBC")</f>
        <v>106991004</v>
      </c>
      <c r="O9" s="171" t="str">
        <f>IFERROR(VLOOKUP(VALUE(N9),'[1]PO Numbers'!$F$1:$J$400,5,0),"xxx")</f>
        <v>PI01</v>
      </c>
      <c r="P9" s="83" t="str">
        <f>VLOOKUP(I9,'[1]Work sheet'!$K$2:AA1067,13,0)</f>
        <v/>
      </c>
      <c r="Q9" s="170">
        <f>VLOOKUP(I9,'[1]Work sheet'!$K$2:AI747,16,0)</f>
        <v>14.55</v>
      </c>
      <c r="R9" s="168" t="str">
        <f>VLOOKUP(I9,'[1]Work sheet'!$K$2:AA427,17,0)</f>
        <v>13-14Kgs CIT, 1-2Kgs ASC</v>
      </c>
      <c r="S9" s="169" t="str">
        <f>VLOOKUP(I9,'[1]Work sheet'!$K$2:AL310,28,0)</f>
        <v/>
      </c>
      <c r="T9" s="168" t="str">
        <f>IFERROR(VLOOKUP(I9,[1]Label!$A$1:C980,3,0),"")</f>
        <v/>
      </c>
      <c r="U9" s="165" t="str">
        <f>IFERROR(IF(OR(VLOOKUP(I9,'[1]Work sheet'!$K$2:U632,11,0)="530",VLOOKUP(I9,'[1]Work sheet'!$K$2:U632,11,0)="526"),"BTO",""),"")</f>
        <v/>
      </c>
      <c r="V9" s="165"/>
      <c r="W9" s="167" t="str">
        <f>IF(COUNTIF('[1]OB Connect'!$F$13:$F$364,N9),"On Openbatch", "No")</f>
        <v>No</v>
      </c>
      <c r="X9" s="166" t="e">
        <f>X8</f>
        <v>#REF!</v>
      </c>
      <c r="Y9" s="274" t="e">
        <f>E9+G9+Y8</f>
        <v>#REF!</v>
      </c>
      <c r="Z9" s="165" t="e">
        <f>IF(Y9&lt;=12,"Shift 1",IF(AND(Y9&gt;12,Y9&lt;=24),"Shift 2",IF(AND(Y9&gt;24,Y9&lt;=36),"Shift 3",IF(AND(Y9&gt;36,Y9&lt;=48),"Shift 4",IF(AND(Y9&gt;48,Y9&lt;=60),"Shift 5",IF(AND(Y9&gt;60,Y9&lt;=72),"Shift 6",IF(AND(Y9&gt;72,Y9&lt;=84),"Shift 7",IF(AND(Y9&gt;84,Y9&lt;=96),IF(AND(Y9&gt;84,Y9&lt;=96),"Shift 8",),"Shift 9"))))))))</f>
        <v>#REF!</v>
      </c>
    </row>
    <row r="10" spans="1:147" ht="13" x14ac:dyDescent="0.25">
      <c r="B10" s="116">
        <f>D9</f>
        <v>44143.172249999996</v>
      </c>
      <c r="C10" s="220">
        <f>D9</f>
        <v>44143.172249999996</v>
      </c>
      <c r="D10" s="220">
        <f>(E10/24)+C10+(G10/24)</f>
        <v>44143.241516025635</v>
      </c>
      <c r="E10" s="219">
        <f>INDEX('[1]Work sheet'!$G$2:$G$240,MATCH(I10,'[1]Work sheet'!$K$2:$K$240,0))+IFERROR(IF(FIND("WASH",J9,1)&gt;0,0,0.267),0.167)</f>
        <v>1.6623846153846153</v>
      </c>
      <c r="F10" s="218">
        <f>IFERROR(MROUND((L10/((INDEX('[1]Work sheet'!$G$2:$G$239,MATCH(I10,'[1]Work sheet'!$K$2:$K$239,0))*0.68)*60)),0.5),"")</f>
        <v>8</v>
      </c>
      <c r="G10" s="217"/>
      <c r="H10" s="175">
        <f>LEN(J10)-LEN(SUBSTITUTE(J10,",",""))</f>
        <v>0</v>
      </c>
      <c r="I10" s="175">
        <f>'[1]Work sheet'!K10</f>
        <v>1520721</v>
      </c>
      <c r="J10" s="174" t="str">
        <f>VLOOKUP(I10,'[1]Work sheet'!$K$2:L631,2,0)</f>
        <v>OR-1271.00 P1 4UN CTN 1 BAG</v>
      </c>
      <c r="K10" s="173">
        <f>VLOOKUP(I10,'[1]Work sheet'!$K$2:O748,3,0)</f>
        <v>486</v>
      </c>
      <c r="L10" s="173">
        <f>VLOOKUP(I10,'[1]Work sheet'!$K$2:O1143,4,0)</f>
        <v>486</v>
      </c>
      <c r="M10" s="171" t="str">
        <f>VLOOKUP(I10,'[1]Work sheet'!$K$2:T1452,10,0)</f>
        <v>CIT/ASC</v>
      </c>
      <c r="N10" s="172" t="str">
        <f>IFERROR(VLOOKUP(I10,'[1]PO Numbers'!$R$2:S208,2,0),"TBC")</f>
        <v>106990986</v>
      </c>
      <c r="O10" s="171" t="str">
        <f>IFERROR(VLOOKUP(VALUE(N10),'[1]PO Numbers'!$F$1:$J$400,5,0),"xxx")</f>
        <v>PI01</v>
      </c>
      <c r="P10" s="83" t="str">
        <f>VLOOKUP(I10,'[1]Work sheet'!$K$2:AA1068,13,0)</f>
        <v/>
      </c>
      <c r="Q10" s="170">
        <f>VLOOKUP(I10,'[1]Work sheet'!$K$2:AI748,16,0)</f>
        <v>15.2</v>
      </c>
      <c r="R10" s="168" t="str">
        <f>VLOOKUP(I10,'[1]Work sheet'!$K$2:AA428,17,0)</f>
        <v>14-15Kgs CIT, 0-1Kgs ASC</v>
      </c>
      <c r="S10" s="169" t="str">
        <f>VLOOKUP(I10,'[1]Work sheet'!$K$2:AL311,28,0)</f>
        <v/>
      </c>
      <c r="T10" s="168" t="str">
        <f>IFERROR(VLOOKUP(I10,[1]Label!$A$1:C981,3,0),"")</f>
        <v/>
      </c>
      <c r="U10" s="165" t="str">
        <f>IFERROR(IF(OR(VLOOKUP(I10,'[1]Work sheet'!$K$2:U633,11,0)="530",VLOOKUP(I10,'[1]Work sheet'!$K$2:U633,11,0)="526"),"BTO",""),"")</f>
        <v/>
      </c>
      <c r="V10" s="165"/>
      <c r="W10" s="167" t="str">
        <f>IF(COUNTIF('[1]OB Connect'!$F$13:$F$364,N10),"On Openbatch", "No")</f>
        <v>No</v>
      </c>
      <c r="X10" s="166" t="e">
        <f>X9</f>
        <v>#REF!</v>
      </c>
      <c r="Y10" s="274" t="e">
        <f>E10+G10+Y9</f>
        <v>#REF!</v>
      </c>
      <c r="Z10" s="165" t="e">
        <f>IF(Y10&lt;=12,"Shift 1",IF(AND(Y10&gt;12,Y10&lt;=24),"Shift 2",IF(AND(Y10&gt;24,Y10&lt;=36),"Shift 3",IF(AND(Y10&gt;36,Y10&lt;=48),"Shift 4",IF(AND(Y10&gt;48,Y10&lt;=60),"Shift 5",IF(AND(Y10&gt;60,Y10&lt;=72),"Shift 6",IF(AND(Y10&gt;72,Y10&lt;=84),"Shift 7",IF(AND(Y10&gt;84,Y10&lt;=96),IF(AND(Y10&gt;84,Y10&lt;=96),"Shift 8",),"Shift 9"))))))))</f>
        <v>#REF!</v>
      </c>
    </row>
    <row r="11" spans="1:147" ht="25" x14ac:dyDescent="0.25">
      <c r="B11" s="116">
        <f>D10</f>
        <v>44143.241516025635</v>
      </c>
      <c r="C11" s="220">
        <f>D10</f>
        <v>44143.241516025635</v>
      </c>
      <c r="D11" s="220">
        <f>(E11/24)+C11+(G11/24)</f>
        <v>44143.253089743586</v>
      </c>
      <c r="E11" s="219">
        <f>INDEX('[1]Work sheet'!$G$2:$G$240,MATCH(I11,'[1]Work sheet'!$K$2:$K$240,0))+IFERROR(IF(FIND("WASH",J10,1)&gt;0,0,0.267),0.167)</f>
        <v>0.27776923076923077</v>
      </c>
      <c r="F11" s="218">
        <f>IFERROR(MROUND((L11/((INDEX('[1]Work sheet'!$G$2:$G$239,MATCH(I11,'[1]Work sheet'!$K$2:$K$239,0))*0.68)*60)),0.5),"")</f>
        <v>8</v>
      </c>
      <c r="G11" s="217"/>
      <c r="H11" s="175">
        <f>LEN(J11)-LEN(SUBSTITUTE(J11,",",""))</f>
        <v>1</v>
      </c>
      <c r="I11" s="175">
        <f>'[1]Work sheet'!K11</f>
        <v>1608711</v>
      </c>
      <c r="J11" s="174" t="str">
        <f>VLOOKUP(I11,'[1]Work sheet'!$K$2:L632,2,0)</f>
        <v>TE/AP/B-32.00 P1K,3 2UN CTN 2BAG</v>
      </c>
      <c r="K11" s="173">
        <f>VLOOKUP(I11,'[1]Work sheet'!$K$2:O749,3,0)</f>
        <v>18</v>
      </c>
      <c r="L11" s="173">
        <f>VLOOKUP(I11,'[1]Work sheet'!$K$2:O1144,4,0)</f>
        <v>36</v>
      </c>
      <c r="M11" s="171" t="str">
        <f>VLOOKUP(I11,'[1]Work sheet'!$K$2:T1453,10,0)</f>
        <v>CIT/ASC/TSO</v>
      </c>
      <c r="N11" s="172" t="str">
        <f>IFERROR(VLOOKUP(I11,'[1]PO Numbers'!$R$2:S209,2,0),"TBC")</f>
        <v>106990978</v>
      </c>
      <c r="O11" s="171" t="str">
        <f>IFERROR(VLOOKUP(VALUE(N11),'[1]PO Numbers'!$F$1:$J$400,5,0),"xxx")</f>
        <v>PI01</v>
      </c>
      <c r="P11" s="83" t="str">
        <f>VLOOKUP(I11,'[1]Work sheet'!$K$2:AA1069,13,0)</f>
        <v>2 of 1608708 (6171)</v>
      </c>
      <c r="Q11" s="170">
        <f>VLOOKUP(I11,'[1]Work sheet'!$K$2:AI749,16,0)</f>
        <v>4.923</v>
      </c>
      <c r="R11" s="168" t="str">
        <f>VLOOKUP(I11,'[1]Work sheet'!$K$2:AA429,17,0)</f>
        <v>2-3Kgs CIT, 1-2Kgs TSO, 0-1Kgs ASC</v>
      </c>
      <c r="S11" s="169" t="str">
        <f>VLOOKUP(I11,'[1]Work sheet'!$K$2:AL312,28,0)</f>
        <v/>
      </c>
      <c r="T11" s="168" t="str">
        <f>IFERROR(VLOOKUP(I11,[1]Label!$A$1:C982,3,0),"")</f>
        <v/>
      </c>
      <c r="U11" s="165" t="str">
        <f>IFERROR(IF(OR(VLOOKUP(I11,'[1]Work sheet'!$K$2:U634,11,0)="530",VLOOKUP(I11,'[1]Work sheet'!$K$2:U634,11,0)="526"),"BTO",""),"")</f>
        <v/>
      </c>
      <c r="V11" s="165"/>
      <c r="W11" s="167" t="str">
        <f>IF(COUNTIF('[1]OB Connect'!$F$13:$F$364,N11),"On Openbatch", "No")</f>
        <v>No</v>
      </c>
      <c r="X11" s="166" t="e">
        <f>X10</f>
        <v>#REF!</v>
      </c>
      <c r="Y11" s="274" t="e">
        <f>E11+G11+Y10</f>
        <v>#REF!</v>
      </c>
      <c r="Z11" s="165" t="e">
        <f>IF(Y11&lt;=12,"Shift 1",IF(AND(Y11&gt;12,Y11&lt;=24),"Shift 2",IF(AND(Y11&gt;24,Y11&lt;=36),"Shift 3",IF(AND(Y11&gt;36,Y11&lt;=48),"Shift 4",IF(AND(Y11&gt;48,Y11&lt;=60),"Shift 5",IF(AND(Y11&gt;60,Y11&lt;=72),"Shift 6",IF(AND(Y11&gt;72,Y11&lt;=84),"Shift 7",IF(AND(Y11&gt;84,Y11&lt;=96),IF(AND(Y11&gt;84,Y11&lt;=96),"Shift 8",),"Shift 9"))))))))</f>
        <v>#REF!</v>
      </c>
    </row>
    <row r="12" spans="1:147" ht="25" x14ac:dyDescent="0.25">
      <c r="B12" s="116">
        <f>D11</f>
        <v>44143.253089743586</v>
      </c>
      <c r="C12" s="220">
        <f>D11</f>
        <v>44143.253089743586</v>
      </c>
      <c r="D12" s="220">
        <f>(E12/24)+C12+(G12/24)</f>
        <v>44143.294663461536</v>
      </c>
      <c r="E12" s="219">
        <f>INDEX('[1]Work sheet'!$G$2:$G$240,MATCH(I12,'[1]Work sheet'!$K$2:$K$240,0))+IFERROR(IF(FIND("WASH",J11,1)&gt;0,0,0.267),0.167)</f>
        <v>0.99776923076923085</v>
      </c>
      <c r="F12" s="218">
        <f>IFERROR(MROUND((L12/((INDEX('[1]Work sheet'!$G$2:$G$239,MATCH(I12,'[1]Work sheet'!$K$2:$K$239,0))*0.68)*60)),0.5),"")</f>
        <v>8</v>
      </c>
      <c r="G12" s="217"/>
      <c r="H12" s="175">
        <f>LEN(J12)-LEN(SUBSTITUTE(J12,",",""))</f>
        <v>1</v>
      </c>
      <c r="I12" s="175">
        <f>'[1]Work sheet'!K12</f>
        <v>1611552</v>
      </c>
      <c r="J12" s="174" t="str">
        <f>VLOOKUP(I12,'[1]Work sheet'!$K$2:L633,2,0)</f>
        <v>TE/PF/B-11.00 P1K,3 2UN CTN 2BAG</v>
      </c>
      <c r="K12" s="173">
        <f>VLOOKUP(I12,'[1]Work sheet'!$K$2:O750,3,0)</f>
        <v>135</v>
      </c>
      <c r="L12" s="173">
        <f>VLOOKUP(I12,'[1]Work sheet'!$K$2:O1145,4,0)</f>
        <v>270</v>
      </c>
      <c r="M12" s="171" t="str">
        <f>VLOOKUP(I12,'[1]Work sheet'!$K$2:T1454,10,0)</f>
        <v>CIT/ASC/TSO</v>
      </c>
      <c r="N12" s="172" t="str">
        <f>IFERROR(VLOOKUP(I12,'[1]PO Numbers'!$R$2:S210,2,0),"TBC")</f>
        <v>106990981</v>
      </c>
      <c r="O12" s="171" t="str">
        <f>IFERROR(VLOOKUP(VALUE(N12),'[1]PO Numbers'!$F$1:$J$400,5,0),"xxx")</f>
        <v>PI01</v>
      </c>
      <c r="P12" s="83" t="str">
        <f>VLOOKUP(I12,'[1]Work sheet'!$K$2:AA1070,13,0)</f>
        <v>2 of 1608708 (6171)</v>
      </c>
      <c r="Q12" s="170">
        <f>VLOOKUP(I12,'[1]Work sheet'!$K$2:AI750,16,0)</f>
        <v>5.7809999999999997</v>
      </c>
      <c r="R12" s="168" t="str">
        <f>VLOOKUP(I12,'[1]Work sheet'!$K$2:AA430,17,0)</f>
        <v>3-4Kgs CIT, 1-2Kgs TSO, 0-1Kgs ASC</v>
      </c>
      <c r="S12" s="169" t="str">
        <f>VLOOKUP(I12,'[1]Work sheet'!$K$2:AL313,28,0)</f>
        <v/>
      </c>
      <c r="T12" s="168" t="str">
        <f>IFERROR(VLOOKUP(I12,[1]Label!$A$1:C983,3,0),"")</f>
        <v/>
      </c>
      <c r="U12" s="165" t="str">
        <f>IFERROR(IF(OR(VLOOKUP(I12,'[1]Work sheet'!$K$2:U635,11,0)="530",VLOOKUP(I12,'[1]Work sheet'!$K$2:U635,11,0)="526"),"BTO",""),"")</f>
        <v/>
      </c>
      <c r="V12" s="165"/>
      <c r="W12" s="167" t="str">
        <f>IF(COUNTIF('[1]OB Connect'!$F$13:$F$364,N12),"On Openbatch", "No")</f>
        <v>No</v>
      </c>
      <c r="X12" s="166" t="e">
        <f>X11</f>
        <v>#REF!</v>
      </c>
      <c r="Y12" s="274" t="e">
        <f>E12+G12+Y11</f>
        <v>#REF!</v>
      </c>
      <c r="Z12" s="165" t="e">
        <f>IF(Y12&lt;=12,"Shift 1",IF(AND(Y12&gt;12,Y12&lt;=24),"Shift 2",IF(AND(Y12&gt;24,Y12&lt;=36),"Shift 3",IF(AND(Y12&gt;36,Y12&lt;=48),"Shift 4",IF(AND(Y12&gt;48,Y12&lt;=60),"Shift 5",IF(AND(Y12&gt;60,Y12&lt;=72),"Shift 6",IF(AND(Y12&gt;72,Y12&lt;=84),"Shift 7",IF(AND(Y12&gt;84,Y12&lt;=96),IF(AND(Y12&gt;84,Y12&lt;=96),"Shift 8",),"Shift 9"))))))))</f>
        <v>#REF!</v>
      </c>
    </row>
    <row r="13" spans="1:147" ht="25" x14ac:dyDescent="0.25">
      <c r="B13" s="116">
        <f>D12</f>
        <v>44143.294663461536</v>
      </c>
      <c r="C13" s="220">
        <f>D12</f>
        <v>44143.294663461536</v>
      </c>
      <c r="D13" s="220">
        <f>(E13/24)+C13+(G13/24)</f>
        <v>44143.311705128202</v>
      </c>
      <c r="E13" s="219">
        <f>INDEX('[1]Work sheet'!$G$2:$G$240,MATCH(I13,'[1]Work sheet'!$K$2:$K$240,0))+IFERROR(IF(FIND("WASH",J12,1)&gt;0,0,0.267),0.167)</f>
        <v>0.40900000000000003</v>
      </c>
      <c r="F13" s="218">
        <f>IFERROR(MROUND((L13/((INDEX('[1]Work sheet'!$G$2:$G$239,MATCH(I13,'[1]Work sheet'!$K$2:$K$239,0))*0.68)*60)),0.5),"")</f>
        <v>8</v>
      </c>
      <c r="G13" s="217"/>
      <c r="H13" s="175">
        <f>LEN(J13)-LEN(SUBSTITUTE(J13,",",""))</f>
        <v>2</v>
      </c>
      <c r="I13" s="175">
        <f>'[1]Work sheet'!K13</f>
        <v>1755099</v>
      </c>
      <c r="J13" s="174" t="str">
        <f>VLOOKUP(I13,'[1]Work sheet'!$K$2:L634,2,0)</f>
        <v>LE/A/B-618.101 P1K,1B,3 6UN CTN 1 BAG</v>
      </c>
      <c r="K13" s="173">
        <f>VLOOKUP(I13,'[1]Work sheet'!$K$2:O751,3,0)</f>
        <v>79</v>
      </c>
      <c r="L13" s="173">
        <f>VLOOKUP(I13,'[1]Work sheet'!$K$2:O1146,4,0)</f>
        <v>79</v>
      </c>
      <c r="M13" s="171" t="str">
        <f>VLOOKUP(I13,'[1]Work sheet'!$K$2:T1455,10,0)</f>
        <v>CIT/ASC/TSO</v>
      </c>
      <c r="N13" s="172" t="str">
        <f>IFERROR(VLOOKUP(I13,'[1]PO Numbers'!$R$2:S211,2,0),"TBC")</f>
        <v>106990983</v>
      </c>
      <c r="O13" s="171" t="str">
        <f>IFERROR(VLOOKUP(VALUE(N13),'[1]PO Numbers'!$F$1:$J$400,5,0),"xxx")</f>
        <v>PI01</v>
      </c>
      <c r="P13" s="83" t="str">
        <f>VLOOKUP(I13,'[1]Work sheet'!$K$2:AA1071,13,0)</f>
        <v>1 of 1310992 (811), 1 of 1755097 (6159)</v>
      </c>
      <c r="Q13" s="170">
        <f>VLOOKUP(I13,'[1]Work sheet'!$K$2:AI751,16,0)</f>
        <v>6.39</v>
      </c>
      <c r="R13" s="168" t="str">
        <f>VLOOKUP(I13,'[1]Work sheet'!$K$2:AA431,17,0)</f>
        <v>3-4Kgs ASC, 1-2Kgs CIT, 1-2Kgs TSO</v>
      </c>
      <c r="S13" s="169" t="str">
        <f>VLOOKUP(I13,'[1]Work sheet'!$K$2:AL314,28,0)</f>
        <v/>
      </c>
      <c r="T13" s="168" t="str">
        <f>IFERROR(VLOOKUP(I13,[1]Label!$A$1:C984,3,0),"")</f>
        <v/>
      </c>
      <c r="U13" s="165" t="str">
        <f>IFERROR(IF(OR(VLOOKUP(I13,'[1]Work sheet'!$K$2:U636,11,0)="530",VLOOKUP(I13,'[1]Work sheet'!$K$2:U636,11,0)="526"),"BTO",""),"")</f>
        <v/>
      </c>
      <c r="V13" s="165"/>
      <c r="W13" s="167" t="str">
        <f>IF(COUNTIF('[1]OB Connect'!$F$13:$F$364,N13),"On Openbatch", "No")</f>
        <v>No</v>
      </c>
      <c r="X13" s="166" t="e">
        <f>X12</f>
        <v>#REF!</v>
      </c>
      <c r="Y13" s="274" t="e">
        <f>E13+G13+Y12</f>
        <v>#REF!</v>
      </c>
      <c r="Z13" s="165" t="e">
        <f>IF(Y13&lt;=12,"Shift 1",IF(AND(Y13&gt;12,Y13&lt;=24),"Shift 2",IF(AND(Y13&gt;24,Y13&lt;=36),"Shift 3",IF(AND(Y13&gt;36,Y13&lt;=48),"Shift 4",IF(AND(Y13&gt;48,Y13&lt;=60),"Shift 5",IF(AND(Y13&gt;60,Y13&lt;=72),"Shift 6",IF(AND(Y13&gt;72,Y13&lt;=84),"Shift 7",IF(AND(Y13&gt;84,Y13&lt;=96),IF(AND(Y13&gt;84,Y13&lt;=96),"Shift 8",),"Shift 9"))))))))</f>
        <v>#REF!</v>
      </c>
    </row>
    <row r="14" spans="1:147" ht="25" x14ac:dyDescent="0.25">
      <c r="A14" s="282" t="s">
        <v>46</v>
      </c>
      <c r="B14" s="116">
        <f>D13</f>
        <v>44143.311705128202</v>
      </c>
      <c r="C14" s="220">
        <f>D13</f>
        <v>44143.311705128202</v>
      </c>
      <c r="D14" s="220">
        <f>(E14/24)+C14+(G14/24)</f>
        <v>44143.330913461534</v>
      </c>
      <c r="E14" s="219">
        <f>INDEX('[1]Work sheet'!$G$2:$G$240,MATCH(I14,'[1]Work sheet'!$K$2:$K$240,0))+IFERROR(IF(FIND("WASH",J13,1)&gt;0,0,0.267),0.167)</f>
        <v>0.46099999999999997</v>
      </c>
      <c r="F14" s="218">
        <f>IFERROR(MROUND((L14/((INDEX('[1]Work sheet'!$G$2:$G$239,MATCH(I14,'[1]Work sheet'!$K$2:$K$239,0))*0.68)*60)),0.5),"")</f>
        <v>8</v>
      </c>
      <c r="G14" s="217"/>
      <c r="H14" s="175">
        <f>LEN(J14)-LEN(SUBSTITUTE(J14,",",""))</f>
        <v>0</v>
      </c>
      <c r="I14" s="175">
        <f>'[1]Work sheet'!K14</f>
        <v>2051098</v>
      </c>
      <c r="J14" s="174" t="str">
        <f>VLOOKUP(I14,'[1]Work sheet'!$K$2:L635,2,0)</f>
        <v>TE/LE/A-189.10 P1A 3UN CTN 2 BAG</v>
      </c>
      <c r="K14" s="173">
        <f>VLOOKUP(I14,'[1]Work sheet'!$K$2:O752,3,0)</f>
        <v>48</v>
      </c>
      <c r="L14" s="173">
        <f>VLOOKUP(I14,'[1]Work sheet'!$K$2:O1147,4,0)</f>
        <v>96</v>
      </c>
      <c r="M14" s="171" t="str">
        <f>VLOOKUP(I14,'[1]Work sheet'!$K$2:T1456,10,0)</f>
        <v>CIT/ASC/TSO</v>
      </c>
      <c r="N14" s="172" t="str">
        <f>IFERROR(VLOOKUP(I14,'[1]PO Numbers'!$R$2:S212,2,0),"TBC")</f>
        <v>106991028</v>
      </c>
      <c r="O14" s="171" t="str">
        <f>IFERROR(VLOOKUP(VALUE(N14),'[1]PO Numbers'!$F$1:$J$400,5,0),"xxx")</f>
        <v>PI01</v>
      </c>
      <c r="P14" s="83" t="str">
        <f>VLOOKUP(I14,'[1]Work sheet'!$K$2:AA1072,13,0)</f>
        <v/>
      </c>
      <c r="Q14" s="170">
        <f>VLOOKUP(I14,'[1]Work sheet'!$K$2:AI752,16,0)</f>
        <v>8.0250000000000004</v>
      </c>
      <c r="R14" s="168" t="str">
        <f>VLOOKUP(I14,'[1]Work sheet'!$K$2:AA432,17,0)</f>
        <v>5-6Kgs CIT, 1-2Kgs TSO, 1-2Kgs ASC</v>
      </c>
      <c r="S14" s="169" t="str">
        <f>VLOOKUP(I14,'[1]Work sheet'!$K$2:AL315,28,0)</f>
        <v/>
      </c>
      <c r="T14" s="168" t="str">
        <f>IFERROR(VLOOKUP(I14,[1]Label!$A$1:C985,3,0),"")</f>
        <v/>
      </c>
      <c r="U14" s="165" t="str">
        <f>IFERROR(IF(OR(VLOOKUP(I14,'[1]Work sheet'!$K$2:U637,11,0)="530",VLOOKUP(I14,'[1]Work sheet'!$K$2:U637,11,0)="526"),"BTO",""),"")</f>
        <v/>
      </c>
      <c r="V14" s="165"/>
      <c r="W14" s="167" t="str">
        <f>IF(COUNTIF('[1]OB Connect'!$F$13:$F$364,N14),"On Openbatch", "No")</f>
        <v>No</v>
      </c>
      <c r="X14" s="166" t="e">
        <f>X13</f>
        <v>#REF!</v>
      </c>
      <c r="Y14" s="274" t="e">
        <f>E14+G14+Y13</f>
        <v>#REF!</v>
      </c>
      <c r="Z14" s="165" t="e">
        <f>IF(Y14&lt;=12,"Shift 1",IF(AND(Y14&gt;12,Y14&lt;=24),"Shift 2",IF(AND(Y14&gt;24,Y14&lt;=36),"Shift 3",IF(AND(Y14&gt;36,Y14&lt;=48),"Shift 4",IF(AND(Y14&gt;48,Y14&lt;=60),"Shift 5",IF(AND(Y14&gt;60,Y14&lt;=72),"Shift 6",IF(AND(Y14&gt;72,Y14&lt;=84),"Shift 7",IF(AND(Y14&gt;84,Y14&lt;=96),IF(AND(Y14&gt;84,Y14&lt;=96),"Shift 8",),"Shift 9"))))))))</f>
        <v>#REF!</v>
      </c>
    </row>
    <row r="15" spans="1:147" ht="25" x14ac:dyDescent="0.25">
      <c r="B15" s="116">
        <f>D14</f>
        <v>44143.330913461534</v>
      </c>
      <c r="C15" s="220">
        <f>D14</f>
        <v>44143.330913461534</v>
      </c>
      <c r="D15" s="220">
        <f>(E15/24)+C15+(G15/24)</f>
        <v>44143.399913461537</v>
      </c>
      <c r="E15" s="219">
        <f>INDEX('[1]Work sheet'!$G$2:$G$240,MATCH(I15,'[1]Work sheet'!$K$2:$K$240,0))+IFERROR(IF(FIND("WASH",J14,1)&gt;0,0,0.267),0.167)</f>
        <v>1.6560000000000001</v>
      </c>
      <c r="F15" s="218">
        <f>IFERROR(MROUND((L15/((INDEX('[1]Work sheet'!$G$2:$G$239,MATCH(I15,'[1]Work sheet'!$K$2:$K$239,0))*0.68)*60)),0.5),"")</f>
        <v>8</v>
      </c>
      <c r="G15" s="217"/>
      <c r="H15" s="175">
        <f>LEN(J15)-LEN(SUBSTITUTE(J15,",",""))</f>
        <v>0</v>
      </c>
      <c r="I15" s="175">
        <f>'[1]Work sheet'!K15</f>
        <v>1945454</v>
      </c>
      <c r="J15" s="174" t="str">
        <f>VLOOKUP(I15,'[1]Work sheet'!$K$2:L637,2,0)</f>
        <v>TE/LE/B-163.00 P1 3UN CTN 2 BAG</v>
      </c>
      <c r="K15" s="173">
        <f>VLOOKUP(I15,'[1]Work sheet'!$K$2:O754,3,0)</f>
        <v>243</v>
      </c>
      <c r="L15" s="173">
        <f>VLOOKUP(I15,'[1]Work sheet'!$K$2:O1149,4,0)</f>
        <v>486</v>
      </c>
      <c r="M15" s="171" t="str">
        <f>VLOOKUP(I15,'[1]Work sheet'!$K$2:T1458,10,0)</f>
        <v>CIT/ASC/TSO</v>
      </c>
      <c r="N15" s="172" t="str">
        <f>IFERROR(VLOOKUP(I15,'[1]PO Numbers'!$R$2:S214,2,0),"TBC")</f>
        <v>106990974</v>
      </c>
      <c r="O15" s="171" t="str">
        <f>IFERROR(VLOOKUP(VALUE(N15),'[1]PO Numbers'!$F$1:$J$400,5,0),"xxx")</f>
        <v>PI01</v>
      </c>
      <c r="P15" s="83" t="str">
        <f>VLOOKUP(I15,'[1]Work sheet'!$K$2:AA1074,13,0)</f>
        <v/>
      </c>
      <c r="Q15" s="170">
        <f>VLOOKUP(I15,'[1]Work sheet'!$K$2:AI754,16,0)</f>
        <v>7.65</v>
      </c>
      <c r="R15" s="168" t="str">
        <f>VLOOKUP(I15,'[1]Work sheet'!$K$2:AA434,17,0)</f>
        <v>5-6Kgs CIT, 1-2Kgs TSO, 0-1Kgs ASC</v>
      </c>
      <c r="S15" s="169"/>
      <c r="T15" s="168" t="str">
        <f>IFERROR(VLOOKUP(I15,[1]Label!$A$1:C987,3,0),"")</f>
        <v/>
      </c>
      <c r="U15" s="165" t="str">
        <f>IFERROR(IF(OR(VLOOKUP(I15,'[1]Work sheet'!$K$2:U639,11,0)="530",VLOOKUP(I15,'[1]Work sheet'!$K$2:U639,11,0)="526"),"BTO",""),"")</f>
        <v/>
      </c>
      <c r="V15" s="165"/>
      <c r="W15" s="167" t="str">
        <f>IF(COUNTIF('[1]OB Connect'!$F$13:$F$364,N15),"On Openbatch", "No")</f>
        <v>No</v>
      </c>
      <c r="X15" s="166" t="e">
        <f>#REF!</f>
        <v>#REF!</v>
      </c>
      <c r="Y15" s="274" t="e">
        <f>E15+G15+#REF!</f>
        <v>#REF!</v>
      </c>
      <c r="Z15" s="165" t="e">
        <f>IF(Y15&lt;=12,"Shift 1",IF(AND(Y15&gt;12,Y15&lt;=24),"Shift 2",IF(AND(Y15&gt;24,Y15&lt;=36),"Shift 3",IF(AND(Y15&gt;36,Y15&lt;=48),"Shift 4",IF(AND(Y15&gt;48,Y15&lt;=60),"Shift 5",IF(AND(Y15&gt;60,Y15&lt;=72),"Shift 6",IF(AND(Y15&gt;72,Y15&lt;=84),"Shift 7",IF(AND(Y15&gt;84,Y15&lt;=96),IF(AND(Y15&gt;84,Y15&lt;=96),"Shift 8",),"Shift 9"))))))))</f>
        <v>#REF!</v>
      </c>
    </row>
    <row r="16" spans="1:147" ht="25" x14ac:dyDescent="0.25">
      <c r="B16" s="116">
        <f>D15</f>
        <v>44143.399913461537</v>
      </c>
      <c r="C16" s="220">
        <f>D15</f>
        <v>44143.399913461537</v>
      </c>
      <c r="D16" s="220">
        <f>(E16/24)+C16+(G16/24)</f>
        <v>44143.414564102561</v>
      </c>
      <c r="E16" s="219">
        <f>INDEX('[1]Work sheet'!$G$2:$G$240,MATCH(I16,'[1]Work sheet'!$K$2:$K$240,0))+IFERROR(IF(FIND("WASH",J15,1)&gt;0,0,0.267),0.167)</f>
        <v>0.35161538461538466</v>
      </c>
      <c r="F16" s="218">
        <f>IFERROR(MROUND((L16/((INDEX('[1]Work sheet'!$G$2:$G$239,MATCH(I16,'[1]Work sheet'!$K$2:$K$239,0))*0.68)*60)),0.5),"")</f>
        <v>8</v>
      </c>
      <c r="G16" s="217"/>
      <c r="H16" s="175">
        <f>LEN(J16)-LEN(SUBSTITUTE(J16,",",""))</f>
        <v>0</v>
      </c>
      <c r="I16" s="175">
        <f>'[1]Work sheet'!K16</f>
        <v>3008898</v>
      </c>
      <c r="J16" s="174" t="str">
        <f>VLOOKUP(I16,'[1]Work sheet'!$K$2:L638,2,0)</f>
        <v>TE/AP/B-54.00 P1K 2UN CTN 2 BAG</v>
      </c>
      <c r="K16" s="173">
        <f>VLOOKUP(I16,'[1]Work sheet'!$K$2:O755,3,0)</f>
        <v>30</v>
      </c>
      <c r="L16" s="173">
        <f>VLOOKUP(I16,'[1]Work sheet'!$K$2:O1150,4,0)</f>
        <v>60</v>
      </c>
      <c r="M16" s="171" t="str">
        <f>VLOOKUP(I16,'[1]Work sheet'!$K$2:T1459,10,0)</f>
        <v>CIT/ASC/TSO</v>
      </c>
      <c r="N16" s="172" t="str">
        <f>IFERROR(VLOOKUP(I16,'[1]PO Numbers'!$R$2:S215,2,0),"TBC")</f>
        <v>106991009</v>
      </c>
      <c r="O16" s="171" t="str">
        <f>IFERROR(VLOOKUP(VALUE(N16),'[1]PO Numbers'!$F$1:$J$400,5,0),"xxx")</f>
        <v>PI01</v>
      </c>
      <c r="P16" s="83" t="str">
        <f>VLOOKUP(I16,'[1]Work sheet'!$K$2:AA1075,13,0)</f>
        <v/>
      </c>
      <c r="Q16" s="170">
        <f>VLOOKUP(I16,'[1]Work sheet'!$K$2:AI755,16,0)</f>
        <v>7.665</v>
      </c>
      <c r="R16" s="168" t="str">
        <f>VLOOKUP(I16,'[1]Work sheet'!$K$2:AA435,17,0)</f>
        <v>4-5Kgs CIT, 1-2Kgs TSO, 0-1Kgs ASC</v>
      </c>
      <c r="S16" s="169" t="str">
        <f>VLOOKUP(I16,'[1]Work sheet'!$K$2:AL318,28,0)</f>
        <v/>
      </c>
      <c r="T16" s="168" t="str">
        <f>IFERROR(VLOOKUP(I16,[1]Label!$A$1:C988,3,0),"")</f>
        <v/>
      </c>
      <c r="U16" s="165" t="str">
        <f>IFERROR(IF(OR(VLOOKUP(I16,'[1]Work sheet'!$K$2:U640,11,0)="530",VLOOKUP(I16,'[1]Work sheet'!$K$2:U640,11,0)="526"),"BTO",""),"")</f>
        <v/>
      </c>
      <c r="V16" s="165"/>
      <c r="W16" s="167" t="str">
        <f>IF(COUNTIF('[1]OB Connect'!$F$13:$F$364,N16),"On Openbatch", "No")</f>
        <v>No</v>
      </c>
      <c r="X16" s="166" t="e">
        <f>X15</f>
        <v>#REF!</v>
      </c>
      <c r="Y16" s="274" t="e">
        <f>E16+G16+Y15</f>
        <v>#REF!</v>
      </c>
      <c r="Z16" s="165" t="e">
        <f>IF(Y16&lt;=12,"Shift 1",IF(AND(Y16&gt;12,Y16&lt;=24),"Shift 2",IF(AND(Y16&gt;24,Y16&lt;=36),"Shift 3",IF(AND(Y16&gt;36,Y16&lt;=48),"Shift 4",IF(AND(Y16&gt;48,Y16&lt;=60),"Shift 5",IF(AND(Y16&gt;60,Y16&lt;=72),"Shift 6",IF(AND(Y16&gt;72,Y16&lt;=84),"Shift 7",IF(AND(Y16&gt;84,Y16&lt;=96),IF(AND(Y16&gt;84,Y16&lt;=96),"Shift 8",),"Shift 9"))))))))</f>
        <v>#REF!</v>
      </c>
    </row>
    <row r="17" spans="1:147" ht="25" x14ac:dyDescent="0.25">
      <c r="B17" s="116">
        <f>D16</f>
        <v>44143.414564102561</v>
      </c>
      <c r="C17" s="220">
        <f>D16</f>
        <v>44143.414564102561</v>
      </c>
      <c r="D17" s="220">
        <f>(E17/24)+C17+(G17/24)</f>
        <v>44143.462897435893</v>
      </c>
      <c r="E17" s="219">
        <f>INDEX('[1]Work sheet'!$G$2:$G$240,MATCH(I17,'[1]Work sheet'!$K$2:$K$240,0))+IFERROR(IF(FIND("WASH",J16,1)&gt;0,0,0.267),0.167)</f>
        <v>1.1599999999999999</v>
      </c>
      <c r="F17" s="218">
        <f>IFERROR(MROUND((L17/((INDEX('[1]Work sheet'!$G$2:$G$239,MATCH(I17,'[1]Work sheet'!$K$2:$K$239,0))*0.68)*60)),0.5),"")</f>
        <v>8</v>
      </c>
      <c r="G17" s="217"/>
      <c r="H17" s="175">
        <f>LEN(J17)-LEN(SUBSTITUTE(J17,",",""))</f>
        <v>0</v>
      </c>
      <c r="I17" s="175">
        <f>'[1]Work sheet'!K17</f>
        <v>2082697</v>
      </c>
      <c r="J17" s="174" t="str">
        <f>VLOOKUP(I17,'[1]Work sheet'!$K$2:L639,2,0)</f>
        <v>TE/LE-198.00 P1K 2UN CTN 2 BAG</v>
      </c>
      <c r="K17" s="173">
        <f>VLOOKUP(I17,'[1]Work sheet'!$K$2:O756,3,0)</f>
        <v>162</v>
      </c>
      <c r="L17" s="173">
        <f>VLOOKUP(I17,'[1]Work sheet'!$K$2:O1151,4,0)</f>
        <v>324</v>
      </c>
      <c r="M17" s="171" t="str">
        <f>VLOOKUP(I17,'[1]Work sheet'!$K$2:T1460,10,0)</f>
        <v>CIT/ASC/TSO</v>
      </c>
      <c r="N17" s="172" t="str">
        <f>IFERROR(VLOOKUP(I17,'[1]PO Numbers'!$R$2:S216,2,0),"TBC")</f>
        <v>106991017</v>
      </c>
      <c r="O17" s="171" t="str">
        <f>IFERROR(VLOOKUP(VALUE(N17),'[1]PO Numbers'!$F$1:$J$400,5,0),"xxx")</f>
        <v>PI01</v>
      </c>
      <c r="P17" s="83" t="str">
        <f>VLOOKUP(I17,'[1]Work sheet'!$K$2:AA1076,13,0)</f>
        <v/>
      </c>
      <c r="Q17" s="170">
        <f>VLOOKUP(I17,'[1]Work sheet'!$K$2:AI756,16,0)</f>
        <v>8.0890000000000004</v>
      </c>
      <c r="R17" s="168" t="str">
        <f>VLOOKUP(I17,'[1]Work sheet'!$K$2:AA436,17,0)</f>
        <v>5-6Kgs CIT, 1-2Kgs TSO, 0-1Kgs ASC</v>
      </c>
      <c r="S17" s="169" t="str">
        <f>VLOOKUP(I17,'[1]Work sheet'!$K$2:AL319,28,0)</f>
        <v/>
      </c>
      <c r="T17" s="168" t="str">
        <f>IFERROR(VLOOKUP(I17,[1]Label!$A$1:C989,3,0),"")</f>
        <v/>
      </c>
      <c r="U17" s="165" t="str">
        <f>IFERROR(IF(OR(VLOOKUP(I17,'[1]Work sheet'!$K$2:U641,11,0)="530",VLOOKUP(I17,'[1]Work sheet'!$K$2:U641,11,0)="526"),"BTO",""),"")</f>
        <v/>
      </c>
      <c r="V17" s="165"/>
      <c r="W17" s="167" t="str">
        <f>IF(COUNTIF('[1]OB Connect'!$F$13:$F$364,N17),"On Openbatch", "No")</f>
        <v>No</v>
      </c>
      <c r="X17" s="166" t="e">
        <f>X16</f>
        <v>#REF!</v>
      </c>
      <c r="Y17" s="274" t="e">
        <f>E17+G17+Y16</f>
        <v>#REF!</v>
      </c>
      <c r="Z17" s="165" t="e">
        <f>IF(Y17&lt;=12,"Shift 1",IF(AND(Y17&gt;12,Y17&lt;=24),"Shift 2",IF(AND(Y17&gt;24,Y17&lt;=36),"Shift 3",IF(AND(Y17&gt;36,Y17&lt;=48),"Shift 4",IF(AND(Y17&gt;48,Y17&lt;=60),"Shift 5",IF(AND(Y17&gt;60,Y17&lt;=72),"Shift 6",IF(AND(Y17&gt;72,Y17&lt;=84),"Shift 7",IF(AND(Y17&gt;84,Y17&lt;=96),IF(AND(Y17&gt;84,Y17&lt;=96),"Shift 8",),"Shift 9"))))))))</f>
        <v>#REF!</v>
      </c>
    </row>
    <row r="18" spans="1:147" ht="25" x14ac:dyDescent="0.25">
      <c r="B18" s="116">
        <f>D17</f>
        <v>44143.462897435893</v>
      </c>
      <c r="C18" s="220">
        <f>D17</f>
        <v>44143.462897435893</v>
      </c>
      <c r="D18" s="220">
        <f>(E18/24)+C18+(G18/24)</f>
        <v>44143.598230769232</v>
      </c>
      <c r="E18" s="219">
        <f>INDEX('[1]Work sheet'!$G$2:$G$240,MATCH(I18,'[1]Work sheet'!$K$2:$K$240,0))+IFERROR(IF(FIND("WASH",J17,1)&gt;0,0,0.267),0.167)</f>
        <v>0.498</v>
      </c>
      <c r="F18" s="218">
        <f>IFERROR(MROUND((L18/((INDEX('[1]Work sheet'!$G$2:$G$239,MATCH(I18,'[1]Work sheet'!$K$2:$K$239,0))*0.68)*60)),0.5),"")</f>
        <v>8</v>
      </c>
      <c r="G18" s="217">
        <v>2.75</v>
      </c>
      <c r="H18" s="175">
        <f>LEN(J18)-LEN(SUBSTITUTE(J18,",",""))</f>
        <v>0</v>
      </c>
      <c r="I18" s="175">
        <f>'[1]Work sheet'!K18</f>
        <v>2083026</v>
      </c>
      <c r="J18" s="174" t="str">
        <f>VLOOKUP(I18,'[1]Work sheet'!$K$2:L640,2,0)</f>
        <v>TE/BL/B-10.00 P1K 2.5UN CTN 2 BAGS</v>
      </c>
      <c r="K18" s="173">
        <f>VLOOKUP(I18,'[1]Work sheet'!$K$2:O757,3,0)</f>
        <v>54</v>
      </c>
      <c r="L18" s="173">
        <f>VLOOKUP(I18,'[1]Work sheet'!$K$2:O1152,4,0)</f>
        <v>108</v>
      </c>
      <c r="M18" s="171" t="str">
        <f>VLOOKUP(I18,'[1]Work sheet'!$K$2:T1461,10,0)</f>
        <v>CIT/ASC/TSO</v>
      </c>
      <c r="N18" s="172" t="str">
        <f>IFERROR(VLOOKUP(I18,'[1]PO Numbers'!$R$2:S217,2,0),"TBC")</f>
        <v>106991010</v>
      </c>
      <c r="O18" s="171" t="str">
        <f>IFERROR(VLOOKUP(VALUE(N18),'[1]PO Numbers'!$F$1:$J$400,5,0),"xxx")</f>
        <v>PI01</v>
      </c>
      <c r="P18" s="83" t="str">
        <f>VLOOKUP(I18,'[1]Work sheet'!$K$2:AA1077,13,0)</f>
        <v/>
      </c>
      <c r="Q18" s="170">
        <f>VLOOKUP(I18,'[1]Work sheet'!$K$2:AI757,16,0)</f>
        <v>8.359</v>
      </c>
      <c r="R18" s="168" t="str">
        <f>VLOOKUP(I18,'[1]Work sheet'!$K$2:AA437,17,0)</f>
        <v>4-5Kgs CIT, 3-4Kgs TSO, 1-2Kgs ASC</v>
      </c>
      <c r="S18" s="169" t="str">
        <f>VLOOKUP(I18,'[1]Work sheet'!$K$2:AL320,28,0)</f>
        <v/>
      </c>
      <c r="T18" s="168" t="str">
        <f>IFERROR(VLOOKUP(I18,[1]Label!$A$1:C990,3,0),"")</f>
        <v/>
      </c>
      <c r="U18" s="165" t="str">
        <f>IFERROR(IF(OR(VLOOKUP(I18,'[1]Work sheet'!$K$2:U642,11,0)="530",VLOOKUP(I18,'[1]Work sheet'!$K$2:U642,11,0)="526"),"BTO",""),"")</f>
        <v/>
      </c>
      <c r="V18" s="165"/>
      <c r="W18" s="167" t="str">
        <f>IF(COUNTIF('[1]OB Connect'!$F$13:$F$364,N18),"On Openbatch", "No")</f>
        <v>No</v>
      </c>
      <c r="X18" s="166" t="e">
        <f>X17</f>
        <v>#REF!</v>
      </c>
      <c r="Y18" s="274" t="e">
        <f>E18+G18+Y17</f>
        <v>#REF!</v>
      </c>
      <c r="Z18" s="165" t="e">
        <f>IF(Y18&lt;=12,"Shift 1",IF(AND(Y18&gt;12,Y18&lt;=24),"Shift 2",IF(AND(Y18&gt;24,Y18&lt;=36),"Shift 3",IF(AND(Y18&gt;36,Y18&lt;=48),"Shift 4",IF(AND(Y18&gt;48,Y18&lt;=60),"Shift 5",IF(AND(Y18&gt;60,Y18&lt;=72),"Shift 6",IF(AND(Y18&gt;72,Y18&lt;=84),"Shift 7",IF(AND(Y18&gt;84,Y18&lt;=96),IF(AND(Y18&gt;84,Y18&lt;=96),"Shift 8",),"Shift 9"))))))))</f>
        <v>#REF!</v>
      </c>
    </row>
    <row r="19" spans="1:147" ht="25" x14ac:dyDescent="0.25">
      <c r="B19" s="116">
        <f>D18</f>
        <v>44143.598230769232</v>
      </c>
      <c r="C19" s="220">
        <f>D18</f>
        <v>44143.598230769232</v>
      </c>
      <c r="D19" s="220">
        <f>(E19/24)+C19+(G19/24)</f>
        <v>44143.674105769234</v>
      </c>
      <c r="E19" s="219">
        <f>INDEX('[1]Work sheet'!$G$2:$G$240,MATCH(I19,'[1]Work sheet'!$K$2:$K$240,0))+IFERROR(IF(FIND("WASH",J18,1)&gt;0,0,0.267),0.167)</f>
        <v>1.821</v>
      </c>
      <c r="F19" s="218">
        <f>IFERROR(MROUND((L19/((INDEX('[1]Work sheet'!$G$2:$G$239,MATCH(I19,'[1]Work sheet'!$K$2:$K$239,0))*0.68)*60)),0.5),"")</f>
        <v>8</v>
      </c>
      <c r="G19" s="217"/>
      <c r="H19" s="175">
        <f>LEN(J19)-LEN(SUBSTITUTE(J19,",",""))</f>
        <v>0</v>
      </c>
      <c r="I19" s="175">
        <f>'[1]Work sheet'!K19</f>
        <v>2017645</v>
      </c>
      <c r="J19" s="174" t="str">
        <f>VLOOKUP(I19,'[1]Work sheet'!$K$2:L641,2,0)</f>
        <v>MA/B/6-156.10 P1K 2.5UN CTN 2 BAG</v>
      </c>
      <c r="K19" s="173">
        <f>VLOOKUP(I19,'[1]Work sheet'!$K$2:O758,3,0)</f>
        <v>270</v>
      </c>
      <c r="L19" s="173">
        <f>VLOOKUP(I19,'[1]Work sheet'!$K$2:O1153,4,0)</f>
        <v>540</v>
      </c>
      <c r="M19" s="171" t="str">
        <f>VLOOKUP(I19,'[1]Work sheet'!$K$2:T1462,10,0)</f>
        <v>CIT/ASC/TSO</v>
      </c>
      <c r="N19" s="172" t="str">
        <f>IFERROR(VLOOKUP(I19,'[1]PO Numbers'!$R$2:S218,2,0),"TBC")</f>
        <v>106991006</v>
      </c>
      <c r="O19" s="171" t="str">
        <f>IFERROR(VLOOKUP(VALUE(N19),'[1]PO Numbers'!$F$1:$J$400,5,0),"xxx")</f>
        <v>PI01</v>
      </c>
      <c r="P19" s="83" t="str">
        <f>VLOOKUP(I19,'[1]Work sheet'!$K$2:AA1078,13,0)</f>
        <v/>
      </c>
      <c r="Q19" s="170">
        <f>VLOOKUP(I19,'[1]Work sheet'!$K$2:AI758,16,0)</f>
        <v>8.7089999999999996</v>
      </c>
      <c r="R19" s="168" t="str">
        <f>VLOOKUP(I19,'[1]Work sheet'!$K$2:AA438,17,0)</f>
        <v>7-8Kgs CIT, 0-1Kgs ASC, 0-1Kgs TSO</v>
      </c>
      <c r="S19" s="169" t="str">
        <f>VLOOKUP(I19,'[1]Work sheet'!$K$2:AL321,28,0)</f>
        <v/>
      </c>
      <c r="T19" s="168" t="str">
        <f>IFERROR(VLOOKUP(I19,[1]Label!$A$1:C991,3,0),"")</f>
        <v/>
      </c>
      <c r="U19" s="165" t="str">
        <f>IFERROR(IF(OR(VLOOKUP(I19,'[1]Work sheet'!$K$2:U643,11,0)="530",VLOOKUP(I19,'[1]Work sheet'!$K$2:U643,11,0)="526"),"BTO",""),"")</f>
        <v/>
      </c>
      <c r="V19" s="165"/>
      <c r="W19" s="167" t="str">
        <f>IF(COUNTIF('[1]OB Connect'!$F$13:$F$364,N19),"On Openbatch", "No")</f>
        <v>No</v>
      </c>
      <c r="X19" s="166" t="e">
        <f>X18</f>
        <v>#REF!</v>
      </c>
      <c r="Y19" s="274" t="e">
        <f>E19+G19+Y18</f>
        <v>#REF!</v>
      </c>
      <c r="Z19" s="165" t="e">
        <f>IF(Y19&lt;=12,"Shift 1",IF(AND(Y19&gt;12,Y19&lt;=24),"Shift 2",IF(AND(Y19&gt;24,Y19&lt;=36),"Shift 3",IF(AND(Y19&gt;36,Y19&lt;=48),"Shift 4",IF(AND(Y19&gt;48,Y19&lt;=60),"Shift 5",IF(AND(Y19&gt;60,Y19&lt;=72),"Shift 6",IF(AND(Y19&gt;72,Y19&lt;=84),"Shift 7",IF(AND(Y19&gt;84,Y19&lt;=96),IF(AND(Y19&gt;84,Y19&lt;=96),"Shift 8",),"Shift 9"))))))))</f>
        <v>#REF!</v>
      </c>
    </row>
    <row r="20" spans="1:147" ht="25" x14ac:dyDescent="0.25">
      <c r="B20" s="116">
        <f>D19</f>
        <v>44143.674105769234</v>
      </c>
      <c r="C20" s="220">
        <f>D19</f>
        <v>44143.674105769234</v>
      </c>
      <c r="D20" s="220">
        <f>(E20/24)+C20+(G20/24)</f>
        <v>44143.743105769237</v>
      </c>
      <c r="E20" s="219">
        <f>INDEX('[1]Work sheet'!$G$2:$G$240,MATCH(I20,'[1]Work sheet'!$K$2:$K$240,0))+IFERROR(IF(FIND("WASH",J19,1)&gt;0,0,0.267),0.167)</f>
        <v>1.6560000000000001</v>
      </c>
      <c r="F20" s="218">
        <f>IFERROR(MROUND((L20/((INDEX('[1]Work sheet'!$G$2:$G$239,MATCH(I20,'[1]Work sheet'!$K$2:$K$239,0))*0.68)*60)),0.5),"")</f>
        <v>8</v>
      </c>
      <c r="G20" s="217"/>
      <c r="H20" s="175">
        <f>LEN(J20)-LEN(SUBSTITUTE(J20,",",""))</f>
        <v>0</v>
      </c>
      <c r="I20" s="175">
        <f>'[1]Work sheet'!K20</f>
        <v>1674334</v>
      </c>
      <c r="J20" s="174" t="str">
        <f>VLOOKUP(I20,'[1]Work sheet'!$K$2:L642,2,0)</f>
        <v>OR-1413.10 P1K 4UN CTN 2 BAG</v>
      </c>
      <c r="K20" s="173">
        <f>VLOOKUP(I20,'[1]Work sheet'!$K$2:O759,3,0)</f>
        <v>243</v>
      </c>
      <c r="L20" s="173">
        <f>VLOOKUP(I20,'[1]Work sheet'!$K$2:O1154,4,0)</f>
        <v>486</v>
      </c>
      <c r="M20" s="171" t="str">
        <f>VLOOKUP(I20,'[1]Work sheet'!$K$2:T1463,10,0)</f>
        <v>CIT/ASC/TSO</v>
      </c>
      <c r="N20" s="172" t="str">
        <f>IFERROR(VLOOKUP(I20,'[1]PO Numbers'!$R$2:S219,2,0),"TBC")</f>
        <v>106990977</v>
      </c>
      <c r="O20" s="171" t="str">
        <f>IFERROR(VLOOKUP(VALUE(N20),'[1]PO Numbers'!$F$1:$J$400,5,0),"xxx")</f>
        <v>PI01</v>
      </c>
      <c r="P20" s="83" t="str">
        <f>VLOOKUP(I20,'[1]Work sheet'!$K$2:AA1079,13,0)</f>
        <v/>
      </c>
      <c r="Q20" s="170">
        <f>VLOOKUP(I20,'[1]Work sheet'!$K$2:AI759,16,0)</f>
        <v>8.7210000000000001</v>
      </c>
      <c r="R20" s="168" t="str">
        <f>VLOOKUP(I20,'[1]Work sheet'!$K$2:AA439,17,0)</f>
        <v>6-7Kgs CIT, 1-2Kgs TSO, 0-1Kgs ASC</v>
      </c>
      <c r="S20" s="169"/>
      <c r="T20" s="168" t="str">
        <f>IFERROR(VLOOKUP(I20,[1]Label!$A$1:C992,3,0),"")</f>
        <v/>
      </c>
      <c r="U20" s="165" t="str">
        <f>IFERROR(IF(OR(VLOOKUP(I20,'[1]Work sheet'!$K$2:U644,11,0)="530",VLOOKUP(I20,'[1]Work sheet'!$K$2:U644,11,0)="526"),"BTO",""),"")</f>
        <v/>
      </c>
      <c r="V20" s="165"/>
      <c r="W20" s="167" t="str">
        <f>IF(COUNTIF('[1]OB Connect'!$F$13:$F$364,N20),"On Openbatch", "No")</f>
        <v>No</v>
      </c>
      <c r="X20" s="166" t="e">
        <f>X19</f>
        <v>#REF!</v>
      </c>
      <c r="Y20" s="274" t="e">
        <f>E20+G20+Y19</f>
        <v>#REF!</v>
      </c>
      <c r="Z20" s="165" t="e">
        <f>IF(Y20&lt;=12,"Shift 1",IF(AND(Y20&gt;12,Y20&lt;=24),"Shift 2",IF(AND(Y20&gt;24,Y20&lt;=36),"Shift 3",IF(AND(Y20&gt;36,Y20&lt;=48),"Shift 4",IF(AND(Y20&gt;48,Y20&lt;=60),"Shift 5",IF(AND(Y20&gt;60,Y20&lt;=72),"Shift 6",IF(AND(Y20&gt;72,Y20&lt;=84),"Shift 7",IF(AND(Y20&gt;84,Y20&lt;=96),IF(AND(Y20&gt;84,Y20&lt;=96),"Shift 8",),"Shift 9"))))))))</f>
        <v>#REF!</v>
      </c>
    </row>
    <row r="21" spans="1:147" ht="25" x14ac:dyDescent="0.25">
      <c r="B21" s="116">
        <f>D20</f>
        <v>44143.743105769237</v>
      </c>
      <c r="C21" s="220">
        <f>D20</f>
        <v>44143.743105769237</v>
      </c>
      <c r="D21" s="220">
        <f>(E21/24)+C21+(G21/24)</f>
        <v>44143.768439102569</v>
      </c>
      <c r="E21" s="219">
        <f>INDEX('[1]Work sheet'!$G$2:$G$240,MATCH(I21,'[1]Work sheet'!$K$2:$K$240,0))+IFERROR(IF(FIND("WASH",J20,1)&gt;0,0,0.267),0.167)</f>
        <v>0.60799999999999998</v>
      </c>
      <c r="F21" s="218">
        <f>IFERROR(MROUND((L21/((INDEX('[1]Work sheet'!$G$2:$G$239,MATCH(I21,'[1]Work sheet'!$K$2:$K$239,0))*0.68)*60)),0.5),"")</f>
        <v>8</v>
      </c>
      <c r="G21" s="217"/>
      <c r="H21" s="175">
        <f>LEN(J21)-LEN(SUBSTITUTE(J21,",",""))</f>
        <v>0</v>
      </c>
      <c r="I21" s="175">
        <f>'[1]Work sheet'!K21</f>
        <v>1867627</v>
      </c>
      <c r="J21" s="174" t="str">
        <f>VLOOKUP(I21,'[1]Work sheet'!$K$2:L643,2,0)</f>
        <v>TE/LE/A-180.00 P1A 3UN CTN 2BAGS CQ</v>
      </c>
      <c r="K21" s="173">
        <f>VLOOKUP(I21,'[1]Work sheet'!$K$2:O760,3,0)</f>
        <v>72</v>
      </c>
      <c r="L21" s="173">
        <f>VLOOKUP(I21,'[1]Work sheet'!$K$2:O1155,4,0)</f>
        <v>144</v>
      </c>
      <c r="M21" s="171" t="str">
        <f>VLOOKUP(I21,'[1]Work sheet'!$K$2:T1464,10,0)</f>
        <v>CIT/ASC/TSO</v>
      </c>
      <c r="N21" s="172" t="str">
        <f>IFERROR(VLOOKUP(I21,'[1]PO Numbers'!$R$2:S220,2,0),"TBC")</f>
        <v>106990992</v>
      </c>
      <c r="O21" s="171" t="str">
        <f>IFERROR(VLOOKUP(VALUE(N21),'[1]PO Numbers'!$F$1:$J$400,5,0),"xxx")</f>
        <v>PI01</v>
      </c>
      <c r="P21" s="83" t="str">
        <f>VLOOKUP(I21,'[1]Work sheet'!$K$2:AA1080,13,0)</f>
        <v/>
      </c>
      <c r="Q21" s="170">
        <f>VLOOKUP(I21,'[1]Work sheet'!$K$2:AI760,16,0)</f>
        <v>10.484999999999999</v>
      </c>
      <c r="R21" s="168" t="str">
        <f>VLOOKUP(I21,'[1]Work sheet'!$K$2:AA440,17,0)</f>
        <v>6-7Kgs CIT, 1-2Kgs TSO, 1-2Kgs ASC</v>
      </c>
      <c r="S21" s="169" t="str">
        <f>VLOOKUP(I21,'[1]Work sheet'!$K$2:AL323,28,0)</f>
        <v/>
      </c>
      <c r="T21" s="168" t="str">
        <f>IFERROR(VLOOKUP(I21,[1]Label!$A$1:C1000,3,0),"")</f>
        <v/>
      </c>
      <c r="U21" s="165" t="str">
        <f>IFERROR(IF(OR(VLOOKUP(I21,'[1]Work sheet'!$K$2:U645,11,0)="530",VLOOKUP(I21,'[1]Work sheet'!$K$2:U645,11,0)="526"),"BTO",""),"")</f>
        <v/>
      </c>
      <c r="V21" s="165"/>
      <c r="W21" s="167" t="str">
        <f>IF(COUNTIF('[1]OB Connect'!$F$13:$F$364,N21),"On Openbatch", "No")</f>
        <v>No</v>
      </c>
      <c r="X21" s="166" t="e">
        <f>X20</f>
        <v>#REF!</v>
      </c>
      <c r="Y21" s="274" t="e">
        <f>E21+G21+Y20</f>
        <v>#REF!</v>
      </c>
      <c r="Z21" s="165" t="e">
        <f>IF(Y21&lt;=12,"Shift 1",IF(AND(Y21&gt;12,Y21&lt;=24),"Shift 2",IF(AND(Y21&gt;24,Y21&lt;=36),"Shift 3",IF(AND(Y21&gt;36,Y21&lt;=48),"Shift 4",IF(AND(Y21&gt;48,Y21&lt;=60),"Shift 5",IF(AND(Y21&gt;60,Y21&lt;=72),"Shift 6",IF(AND(Y21&gt;72,Y21&lt;=84),"Shift 7",IF(AND(Y21&gt;84,Y21&lt;=96),IF(AND(Y21&gt;84,Y21&lt;=96),"Shift 8",),"Shift 9"))))))))</f>
        <v>#REF!</v>
      </c>
    </row>
    <row r="22" spans="1:147" ht="25" x14ac:dyDescent="0.25">
      <c r="B22" s="116">
        <f>D21</f>
        <v>44143.768439102569</v>
      </c>
      <c r="C22" s="220">
        <f>D21</f>
        <v>44143.768439102569</v>
      </c>
      <c r="D22" s="220">
        <f>(E22/24)+C22+(G22/24)</f>
        <v>44143.820189102567</v>
      </c>
      <c r="E22" s="219">
        <f>INDEX('[1]Work sheet'!$G$2:$G$240,MATCH(I22,'[1]Work sheet'!$K$2:$K$240,0))+IFERROR(IF(FIND("WASH",J21,1)&gt;0,0,0.267),0.167)</f>
        <v>1.242</v>
      </c>
      <c r="F22" s="218">
        <f>IFERROR(MROUND((L22/((INDEX('[1]Work sheet'!$G$2:$G$239,MATCH(I22,'[1]Work sheet'!$K$2:$K$239,0))*0.68)*60)),0.5),"")</f>
        <v>8</v>
      </c>
      <c r="G22" s="217"/>
      <c r="H22" s="175">
        <f>LEN(J22)-LEN(SUBSTITUTE(J22,",",""))</f>
        <v>0</v>
      </c>
      <c r="I22" s="175">
        <f>'[1]Work sheet'!K22</f>
        <v>1924300</v>
      </c>
      <c r="J22" s="174" t="str">
        <f>VLOOKUP(I22,'[1]Work sheet'!$K$2:L644,2,0)</f>
        <v>BT/LE/4-82.90 P1 1UN CTN 1 BAG CQ</v>
      </c>
      <c r="K22" s="173">
        <f>VLOOKUP(I22,'[1]Work sheet'!$K$2:O761,3,0)</f>
        <v>351</v>
      </c>
      <c r="L22" s="173">
        <f>VLOOKUP(I22,'[1]Work sheet'!$K$2:O1156,4,0)</f>
        <v>351</v>
      </c>
      <c r="M22" s="171" t="str">
        <f>VLOOKUP(I22,'[1]Work sheet'!$K$2:T1465,10,0)</f>
        <v>CIT/ASC/TSO</v>
      </c>
      <c r="N22" s="172" t="str">
        <f>IFERROR(VLOOKUP(I22,'[1]PO Numbers'!$R$2:S221,2,0),"TBC")</f>
        <v>106990995</v>
      </c>
      <c r="O22" s="171" t="str">
        <f>IFERROR(VLOOKUP(VALUE(N22),'[1]PO Numbers'!$F$1:$J$400,5,0),"xxx")</f>
        <v>PI01</v>
      </c>
      <c r="P22" s="83" t="str">
        <f>VLOOKUP(I22,'[1]Work sheet'!$K$2:AA1081,13,0)</f>
        <v/>
      </c>
      <c r="Q22" s="170">
        <f>VLOOKUP(I22,'[1]Work sheet'!$K$2:AI761,16,0)</f>
        <v>11.228</v>
      </c>
      <c r="R22" s="168" t="str">
        <f>VLOOKUP(I22,'[1]Work sheet'!$K$2:AA441,17,0)</f>
        <v>9-10Kgs CIT, 0-1Kgs TSO, 0-1Kgs ASC</v>
      </c>
      <c r="S22" s="169" t="str">
        <f>VLOOKUP(I22,'[1]Work sheet'!$K$2:AL324,28,0)</f>
        <v/>
      </c>
      <c r="T22" s="168" t="str">
        <f>IFERROR(VLOOKUP(I22,[1]Label!$A$1:C1001,3,0),"")</f>
        <v/>
      </c>
      <c r="U22" s="165" t="str">
        <f>IFERROR(IF(OR(VLOOKUP(I22,'[1]Work sheet'!$K$2:U646,11,0)="530",VLOOKUP(I22,'[1]Work sheet'!$K$2:U646,11,0)="526"),"BTO",""),"")</f>
        <v/>
      </c>
      <c r="V22" s="165"/>
      <c r="W22" s="167" t="str">
        <f>IF(COUNTIF('[1]OB Connect'!$F$13:$F$364,N22),"On Openbatch", "No")</f>
        <v>No</v>
      </c>
      <c r="X22" s="166" t="e">
        <f>X21</f>
        <v>#REF!</v>
      </c>
      <c r="Y22" s="274" t="e">
        <f>E22+G22+Y21</f>
        <v>#REF!</v>
      </c>
      <c r="Z22" s="165" t="e">
        <f>IF(Y22&lt;=12,"Shift 1",IF(AND(Y22&gt;12,Y22&lt;=24),"Shift 2",IF(AND(Y22&gt;24,Y22&lt;=36),"Shift 3",IF(AND(Y22&gt;36,Y22&lt;=48),"Shift 4",IF(AND(Y22&gt;48,Y22&lt;=60),"Shift 5",IF(AND(Y22&gt;60,Y22&lt;=72),"Shift 6",IF(AND(Y22&gt;72,Y22&lt;=84),"Shift 7",IF(AND(Y22&gt;84,Y22&lt;=96),IF(AND(Y22&gt;84,Y22&lt;=96),"Shift 8",),"Shift 9"))))))))</f>
        <v>#REF!</v>
      </c>
    </row>
    <row r="23" spans="1:147" ht="25" x14ac:dyDescent="0.25">
      <c r="B23" s="116">
        <f>D22</f>
        <v>44143.820189102567</v>
      </c>
      <c r="C23" s="220">
        <f>D22</f>
        <v>44143.820189102567</v>
      </c>
      <c r="D23" s="220">
        <f>(E23/24)+C23+(G23/24)</f>
        <v>44143.834022435898</v>
      </c>
      <c r="E23" s="219">
        <f>INDEX('[1]Work sheet'!$G$2:$G$240,MATCH(I23,'[1]Work sheet'!$K$2:$K$240,0))+IFERROR(IF(FIND("WASH",J22,1)&gt;0,0,0.267),0.167)</f>
        <v>0.33200000000000002</v>
      </c>
      <c r="F23" s="218">
        <f>IFERROR(MROUND((L23/((INDEX('[1]Work sheet'!$G$2:$G$239,MATCH(I23,'[1]Work sheet'!$K$2:$K$239,0))*0.68)*60)),0.5),"")</f>
        <v>8</v>
      </c>
      <c r="G23" s="217"/>
      <c r="H23" s="175">
        <f>LEN(J23)-LEN(SUBSTITUTE(J23,",",""))</f>
        <v>0</v>
      </c>
      <c r="I23" s="175">
        <f>'[1]Work sheet'!K23</f>
        <v>1745828</v>
      </c>
      <c r="J23" s="174" t="str">
        <f>VLOOKUP(I23,'[1]Work sheet'!$K$2:L645,2,0)</f>
        <v>TE/LE-166.10 P1K 1.5UN CTN 1 BAG CQ</v>
      </c>
      <c r="K23" s="173">
        <f>VLOOKUP(I23,'[1]Work sheet'!$K$2:O762,3,0)</f>
        <v>54</v>
      </c>
      <c r="L23" s="173">
        <f>VLOOKUP(I23,'[1]Work sheet'!$K$2:O1157,4,0)</f>
        <v>54</v>
      </c>
      <c r="M23" s="171" t="str">
        <f>VLOOKUP(I23,'[1]Work sheet'!$K$2:T1466,10,0)</f>
        <v>CIT/ASC/TSO</v>
      </c>
      <c r="N23" s="172" t="str">
        <f>IFERROR(VLOOKUP(I23,'[1]PO Numbers'!$R$2:S222,2,0),"TBC")</f>
        <v>106990989</v>
      </c>
      <c r="O23" s="171" t="str">
        <f>IFERROR(VLOOKUP(VALUE(N23),'[1]PO Numbers'!$F$1:$J$400,5,0),"xxx")</f>
        <v>PI01</v>
      </c>
      <c r="P23" s="83" t="str">
        <f>VLOOKUP(I23,'[1]Work sheet'!$K$2:AA1082,13,0)</f>
        <v/>
      </c>
      <c r="Q23" s="170">
        <f>VLOOKUP(I23,'[1]Work sheet'!$K$2:AI762,16,0)</f>
        <v>12.885</v>
      </c>
      <c r="R23" s="168" t="str">
        <f>VLOOKUP(I23,'[1]Work sheet'!$K$2:AA442,17,0)</f>
        <v>9-10Kgs CIT, 2-3Kgs TSO, 1-2Kgs ASC</v>
      </c>
      <c r="S23" s="169" t="str">
        <f>VLOOKUP(I23,'[1]Work sheet'!$K$2:AL325,28,0)</f>
        <v/>
      </c>
      <c r="T23" s="168" t="str">
        <f>IFERROR(VLOOKUP(I23,[1]Label!$A$1:C1002,3,0),"")</f>
        <v/>
      </c>
      <c r="U23" s="165" t="str">
        <f>IFERROR(IF(OR(VLOOKUP(I23,'[1]Work sheet'!$K$2:U647,11,0)="530",VLOOKUP(I23,'[1]Work sheet'!$K$2:U647,11,0)="526"),"BTO",""),"")</f>
        <v/>
      </c>
      <c r="V23" s="165"/>
      <c r="W23" s="167" t="str">
        <f>IF(COUNTIF('[1]OB Connect'!$F$13:$F$364,N23),"On Openbatch", "No")</f>
        <v>No</v>
      </c>
      <c r="X23" s="166" t="e">
        <f>X22</f>
        <v>#REF!</v>
      </c>
      <c r="Y23" s="274" t="e">
        <f>E23+G23+Y22</f>
        <v>#REF!</v>
      </c>
      <c r="Z23" s="165" t="e">
        <f>IF(Y23&lt;=12,"Shift 1",IF(AND(Y23&gt;12,Y23&lt;=24),"Shift 2",IF(AND(Y23&gt;24,Y23&lt;=36),"Shift 3",IF(AND(Y23&gt;36,Y23&lt;=48),"Shift 4",IF(AND(Y23&gt;48,Y23&lt;=60),"Shift 5",IF(AND(Y23&gt;60,Y23&lt;=72),"Shift 6",IF(AND(Y23&gt;72,Y23&lt;=84),"Shift 7",IF(AND(Y23&gt;84,Y23&lt;=96),IF(AND(Y23&gt;84,Y23&lt;=96),"Shift 8",),"Shift 9"))))))))</f>
        <v>#REF!</v>
      </c>
    </row>
    <row r="24" spans="1:147" ht="25" x14ac:dyDescent="0.25">
      <c r="B24" s="116">
        <f>D23</f>
        <v>44143.834022435898</v>
      </c>
      <c r="C24" s="220">
        <f>D23</f>
        <v>44143.834022435898</v>
      </c>
      <c r="D24" s="220">
        <f>(E24/24)+C24+(G24/24)</f>
        <v>44143.84710576923</v>
      </c>
      <c r="E24" s="219">
        <f>INDEX('[1]Work sheet'!$G$2:$G$240,MATCH(I24,'[1]Work sheet'!$K$2:$K$240,0))+IFERROR(IF(FIND("WASH",J23,1)&gt;0,0,0.267),0.167)</f>
        <v>0.314</v>
      </c>
      <c r="F24" s="218">
        <f>IFERROR(MROUND((L24/((INDEX('[1]Work sheet'!$G$2:$G$239,MATCH(I24,'[1]Work sheet'!$K$2:$K$239,0))*0.68)*60)),0.5),"")</f>
        <v>8</v>
      </c>
      <c r="G24" s="217"/>
      <c r="H24" s="175">
        <f>LEN(J24)-LEN(SUBSTITUTE(J24,",",""))</f>
        <v>0</v>
      </c>
      <c r="I24" s="175">
        <f>'[1]Work sheet'!K24</f>
        <v>1962929</v>
      </c>
      <c r="J24" s="174" t="str">
        <f>VLOOKUP(I24,'[1]Work sheet'!$K$2:L646,2,0)</f>
        <v>TE/PE-107.00 P1 3UN CTN 1 BAG</v>
      </c>
      <c r="K24" s="173">
        <f>VLOOKUP(I24,'[1]Work sheet'!$K$2:O763,3,0)</f>
        <v>48</v>
      </c>
      <c r="L24" s="173">
        <f>VLOOKUP(I24,'[1]Work sheet'!$K$2:O1158,4,0)</f>
        <v>48</v>
      </c>
      <c r="M24" s="171" t="str">
        <f>VLOOKUP(I24,'[1]Work sheet'!$K$2:T1467,10,0)</f>
        <v>CIT/ASC/TSO</v>
      </c>
      <c r="N24" s="172" t="str">
        <f>IFERROR(VLOOKUP(I24,'[1]PO Numbers'!$R$2:S223,2,0),"TBC")</f>
        <v>106990994</v>
      </c>
      <c r="O24" s="171" t="str">
        <f>IFERROR(VLOOKUP(VALUE(N24),'[1]PO Numbers'!$F$1:$J$400,5,0),"xxx")</f>
        <v>PI01</v>
      </c>
      <c r="P24" s="83" t="str">
        <f>VLOOKUP(I24,'[1]Work sheet'!$K$2:AA1083,13,0)</f>
        <v/>
      </c>
      <c r="Q24" s="170">
        <f>VLOOKUP(I24,'[1]Work sheet'!$K$2:AI763,16,0)</f>
        <v>13.8</v>
      </c>
      <c r="R24" s="168" t="str">
        <f>VLOOKUP(I24,'[1]Work sheet'!$K$2:AA443,17,0)</f>
        <v>7-8Kgs CIT, 4-5Kgs TSO, 1-2Kgs ASC</v>
      </c>
      <c r="S24" s="169" t="str">
        <f>VLOOKUP(I24,'[1]Work sheet'!$K$2:AL326,28,0)</f>
        <v/>
      </c>
      <c r="T24" s="168" t="str">
        <f>IFERROR(VLOOKUP(I24,[1]Label!$A$1:C1003,3,0),"")</f>
        <v/>
      </c>
      <c r="U24" s="165" t="str">
        <f>IFERROR(IF(OR(VLOOKUP(I24,'[1]Work sheet'!$K$2:U648,11,0)="530",VLOOKUP(I24,'[1]Work sheet'!$K$2:U648,11,0)="526"),"BTO",""),"")</f>
        <v/>
      </c>
      <c r="V24" s="165"/>
      <c r="W24" s="167" t="str">
        <f>IF(COUNTIF('[1]OB Connect'!$F$13:$F$364,N24),"On Openbatch", "No")</f>
        <v>No</v>
      </c>
      <c r="X24" s="166" t="e">
        <f>X23</f>
        <v>#REF!</v>
      </c>
      <c r="Y24" s="274" t="e">
        <f>E24+G24+Y23</f>
        <v>#REF!</v>
      </c>
      <c r="Z24" s="165" t="e">
        <f>IF(Y24&lt;=12,"Shift 1",IF(AND(Y24&gt;12,Y24&lt;=24),"Shift 2",IF(AND(Y24&gt;24,Y24&lt;=36),"Shift 3",IF(AND(Y24&gt;36,Y24&lt;=48),"Shift 4",IF(AND(Y24&gt;48,Y24&lt;=60),"Shift 5",IF(AND(Y24&gt;60,Y24&lt;=72),"Shift 6",IF(AND(Y24&gt;72,Y24&lt;=84),"Shift 7",IF(AND(Y24&gt;84,Y24&lt;=96),IF(AND(Y24&gt;84,Y24&lt;=96),"Shift 8",),"Shift 9"))))))))</f>
        <v>#REF!</v>
      </c>
    </row>
    <row r="25" spans="1:147" ht="25" x14ac:dyDescent="0.25">
      <c r="B25" s="116">
        <f>D24</f>
        <v>44143.84710576923</v>
      </c>
      <c r="C25" s="220">
        <f>D24</f>
        <v>44143.84710576923</v>
      </c>
      <c r="D25" s="220">
        <f>(E25/24)+C25+(G25/24)</f>
        <v>44143.871314102566</v>
      </c>
      <c r="E25" s="219">
        <f>INDEX('[1]Work sheet'!$G$2:$G$240,MATCH(I25,'[1]Work sheet'!$K$2:$K$240,0))+IFERROR(IF(FIND("WASH",J24,1)&gt;0,0,0.267),0.167)</f>
        <v>0.58099999999999996</v>
      </c>
      <c r="F25" s="218">
        <f>IFERROR(MROUND((L25/((INDEX('[1]Work sheet'!$G$2:$G$239,MATCH(I25,'[1]Work sheet'!$K$2:$K$239,0))*0.68)*60)),0.5),"")</f>
        <v>8</v>
      </c>
      <c r="G25" s="217"/>
      <c r="H25" s="175">
        <f>LEN(J25)-LEN(SUBSTITUTE(J25,",",""))</f>
        <v>1</v>
      </c>
      <c r="I25" s="175">
        <f>'[1]Work sheet'!K25</f>
        <v>1554927</v>
      </c>
      <c r="J25" s="174" t="str">
        <f>VLOOKUP(I25,'[1]Work sheet'!$K$2:L647,2,0)</f>
        <v>OR-1317.002 P1K,1B 3UN CTN 1 BAG</v>
      </c>
      <c r="K25" s="173">
        <f>VLOOKUP(I25,'[1]Work sheet'!$K$2:O764,3,0)</f>
        <v>135</v>
      </c>
      <c r="L25" s="173">
        <f>VLOOKUP(I25,'[1]Work sheet'!$K$2:O1159,4,0)</f>
        <v>135</v>
      </c>
      <c r="M25" s="171" t="str">
        <f>VLOOKUP(I25,'[1]Work sheet'!$K$2:T1468,10,0)</f>
        <v>CIT/ASC/TSO</v>
      </c>
      <c r="N25" s="172" t="str">
        <f>IFERROR(VLOOKUP(I25,'[1]PO Numbers'!$R$2:S224,2,0),"TBC")</f>
        <v>106991016</v>
      </c>
      <c r="O25" s="171" t="str">
        <f>IFERROR(VLOOKUP(VALUE(N25),'[1]PO Numbers'!$F$1:$J$400,5,0),"xxx")</f>
        <v>PI01</v>
      </c>
      <c r="P25" s="83" t="str">
        <f>VLOOKUP(I25,'[1]Work sheet'!$K$2:AA1084,13,0)</f>
        <v>1 of 1554926 (SBZ/811)</v>
      </c>
      <c r="Q25" s="170">
        <f>VLOOKUP(I25,'[1]Work sheet'!$K$2:AI764,16,0)</f>
        <v>13.815</v>
      </c>
      <c r="R25" s="168" t="str">
        <f>VLOOKUP(I25,'[1]Work sheet'!$K$2:AA444,17,0)</f>
        <v>12-13Kgs CIT, 0-1Kgs ASC, 0-1Kgs TSO</v>
      </c>
      <c r="S25" s="169" t="str">
        <f>VLOOKUP(I25,'[1]Work sheet'!$K$2:AL327,28,0)</f>
        <v/>
      </c>
      <c r="T25" s="168" t="str">
        <f>IFERROR(VLOOKUP(I25,[1]Label!$A$1:C1004,3,0),"")</f>
        <v/>
      </c>
      <c r="U25" s="165" t="str">
        <f>IFERROR(IF(OR(VLOOKUP(I25,'[1]Work sheet'!$K$2:U649,11,0)="530",VLOOKUP(I25,'[1]Work sheet'!$K$2:U649,11,0)="526"),"BTO",""),"")</f>
        <v/>
      </c>
      <c r="V25" s="165"/>
      <c r="W25" s="167" t="str">
        <f>IF(COUNTIF('[1]OB Connect'!$F$13:$F$364,N25),"On Openbatch", "No")</f>
        <v>No</v>
      </c>
      <c r="X25" s="166" t="e">
        <f>X24</f>
        <v>#REF!</v>
      </c>
      <c r="Y25" s="274" t="e">
        <f>E25+G25+Y24</f>
        <v>#REF!</v>
      </c>
      <c r="Z25" s="165" t="e">
        <f>IF(Y25&lt;=12,"Shift 1",IF(AND(Y25&gt;12,Y25&lt;=24),"Shift 2",IF(AND(Y25&gt;24,Y25&lt;=36),"Shift 3",IF(AND(Y25&gt;36,Y25&lt;=48),"Shift 4",IF(AND(Y25&gt;48,Y25&lt;=60),"Shift 5",IF(AND(Y25&gt;60,Y25&lt;=72),"Shift 6",IF(AND(Y25&gt;72,Y25&lt;=84),"Shift 7",IF(AND(Y25&gt;84,Y25&lt;=96),IF(AND(Y25&gt;84,Y25&lt;=96),"Shift 8",),"Shift 9"))))))))</f>
        <v>#REF!</v>
      </c>
    </row>
    <row r="26" spans="1:147" ht="25" x14ac:dyDescent="0.25">
      <c r="A26" s="282" t="s">
        <v>80</v>
      </c>
      <c r="B26" s="116">
        <f>D25</f>
        <v>44143.871314102566</v>
      </c>
      <c r="C26" s="220">
        <f>D25</f>
        <v>44143.871314102566</v>
      </c>
      <c r="D26" s="220">
        <f>(E26/24)+C26+(G26/24)</f>
        <v>44143.905964743593</v>
      </c>
      <c r="E26" s="219">
        <f>INDEX('[1]Work sheet'!$G$2:$G$240,MATCH(I26,'[1]Work sheet'!$K$2:$K$240,0))+IFERROR(IF(FIND("WASH",J25,1)&gt;0,0,0.267),0.167)</f>
        <v>0.83161538461538465</v>
      </c>
      <c r="F26" s="218">
        <f>IFERROR(MROUND((L26/((INDEX('[1]Work sheet'!$G$2:$G$239,MATCH(I26,'[1]Work sheet'!$K$2:$K$239,0))*0.68)*60)),0.5),"")</f>
        <v>8</v>
      </c>
      <c r="G26" s="217"/>
      <c r="H26" s="175">
        <f>LEN(J26)-LEN(SUBSTITUTE(J26,",",""))</f>
        <v>0</v>
      </c>
      <c r="I26" s="175">
        <f>'[1]Work sheet'!K26</f>
        <v>3018677</v>
      </c>
      <c r="J26" s="174" t="str">
        <f>VLOOKUP(I26,'[1]Work sheet'!$K$2:L648,2,0)</f>
        <v>TE/LE/A-189.10 P1A 3UN CTN 1 BAG</v>
      </c>
      <c r="K26" s="173">
        <f>VLOOKUP(I26,'[1]Work sheet'!$K$2:O765,3,0)</f>
        <v>216</v>
      </c>
      <c r="L26" s="173">
        <f>VLOOKUP(I26,'[1]Work sheet'!$K$2:O1160,4,0)</f>
        <v>216</v>
      </c>
      <c r="M26" s="171" t="str">
        <f>VLOOKUP(I26,'[1]Work sheet'!$K$2:T1469,10,0)</f>
        <v>CIT/ASC/TSO</v>
      </c>
      <c r="N26" s="172">
        <v>106991011</v>
      </c>
      <c r="O26" s="171" t="str">
        <f>IFERROR(VLOOKUP(VALUE(N26),'[1]PO Numbers'!$F$1:$J$400,5,0),"xxx")</f>
        <v>PI01</v>
      </c>
      <c r="P26" s="83" t="str">
        <f>VLOOKUP(I26,'[1]Work sheet'!$K$2:AA1085,13,0)</f>
        <v/>
      </c>
      <c r="Q26" s="170">
        <f>VLOOKUP(I26,'[1]Work sheet'!$K$2:AI765,16,0)</f>
        <v>16.05</v>
      </c>
      <c r="R26" s="168" t="str">
        <f>VLOOKUP(I26,'[1]Work sheet'!$K$2:AA445,17,0)</f>
        <v>10-11Kgs CIT, 2-3Kgs ASC, 3-4Kgs TSO</v>
      </c>
      <c r="S26" s="169" t="str">
        <f>VLOOKUP(I26,'[1]Work sheet'!$K$2:AL328,28,0)</f>
        <v/>
      </c>
      <c r="T26" s="168" t="str">
        <f>IFERROR(VLOOKUP(I26,[1]Label!$A$1:C1005,3,0),"")</f>
        <v/>
      </c>
      <c r="U26" s="165" t="str">
        <f>IFERROR(IF(OR(VLOOKUP(I26,'[1]Work sheet'!$K$2:U650,11,0)="530",VLOOKUP(I26,'[1]Work sheet'!$K$2:U650,11,0)="526"),"BTO",""),"")</f>
        <v/>
      </c>
      <c r="V26" s="165"/>
      <c r="W26" s="167" t="str">
        <f>IF(COUNTIF('[1]OB Connect'!$F$13:$F$364,N26),"On Openbatch", "No")</f>
        <v>No</v>
      </c>
      <c r="X26" s="166" t="e">
        <f>X25</f>
        <v>#REF!</v>
      </c>
      <c r="Y26" s="274" t="e">
        <f>E26+G26+Y25</f>
        <v>#REF!</v>
      </c>
      <c r="Z26" s="165" t="e">
        <f>IF(Y26&lt;=12,"Shift 1",IF(AND(Y26&gt;12,Y26&lt;=24),"Shift 2",IF(AND(Y26&gt;24,Y26&lt;=36),"Shift 3",IF(AND(Y26&gt;36,Y26&lt;=48),"Shift 4",IF(AND(Y26&gt;48,Y26&lt;=60),"Shift 5",IF(AND(Y26&gt;60,Y26&lt;=72),"Shift 6",IF(AND(Y26&gt;72,Y26&lt;=84),"Shift 7",IF(AND(Y26&gt;84,Y26&lt;=96),IF(AND(Y26&gt;84,Y26&lt;=96),"Shift 8",),"Shift 9"))))))))</f>
        <v>#REF!</v>
      </c>
    </row>
    <row r="27" spans="1:147" ht="25" x14ac:dyDescent="0.25">
      <c r="B27" s="116">
        <f>D26</f>
        <v>44143.905964743593</v>
      </c>
      <c r="C27" s="220">
        <f>D26</f>
        <v>44143.905964743593</v>
      </c>
      <c r="D27" s="220">
        <f>(E27/24)+C27+(G27/24)</f>
        <v>44143.933589743596</v>
      </c>
      <c r="E27" s="219">
        <f>INDEX('[1]Work sheet'!$G$2:$G$240,MATCH(I27,'[1]Work sheet'!$K$2:$K$240,0))+IFERROR(IF(FIND("WASH",J26,1)&gt;0,0,0.267),0.167)</f>
        <v>0.66300000000000003</v>
      </c>
      <c r="F27" s="218">
        <f>IFERROR(MROUND((L27/((INDEX('[1]Work sheet'!$G$2:$G$239,MATCH(I27,'[1]Work sheet'!$K$2:$K$239,0))*0.68)*60)),0.5),"")</f>
        <v>8</v>
      </c>
      <c r="G27" s="217"/>
      <c r="H27" s="175">
        <f>LEN(J27)-LEN(SUBSTITUTE(J27,",",""))</f>
        <v>0</v>
      </c>
      <c r="I27" s="175">
        <f>'[1]Work sheet'!K27</f>
        <v>1288134</v>
      </c>
      <c r="J27" s="174" t="str">
        <f>VLOOKUP(I27,'[1]Work sheet'!$K$2:L649,2,0)</f>
        <v>TE/LE-100.00/D-100.50 P1K 3UN CTN 1 BAG</v>
      </c>
      <c r="K27" s="173">
        <f>VLOOKUP(I27,'[1]Work sheet'!$K$2:O766,3,0)</f>
        <v>162</v>
      </c>
      <c r="L27" s="173">
        <f>VLOOKUP(I27,'[1]Work sheet'!$K$2:O1161,4,0)</f>
        <v>162</v>
      </c>
      <c r="M27" s="171" t="str">
        <f>VLOOKUP(I27,'[1]Work sheet'!$K$2:T1470,10,0)</f>
        <v>CIT/ASC/TSO</v>
      </c>
      <c r="N27" s="172" t="str">
        <f>IFERROR(VLOOKUP(I27,'[1]PO Numbers'!$R$2:S226,2,0),"TBC")</f>
        <v>106991027</v>
      </c>
      <c r="O27" s="171" t="str">
        <f>IFERROR(VLOOKUP(VALUE(N27),'[1]PO Numbers'!$F$1:$J$400,5,0),"xxx")</f>
        <v>PI01</v>
      </c>
      <c r="P27" s="83" t="str">
        <f>VLOOKUP(I27,'[1]Work sheet'!$K$2:AA1086,13,0)</f>
        <v/>
      </c>
      <c r="Q27" s="170">
        <f>VLOOKUP(I27,'[1]Work sheet'!$K$2:AI766,16,0)</f>
        <v>16.47</v>
      </c>
      <c r="R27" s="168" t="str">
        <f>VLOOKUP(I27,'[1]Work sheet'!$K$2:AA446,17,0)</f>
        <v>11-12Kgs CIT, 3-4Kgs TSO, 1-2Kgs ASC</v>
      </c>
      <c r="S27" s="169" t="str">
        <f>VLOOKUP(I27,'[1]Work sheet'!$K$2:AL329,28,0)</f>
        <v/>
      </c>
      <c r="T27" s="168" t="str">
        <f>IFERROR(VLOOKUP(I27,[1]Label!$A$1:C1006,3,0),"")</f>
        <v/>
      </c>
      <c r="U27" s="165" t="str">
        <f>IFERROR(IF(OR(VLOOKUP(I27,'[1]Work sheet'!$K$2:U651,11,0)="530",VLOOKUP(I27,'[1]Work sheet'!$K$2:U651,11,0)="526"),"BTO",""),"")</f>
        <v/>
      </c>
      <c r="V27" s="165"/>
      <c r="W27" s="167" t="str">
        <f>IF(COUNTIF('[1]OB Connect'!$F$13:$F$364,N27),"On Openbatch", "No")</f>
        <v>No</v>
      </c>
      <c r="X27" s="166" t="e">
        <f>X26</f>
        <v>#REF!</v>
      </c>
      <c r="Y27" s="274" t="e">
        <f>E27+G27+Y26</f>
        <v>#REF!</v>
      </c>
      <c r="Z27" s="165" t="e">
        <f>IF(Y27&lt;=12,"Shift 1",IF(AND(Y27&gt;12,Y27&lt;=24),"Shift 2",IF(AND(Y27&gt;24,Y27&lt;=36),"Shift 3",IF(AND(Y27&gt;36,Y27&lt;=48),"Shift 4",IF(AND(Y27&gt;48,Y27&lt;=60),"Shift 5",IF(AND(Y27&gt;60,Y27&lt;=72),"Shift 6",IF(AND(Y27&gt;72,Y27&lt;=84),"Shift 7",IF(AND(Y27&gt;84,Y27&lt;=96),IF(AND(Y27&gt;84,Y27&lt;=96),"Shift 8",),"Shift 9"))))))))</f>
        <v>#REF!</v>
      </c>
    </row>
    <row r="28" spans="1:147" s="58" customFormat="1" ht="13" x14ac:dyDescent="0.25">
      <c r="A28" s="118"/>
      <c r="B28" s="126">
        <f>D27</f>
        <v>44143.933589743596</v>
      </c>
      <c r="C28" s="125">
        <f>D27</f>
        <v>44143.933589743596</v>
      </c>
      <c r="D28" s="125">
        <f>(E28/24)+C28+(G28/24)</f>
        <v>44143.941923076927</v>
      </c>
      <c r="E28" s="124">
        <v>0.2</v>
      </c>
      <c r="F28" s="124"/>
      <c r="G28" s="123"/>
      <c r="H28" s="119"/>
      <c r="I28" s="122"/>
      <c r="J28" s="118" t="s">
        <v>12</v>
      </c>
      <c r="K28" s="121"/>
      <c r="L28" s="120"/>
      <c r="M28" s="118"/>
      <c r="N28" s="118"/>
      <c r="O28" s="118"/>
      <c r="P28" s="117"/>
      <c r="Q28" s="119"/>
      <c r="R28" s="118"/>
      <c r="S28" s="117"/>
      <c r="T28" s="117"/>
      <c r="U28" s="23"/>
      <c r="V28" s="21"/>
      <c r="W28" s="22"/>
      <c r="X28" s="22"/>
      <c r="Y28" s="21"/>
      <c r="Z28" s="20"/>
      <c r="AA28" s="60"/>
      <c r="AB28" s="60"/>
      <c r="AC28" s="60"/>
      <c r="AD28" s="60"/>
      <c r="AE28" s="60"/>
      <c r="AF28" s="60"/>
      <c r="AG28" s="60"/>
      <c r="AH28" s="60"/>
      <c r="AI28" s="60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59"/>
      <c r="BW28" s="59"/>
      <c r="BX28" s="59"/>
      <c r="BY28" s="59"/>
      <c r="BZ28" s="59"/>
      <c r="CA28" s="59"/>
      <c r="CB28" s="59"/>
      <c r="CC28" s="59"/>
      <c r="CD28" s="59"/>
      <c r="CE28" s="59"/>
      <c r="CF28" s="59"/>
      <c r="CG28" s="59"/>
      <c r="CH28" s="59"/>
      <c r="CI28" s="59"/>
      <c r="CJ28" s="59"/>
      <c r="CK28" s="59"/>
      <c r="CL28" s="59"/>
      <c r="CM28" s="59"/>
      <c r="CN28" s="59"/>
      <c r="CO28" s="59"/>
      <c r="CP28" s="59"/>
      <c r="CQ28" s="59"/>
      <c r="CR28" s="59"/>
      <c r="CS28" s="59"/>
      <c r="CT28" s="59"/>
      <c r="CU28" s="59"/>
      <c r="CV28" s="59"/>
      <c r="CW28" s="59"/>
      <c r="CX28" s="59"/>
      <c r="CY28" s="59"/>
      <c r="CZ28" s="59"/>
      <c r="DA28" s="59"/>
      <c r="DB28" s="59"/>
      <c r="DC28" s="59"/>
      <c r="DD28" s="59"/>
      <c r="DE28" s="59"/>
      <c r="DF28" s="59"/>
      <c r="DG28" s="59"/>
      <c r="DH28" s="59"/>
      <c r="DI28" s="59"/>
      <c r="DJ28" s="59"/>
      <c r="DK28" s="59"/>
      <c r="DL28" s="59"/>
      <c r="DM28" s="59"/>
      <c r="DN28" s="59"/>
      <c r="DO28" s="59"/>
      <c r="DP28" s="59"/>
      <c r="DQ28" s="59"/>
      <c r="DR28" s="59"/>
      <c r="DS28" s="59"/>
      <c r="DT28" s="59"/>
      <c r="DU28" s="59"/>
      <c r="DV28" s="59"/>
      <c r="DW28" s="59"/>
      <c r="DX28" s="59"/>
      <c r="DY28" s="59"/>
      <c r="DZ28" s="59"/>
      <c r="EA28" s="59"/>
      <c r="EB28" s="59"/>
      <c r="EC28" s="59"/>
      <c r="ED28" s="59"/>
      <c r="EE28" s="59"/>
      <c r="EF28" s="59"/>
      <c r="EG28" s="59"/>
      <c r="EH28" s="59"/>
      <c r="EI28" s="59"/>
      <c r="EJ28" s="59"/>
      <c r="EK28" s="59"/>
      <c r="EL28" s="59"/>
      <c r="EM28" s="59"/>
      <c r="EN28" s="59"/>
      <c r="EO28" s="59"/>
      <c r="EP28" s="59"/>
      <c r="EQ28" s="59"/>
    </row>
    <row r="29" spans="1:147" ht="13" x14ac:dyDescent="0.25">
      <c r="B29" s="116">
        <f>D28</f>
        <v>44143.941923076927</v>
      </c>
      <c r="C29" s="220">
        <f>D28</f>
        <v>44143.941923076927</v>
      </c>
      <c r="D29" s="220">
        <f>(E29/24)+C29+(G29/24)</f>
        <v>44144.08292307693</v>
      </c>
      <c r="E29" s="219">
        <f>INDEX('[1]Work sheet'!$G$2:$G$240,MATCH(I29,'[1]Work sheet'!$K$2:$K$240,0))+IFERROR(IF(FIND("WASH",J27,1)&gt;0,0,0.267),0.167)</f>
        <v>0.63400000000000001</v>
      </c>
      <c r="F29" s="218">
        <f>IFERROR(MROUND((L29/((INDEX('[1]Work sheet'!$G$2:$G$239,MATCH(I29,'[1]Work sheet'!$K$2:$K$239,0))*0.68)*60)),0.5),"")</f>
        <v>8.5</v>
      </c>
      <c r="G29" s="217">
        <v>2.75</v>
      </c>
      <c r="H29" s="175">
        <f>LEN(J29)-LEN(SUBSTITUTE(J29,",",""))</f>
        <v>1</v>
      </c>
      <c r="I29" s="175">
        <f>'[1]Work sheet'!K28</f>
        <v>1669077</v>
      </c>
      <c r="J29" s="174" t="str">
        <f>VLOOKUP(I29,'[1]Work sheet'!$K$2:L650,2,0)</f>
        <v>SP/D-74.68 P1K,3 8UN CTN 1 BAG</v>
      </c>
      <c r="K29" s="173">
        <f>VLOOKUP(I29,'[1]Work sheet'!$K$2:O767,3,0)</f>
        <v>162</v>
      </c>
      <c r="L29" s="173">
        <f>VLOOKUP(I29,'[1]Work sheet'!$K$2:O1162,4,0)</f>
        <v>162</v>
      </c>
      <c r="M29" s="171" t="str">
        <f>VLOOKUP(I29,'[1]Work sheet'!$K$2:T1471,10,0)</f>
        <v>CIT/TSO</v>
      </c>
      <c r="N29" s="172" t="str">
        <f>IFERROR(VLOOKUP(I29,'[1]PO Numbers'!$R$2:S227,2,0),"TBC")</f>
        <v>106990973</v>
      </c>
      <c r="O29" s="171" t="str">
        <f>IFERROR(VLOOKUP(VALUE(N29),'[1]PO Numbers'!$F$1:$J$400,5,0),"xxx")</f>
        <v>PI01</v>
      </c>
      <c r="P29" s="83" t="str">
        <f>VLOOKUP(I29,'[1]Work sheet'!$K$2:AA1087,13,0)</f>
        <v>1 of 1242280 (ASP/616)</v>
      </c>
      <c r="Q29" s="170">
        <f>VLOOKUP(I29,'[1]Work sheet'!$K$2:AI767,16,0)</f>
        <v>5.3120000000000003</v>
      </c>
      <c r="R29" s="168" t="str">
        <f>VLOOKUP(I29,'[1]Work sheet'!$K$2:AA447,17,0)</f>
        <v>3-4Kgs CIT, 1-2Kgs TSO</v>
      </c>
      <c r="S29" s="169" t="str">
        <f>VLOOKUP(I29,'[1]Work sheet'!$K$2:AL330,28,0)</f>
        <v/>
      </c>
      <c r="T29" s="168" t="str">
        <f>IFERROR(VLOOKUP(I29,[1]Label!$A$1:C1007,3,0),"")</f>
        <v/>
      </c>
      <c r="U29" s="165" t="str">
        <f>IFERROR(IF(OR(VLOOKUP(I29,'[1]Work sheet'!$K$2:U652,11,0)="530",VLOOKUP(I29,'[1]Work sheet'!$K$2:U652,11,0)="526"),"BTO",""),"")</f>
        <v/>
      </c>
      <c r="V29" s="165"/>
      <c r="W29" s="167" t="str">
        <f>IF(COUNTIF('[1]OB Connect'!$F$13:$F$364,N29),"On Openbatch", "No")</f>
        <v>No</v>
      </c>
      <c r="X29" s="166" t="e">
        <f>X27</f>
        <v>#REF!</v>
      </c>
      <c r="Y29" s="274" t="e">
        <f>E29+G29+Y27</f>
        <v>#REF!</v>
      </c>
      <c r="Z29" s="165" t="e">
        <f>IF(Y29&lt;=12,"Shift 1",IF(AND(Y29&gt;12,Y29&lt;=24),"Shift 2",IF(AND(Y29&gt;24,Y29&lt;=36),"Shift 3",IF(AND(Y29&gt;36,Y29&lt;=48),"Shift 4",IF(AND(Y29&gt;48,Y29&lt;=60),"Shift 5",IF(AND(Y29&gt;60,Y29&lt;=72),"Shift 6",IF(AND(Y29&gt;72,Y29&lt;=84),"Shift 7",IF(AND(Y29&gt;84,Y29&lt;=96),IF(AND(Y29&gt;84,Y29&lt;=96),"Shift 8",),"Shift 9"))))))))</f>
        <v>#REF!</v>
      </c>
    </row>
    <row r="30" spans="1:147" ht="13" x14ac:dyDescent="0.25">
      <c r="B30" s="116">
        <f>D29</f>
        <v>44144.08292307693</v>
      </c>
      <c r="C30" s="220">
        <f>D29</f>
        <v>44144.08292307693</v>
      </c>
      <c r="D30" s="220">
        <f>(E30/24)+C30+(G30/24)</f>
        <v>44144.102839743595</v>
      </c>
      <c r="E30" s="219">
        <f>INDEX('[1]Work sheet'!$G$2:$G$240,MATCH(I30,'[1]Work sheet'!$K$2:$K$240,0))+IFERROR(IF(FIND("WASH",J29,1)&gt;0,0,0.267),0.167)</f>
        <v>0.47799999999999998</v>
      </c>
      <c r="F30" s="218">
        <f>IFERROR(MROUND((L30/((INDEX('[1]Work sheet'!$G$2:$G$239,MATCH(I30,'[1]Work sheet'!$K$2:$K$239,0))*0.68)*60)),0.5),"")</f>
        <v>8.5</v>
      </c>
      <c r="G30" s="217"/>
      <c r="H30" s="175">
        <f>LEN(J30)-LEN(SUBSTITUTE(J30,",",""))</f>
        <v>2</v>
      </c>
      <c r="I30" s="175">
        <f>'[1]Work sheet'!K29</f>
        <v>1242278</v>
      </c>
      <c r="J30" s="174" t="str">
        <f>VLOOKUP(I30,'[1]Work sheet'!$K$2:L651,2,0)</f>
        <v>SP/D-74.681 P1K,1B,3 8UN CTN 1 BAG</v>
      </c>
      <c r="K30" s="173">
        <f>VLOOKUP(I30,'[1]Work sheet'!$K$2:O768,3,0)</f>
        <v>108</v>
      </c>
      <c r="L30" s="173">
        <f>VLOOKUP(I30,'[1]Work sheet'!$K$2:O1163,4,0)</f>
        <v>108</v>
      </c>
      <c r="M30" s="171" t="str">
        <f>VLOOKUP(I30,'[1]Work sheet'!$K$2:T1472,10,0)</f>
        <v>CIT/TSO</v>
      </c>
      <c r="N30" s="172" t="str">
        <f>IFERROR(VLOOKUP(I30,'[1]PO Numbers'!$R$2:S228,2,0),"TBC")</f>
        <v>106991025</v>
      </c>
      <c r="O30" s="171" t="str">
        <f>IFERROR(VLOOKUP(VALUE(N30),'[1]PO Numbers'!$F$1:$J$400,5,0),"xxx")</f>
        <v>PI01</v>
      </c>
      <c r="P30" s="83" t="str">
        <f>VLOOKUP(I30,'[1]Work sheet'!$K$2:AA1088,13,0)</f>
        <v>1 of 1812532 (SBZ), 1 of 1242280 (ASP/616)</v>
      </c>
      <c r="Q30" s="170">
        <f>VLOOKUP(I30,'[1]Work sheet'!$K$2:AI768,16,0)</f>
        <v>5.3120000000000003</v>
      </c>
      <c r="R30" s="168" t="str">
        <f>VLOOKUP(I30,'[1]Work sheet'!$K$2:AA448,17,0)</f>
        <v>3-4Kgs CIT, 1-2Kgs TSO</v>
      </c>
      <c r="S30" s="169" t="str">
        <f>VLOOKUP(I30,'[1]Work sheet'!$K$2:AL331,28,0)</f>
        <v/>
      </c>
      <c r="T30" s="168" t="str">
        <f>IFERROR(VLOOKUP(I30,[1]Label!$A$1:C1008,3,0),"")</f>
        <v/>
      </c>
      <c r="U30" s="165" t="str">
        <f>IFERROR(IF(OR(VLOOKUP(I30,'[1]Work sheet'!$K$2:U653,11,0)="530",VLOOKUP(I30,'[1]Work sheet'!$K$2:U653,11,0)="526"),"BTO",""),"")</f>
        <v/>
      </c>
      <c r="V30" s="165"/>
      <c r="W30" s="167" t="str">
        <f>IF(COUNTIF('[1]OB Connect'!$F$13:$F$364,N30),"On Openbatch", "No")</f>
        <v>No</v>
      </c>
      <c r="X30" s="166" t="e">
        <f>X29</f>
        <v>#REF!</v>
      </c>
      <c r="Y30" s="274" t="e">
        <f>E30+G30+Y29</f>
        <v>#REF!</v>
      </c>
      <c r="Z30" s="165" t="e">
        <f>IF(Y30&lt;=12,"Shift 1",IF(AND(Y30&gt;12,Y30&lt;=24),"Shift 2",IF(AND(Y30&gt;24,Y30&lt;=36),"Shift 3",IF(AND(Y30&gt;36,Y30&lt;=48),"Shift 4",IF(AND(Y30&gt;48,Y30&lt;=60),"Shift 5",IF(AND(Y30&gt;60,Y30&lt;=72),"Shift 6",IF(AND(Y30&gt;72,Y30&lt;=84),"Shift 7",IF(AND(Y30&gt;84,Y30&lt;=96),IF(AND(Y30&gt;84,Y30&lt;=96),"Shift 8",),"Shift 9"))))))))</f>
        <v>#REF!</v>
      </c>
    </row>
    <row r="31" spans="1:147" ht="13" x14ac:dyDescent="0.25">
      <c r="B31" s="116">
        <f>D30</f>
        <v>44144.102839743595</v>
      </c>
      <c r="C31" s="220">
        <f>D30</f>
        <v>44144.102839743595</v>
      </c>
      <c r="D31" s="220">
        <f>(E31/24)+C31+(G31/24)</f>
        <v>44144.129256410262</v>
      </c>
      <c r="E31" s="219">
        <f>INDEX('[1]Work sheet'!$G$2:$G$240,MATCH(I31,'[1]Work sheet'!$K$2:$K$240,0))+IFERROR(IF(FIND("WASH",J30,1)&gt;0,0,0.267),0.167)</f>
        <v>0.63400000000000001</v>
      </c>
      <c r="F31" s="218">
        <f>IFERROR(MROUND((L31/((INDEX('[1]Work sheet'!$G$2:$G$239,MATCH(I31,'[1]Work sheet'!$K$2:$K$239,0))*0.68)*60)),0.5),"")</f>
        <v>8.5</v>
      </c>
      <c r="G31" s="217"/>
      <c r="H31" s="175">
        <f>LEN(J31)-LEN(SUBSTITUTE(J31,",",""))</f>
        <v>0</v>
      </c>
      <c r="I31" s="175">
        <f>'[1]Work sheet'!K30</f>
        <v>1118312</v>
      </c>
      <c r="J31" s="174" t="str">
        <f>VLOOKUP(I31,'[1]Work sheet'!$K$2:L652,2,0)</f>
        <v>TE/PE-23.00/10/26.00/60 P1K 4UN CTN 2 BG</v>
      </c>
      <c r="K31" s="173">
        <f>VLOOKUP(I31,'[1]Work sheet'!$K$2:O769,3,0)</f>
        <v>81</v>
      </c>
      <c r="L31" s="173">
        <f>VLOOKUP(I31,'[1]Work sheet'!$K$2:O1164,4,0)</f>
        <v>162</v>
      </c>
      <c r="M31" s="171" t="str">
        <f>VLOOKUP(I31,'[1]Work sheet'!$K$2:T1473,10,0)</f>
        <v>CIT/TSO</v>
      </c>
      <c r="N31" s="172" t="str">
        <f>IFERROR(VLOOKUP(I31,'[1]PO Numbers'!$R$2:S229,2,0),"TBC")</f>
        <v>106991014</v>
      </c>
      <c r="O31" s="171" t="str">
        <f>IFERROR(VLOOKUP(VALUE(N31),'[1]PO Numbers'!$F$1:$J$400,5,0),"xxx")</f>
        <v>PI01</v>
      </c>
      <c r="P31" s="83" t="str">
        <f>VLOOKUP(I31,'[1]Work sheet'!$K$2:AA1089,13,0)</f>
        <v/>
      </c>
      <c r="Q31" s="170">
        <f>VLOOKUP(I31,'[1]Work sheet'!$K$2:AI769,16,0)</f>
        <v>11.3</v>
      </c>
      <c r="R31" s="168" t="str">
        <f>VLOOKUP(I31,'[1]Work sheet'!$K$2:AA449,17,0)</f>
        <v>8-9Kgs CIT, 2-3Kgs TSO</v>
      </c>
      <c r="S31" s="169" t="str">
        <f>VLOOKUP(I31,'[1]Work sheet'!$K$2:AL332,28,0)</f>
        <v/>
      </c>
      <c r="T31" s="168" t="str">
        <f>IFERROR(VLOOKUP(I31,[1]Label!$A$1:C1009,3,0),"")</f>
        <v/>
      </c>
      <c r="U31" s="165" t="str">
        <f>IFERROR(IF(OR(VLOOKUP(I31,'[1]Work sheet'!$K$2:U654,11,0)="530",VLOOKUP(I31,'[1]Work sheet'!$K$2:U654,11,0)="526"),"BTO",""),"")</f>
        <v/>
      </c>
      <c r="V31" s="165"/>
      <c r="W31" s="167" t="str">
        <f>IF(COUNTIF('[1]OB Connect'!$F$13:$F$364,N31),"On Openbatch", "No")</f>
        <v>No</v>
      </c>
      <c r="X31" s="166" t="e">
        <f>X30</f>
        <v>#REF!</v>
      </c>
      <c r="Y31" s="274" t="e">
        <f>E31+G31+Y30</f>
        <v>#REF!</v>
      </c>
      <c r="Z31" s="165" t="e">
        <f>IF(Y31&lt;=12,"Shift 1",IF(AND(Y31&gt;12,Y31&lt;=24),"Shift 2",IF(AND(Y31&gt;24,Y31&lt;=36),"Shift 3",IF(AND(Y31&gt;36,Y31&lt;=48),"Shift 4",IF(AND(Y31&gt;48,Y31&lt;=60),"Shift 5",IF(AND(Y31&gt;60,Y31&lt;=72),"Shift 6",IF(AND(Y31&gt;72,Y31&lt;=84),"Shift 7",IF(AND(Y31&gt;84,Y31&lt;=96),IF(AND(Y31&gt;84,Y31&lt;=96),"Shift 8",),"Shift 9"))))))))</f>
        <v>#REF!</v>
      </c>
    </row>
    <row r="32" spans="1:147" ht="13" x14ac:dyDescent="0.25">
      <c r="B32" s="116">
        <f>D31</f>
        <v>44144.129256410262</v>
      </c>
      <c r="C32" s="220">
        <f>D31</f>
        <v>44144.129256410262</v>
      </c>
      <c r="D32" s="220">
        <f>(E32/24)+C32+(G32/24)</f>
        <v>44144.149173076927</v>
      </c>
      <c r="E32" s="219">
        <f>INDEX('[1]Work sheet'!$G$2:$G$240,MATCH(I32,'[1]Work sheet'!$K$2:$K$240,0))+IFERROR(IF(FIND("WASH",J31,1)&gt;0,0,0.267),0.167)</f>
        <v>0.47799999999999998</v>
      </c>
      <c r="F32" s="218">
        <f>IFERROR(MROUND((L32/((INDEX('[1]Work sheet'!$G$2:$G$239,MATCH(I32,'[1]Work sheet'!$K$2:$K$239,0))*0.68)*60)),0.5),"")</f>
        <v>8.5</v>
      </c>
      <c r="G32" s="217"/>
      <c r="H32" s="175">
        <f>LEN(J32)-LEN(SUBSTITUTE(J32,",",""))</f>
        <v>0</v>
      </c>
      <c r="I32" s="175">
        <f>'[1]Work sheet'!K31</f>
        <v>1630312</v>
      </c>
      <c r="J32" s="174" t="str">
        <f>VLOOKUP(I32,'[1]Work sheet'!$K$2:L653,2,0)</f>
        <v>DC/LL-5039.69 P1K 5UN CTN 1BAG</v>
      </c>
      <c r="K32" s="173">
        <f>VLOOKUP(I32,'[1]Work sheet'!$K$2:O770,3,0)</f>
        <v>108</v>
      </c>
      <c r="L32" s="173">
        <f>VLOOKUP(I32,'[1]Work sheet'!$K$2:O1165,4,0)</f>
        <v>108</v>
      </c>
      <c r="M32" s="171" t="str">
        <f>VLOOKUP(I32,'[1]Work sheet'!$K$2:T1474,10,0)</f>
        <v>CIT/TSO</v>
      </c>
      <c r="N32" s="172" t="str">
        <f>IFERROR(VLOOKUP(I32,'[1]PO Numbers'!$R$2:S230,2,0),"TBC")</f>
        <v>106991036</v>
      </c>
      <c r="O32" s="171" t="str">
        <f>IFERROR(VLOOKUP(VALUE(N32),'[1]PO Numbers'!$F$1:$J$400,5,0),"xxx")</f>
        <v>PI01</v>
      </c>
      <c r="P32" s="83" t="str">
        <f>VLOOKUP(I32,'[1]Work sheet'!$K$2:AA1090,13,0)</f>
        <v/>
      </c>
      <c r="Q32" s="170">
        <f>VLOOKUP(I32,'[1]Work sheet'!$K$2:AI770,16,0)</f>
        <v>7.29</v>
      </c>
      <c r="R32" s="168" t="str">
        <f>VLOOKUP(I32,'[1]Work sheet'!$K$2:AA450,17,0)</f>
        <v>5-6Kgs CIT, 1-2Kgs TSO</v>
      </c>
      <c r="S32" s="169" t="str">
        <f>VLOOKUP(I32,'[1]Work sheet'!$K$2:AL333,28,0)</f>
        <v/>
      </c>
      <c r="T32" s="168" t="str">
        <f>IFERROR(VLOOKUP(I32,[1]Label!$A$1:C1010,3,0),"")</f>
        <v/>
      </c>
      <c r="U32" s="165" t="str">
        <f>IFERROR(IF(OR(VLOOKUP(I32,'[1]Work sheet'!$K$2:U655,11,0)="530",VLOOKUP(I32,'[1]Work sheet'!$K$2:U655,11,0)="526"),"BTO",""),"")</f>
        <v/>
      </c>
      <c r="V32" s="165"/>
      <c r="W32" s="167" t="str">
        <f>IF(COUNTIF('[1]OB Connect'!$F$13:$F$364,N32),"On Openbatch", "No")</f>
        <v>No</v>
      </c>
      <c r="X32" s="166" t="e">
        <f>X31</f>
        <v>#REF!</v>
      </c>
      <c r="Y32" s="274" t="e">
        <f>E32+G32+Y31</f>
        <v>#REF!</v>
      </c>
      <c r="Z32" s="165" t="e">
        <f>IF(Y32&lt;=12,"Shift 1",IF(AND(Y32&gt;12,Y32&lt;=24),"Shift 2",IF(AND(Y32&gt;24,Y32&lt;=36),"Shift 3",IF(AND(Y32&gt;36,Y32&lt;=48),"Shift 4",IF(AND(Y32&gt;48,Y32&lt;=60),"Shift 5",IF(AND(Y32&gt;60,Y32&lt;=72),"Shift 6",IF(AND(Y32&gt;72,Y32&lt;=84),"Shift 7",IF(AND(Y32&gt;84,Y32&lt;=96),IF(AND(Y32&gt;84,Y32&lt;=96),"Shift 8",),"Shift 9"))))))))</f>
        <v>#REF!</v>
      </c>
    </row>
    <row r="33" spans="1:147" ht="13" x14ac:dyDescent="0.25">
      <c r="B33" s="116">
        <f>D32</f>
        <v>44144.149173076927</v>
      </c>
      <c r="C33" s="220">
        <f>D32</f>
        <v>44144.149173076927</v>
      </c>
      <c r="D33" s="220">
        <f>(E33/24)+C33+(G33/24)</f>
        <v>44144.214506410259</v>
      </c>
      <c r="E33" s="219">
        <f>INDEX('[1]Work sheet'!$G$2:$G$240,MATCH(I33,'[1]Work sheet'!$K$2:$K$240,0))+IFERROR(IF(FIND("WASH",J32,1)&gt;0,0,0.267),0.167)</f>
        <v>1.5680000000000001</v>
      </c>
      <c r="F33" s="218">
        <f>IFERROR(MROUND((L33/((INDEX('[1]Work sheet'!$G$2:$G$239,MATCH(I33,'[1]Work sheet'!$K$2:$K$239,0))*0.68)*60)),0.5),"")</f>
        <v>8.5</v>
      </c>
      <c r="G33" s="217"/>
      <c r="H33" s="175">
        <f>LEN(J33)-LEN(SUBSTITUTE(J33,",",""))</f>
        <v>0</v>
      </c>
      <c r="I33" s="175">
        <f>'[1]Work sheet'!K32</f>
        <v>2074237</v>
      </c>
      <c r="J33" s="174" t="str">
        <f>VLOOKUP(I33,'[1]Work sheet'!$K$2:L654,2,0)</f>
        <v>TE/PE-124.00 P1K 2UN CTN 2 BAGS</v>
      </c>
      <c r="K33" s="173">
        <f>VLOOKUP(I33,'[1]Work sheet'!$K$2:O771,3,0)</f>
        <v>243</v>
      </c>
      <c r="L33" s="173">
        <f>VLOOKUP(I33,'[1]Work sheet'!$K$2:O1166,4,0)</f>
        <v>486</v>
      </c>
      <c r="M33" s="171" t="str">
        <f>VLOOKUP(I33,'[1]Work sheet'!$K$2:T1475,10,0)</f>
        <v>CIT/TSO</v>
      </c>
      <c r="N33" s="172" t="str">
        <f>IFERROR(VLOOKUP(I33,'[1]PO Numbers'!$R$2:S231,2,0),"TBC")</f>
        <v>106991008</v>
      </c>
      <c r="O33" s="171" t="str">
        <f>IFERROR(VLOOKUP(VALUE(N33),'[1]PO Numbers'!$F$1:$J$400,5,0),"xxx")</f>
        <v>PI01</v>
      </c>
      <c r="P33" s="83" t="str">
        <f>VLOOKUP(I33,'[1]Work sheet'!$K$2:AA1091,13,0)</f>
        <v/>
      </c>
      <c r="Q33" s="170">
        <f>VLOOKUP(I33,'[1]Work sheet'!$K$2:AI771,16,0)</f>
        <v>9.6189999999999998</v>
      </c>
      <c r="R33" s="168" t="str">
        <f>VLOOKUP(I33,'[1]Work sheet'!$K$2:AA451,17,0)</f>
        <v>7-8Kgs CIT, 2-3Kgs TSO</v>
      </c>
      <c r="S33" s="169" t="str">
        <f>VLOOKUP(I33,'[1]Work sheet'!$K$2:AL334,28,0)</f>
        <v/>
      </c>
      <c r="T33" s="168" t="str">
        <f>IFERROR(VLOOKUP(I33,[1]Label!$A$1:C1011,3,0),"")</f>
        <v/>
      </c>
      <c r="U33" s="165" t="str">
        <f>IFERROR(IF(OR(VLOOKUP(I33,'[1]Work sheet'!$K$2:U656,11,0)="530",VLOOKUP(I33,'[1]Work sheet'!$K$2:U656,11,0)="526"),"BTO",""),"")</f>
        <v/>
      </c>
      <c r="V33" s="165"/>
      <c r="W33" s="167" t="str">
        <f>IF(COUNTIF('[1]OB Connect'!$F$13:$F$364,N33),"On Openbatch", "No")</f>
        <v>No</v>
      </c>
      <c r="X33" s="166" t="e">
        <f>X32</f>
        <v>#REF!</v>
      </c>
      <c r="Y33" s="274" t="e">
        <f>E33+G33+Y32</f>
        <v>#REF!</v>
      </c>
      <c r="Z33" s="165" t="e">
        <f>IF(Y33&lt;=12,"Shift 1",IF(AND(Y33&gt;12,Y33&lt;=24),"Shift 2",IF(AND(Y33&gt;24,Y33&lt;=36),"Shift 3",IF(AND(Y33&gt;36,Y33&lt;=48),"Shift 4",IF(AND(Y33&gt;48,Y33&lt;=60),"Shift 5",IF(AND(Y33&gt;60,Y33&lt;=72),"Shift 6",IF(AND(Y33&gt;72,Y33&lt;=84),"Shift 7",IF(AND(Y33&gt;84,Y33&lt;=96),IF(AND(Y33&gt;84,Y33&lt;=96),"Shift 8",),"Shift 9"))))))))</f>
        <v>#REF!</v>
      </c>
    </row>
    <row r="34" spans="1:147" ht="13" x14ac:dyDescent="0.25">
      <c r="B34" s="116">
        <f>D33</f>
        <v>44144.214506410259</v>
      </c>
      <c r="C34" s="220">
        <f>D33</f>
        <v>44144.214506410259</v>
      </c>
      <c r="D34" s="220">
        <f>(E34/24)+C34+(G34/24)</f>
        <v>44144.224589743593</v>
      </c>
      <c r="E34" s="219">
        <f>INDEX('[1]Work sheet'!$G$2:$G$240,MATCH(I34,'[1]Work sheet'!$K$2:$K$240,0))+IFERROR(IF(FIND("WASH",J33,1)&gt;0,0,0.267),0.167)</f>
        <v>0.24199999999999999</v>
      </c>
      <c r="F34" s="218">
        <f>IFERROR(MROUND((L34/((INDEX('[1]Work sheet'!$G$2:$G$239,MATCH(I34,'[1]Work sheet'!$K$2:$K$239,0))*0.68)*60)),0.5),"")</f>
        <v>8.5</v>
      </c>
      <c r="G34" s="217"/>
      <c r="H34" s="175">
        <f>LEN(J34)-LEN(SUBSTITUTE(J34,",",""))</f>
        <v>1</v>
      </c>
      <c r="I34" s="175">
        <f>'[1]Work sheet'!K33</f>
        <v>2045774</v>
      </c>
      <c r="J34" s="174" t="str">
        <f>VLOOKUP(I34,'[1]Work sheet'!$K$2:L655,2,0)</f>
        <v>SP/D-74.92 P1K,3 2UN CTN 1 BAG</v>
      </c>
      <c r="K34" s="173">
        <f>VLOOKUP(I34,'[1]Work sheet'!$K$2:O772,3,0)</f>
        <v>26</v>
      </c>
      <c r="L34" s="173">
        <f>VLOOKUP(I34,'[1]Work sheet'!$K$2:O1167,4,0)</f>
        <v>26</v>
      </c>
      <c r="M34" s="171" t="str">
        <f>VLOOKUP(I34,'[1]Work sheet'!$K$2:T1476,10,0)</f>
        <v>CIT/TSO</v>
      </c>
      <c r="N34" s="172" t="str">
        <f>IFERROR(VLOOKUP(I34,'[1]PO Numbers'!$R$2:S232,2,0),"TBC")</f>
        <v>106990975</v>
      </c>
      <c r="O34" s="171" t="str">
        <f>IFERROR(VLOOKUP(VALUE(N34),'[1]PO Numbers'!$F$1:$J$400,5,0),"xxx")</f>
        <v>PI01</v>
      </c>
      <c r="P34" s="83" t="str">
        <f>VLOOKUP(I34,'[1]Work sheet'!$K$2:AA1092,13,0)</f>
        <v>1 of 1910737(ASP/616)</v>
      </c>
      <c r="Q34" s="170">
        <f>VLOOKUP(I34,'[1]Work sheet'!$K$2:AI772,16,0)</f>
        <v>9.66</v>
      </c>
      <c r="R34" s="168" t="str">
        <f>VLOOKUP(I34,'[1]Work sheet'!$K$2:AA452,17,0)</f>
        <v>9-10Kgs CIT, 0-1Kgs TSO</v>
      </c>
      <c r="S34" s="181" t="s">
        <v>62</v>
      </c>
      <c r="T34" s="168" t="str">
        <f>IFERROR(VLOOKUP(I34,[1]Label!$A$1:C1012,3,0),"")</f>
        <v/>
      </c>
      <c r="U34" s="165" t="str">
        <f>IFERROR(IF(OR(VLOOKUP(I34,'[1]Work sheet'!$K$2:U657,11,0)="530",VLOOKUP(I34,'[1]Work sheet'!$K$2:U657,11,0)="526"),"BTO",""),"")</f>
        <v>BTO</v>
      </c>
      <c r="V34" s="165"/>
      <c r="W34" s="167" t="str">
        <f>IF(COUNTIF('[1]OB Connect'!$F$13:$F$364,N34),"On Openbatch", "No")</f>
        <v>No</v>
      </c>
      <c r="X34" s="166" t="e">
        <f>X33</f>
        <v>#REF!</v>
      </c>
      <c r="Y34" s="274" t="e">
        <f>E34+G34+Y33</f>
        <v>#REF!</v>
      </c>
      <c r="Z34" s="165" t="e">
        <f>IF(Y34&lt;=12,"Shift 1",IF(AND(Y34&gt;12,Y34&lt;=24),"Shift 2",IF(AND(Y34&gt;24,Y34&lt;=36),"Shift 3",IF(AND(Y34&gt;36,Y34&lt;=48),"Shift 4",IF(AND(Y34&gt;48,Y34&lt;=60),"Shift 5",IF(AND(Y34&gt;60,Y34&lt;=72),"Shift 6",IF(AND(Y34&gt;72,Y34&lt;=84),"Shift 7",IF(AND(Y34&gt;84,Y34&lt;=96),IF(AND(Y34&gt;84,Y34&lt;=96),"Shift 8",),"Shift 9"))))))))</f>
        <v>#REF!</v>
      </c>
    </row>
    <row r="35" spans="1:147" ht="13" x14ac:dyDescent="0.25">
      <c r="B35" s="116">
        <f>D34</f>
        <v>44144.224589743593</v>
      </c>
      <c r="C35" s="220">
        <f>D34</f>
        <v>44144.224589743593</v>
      </c>
      <c r="D35" s="220">
        <f>(E35/24)+C35+(G35/24)</f>
        <v>44144.234808946494</v>
      </c>
      <c r="E35" s="219">
        <f>INDEX('[1]Work sheet'!$G$2:$G$240,MATCH(I35,'[1]Work sheet'!$K$2:$K$240,0))+IFERROR(IF(FIND("WASH",J34,1)&gt;0,0,0.267),0.167)</f>
        <v>0.24526086956521742</v>
      </c>
      <c r="F35" s="218">
        <f>IFERROR(MROUND((L35/((INDEX('[1]Work sheet'!$G$2:$G$239,MATCH(I35,'[1]Work sheet'!$K$2:$K$239,0))*0.68)*60)),0.5),"")</f>
        <v>8.5</v>
      </c>
      <c r="G35" s="279"/>
      <c r="H35" s="175">
        <f>LEN(J35)-LEN(SUBSTITUTE(J35,",",""))</f>
        <v>0</v>
      </c>
      <c r="I35" s="175">
        <f>'[1]Work sheet'!K34</f>
        <v>2040516</v>
      </c>
      <c r="J35" s="174" t="str">
        <f>VLOOKUP(I35,'[1]Work sheet'!$K$2:L656,2,0)</f>
        <v>PF/B-94.00/-104.00 P1 2UN CTN 1 BAG</v>
      </c>
      <c r="K35" s="173">
        <f>VLOOKUP(I35,'[1]Work sheet'!$K$2:O773,3,0)</f>
        <v>27</v>
      </c>
      <c r="L35" s="173">
        <f>VLOOKUP(I35,'[1]Work sheet'!$K$2:O1168,4,0)</f>
        <v>27</v>
      </c>
      <c r="M35" s="171" t="str">
        <f>VLOOKUP(I35,'[1]Work sheet'!$K$2:T1477,10,0)</f>
        <v>CIT/TSO</v>
      </c>
      <c r="N35" s="172" t="str">
        <f>IFERROR(VLOOKUP(I35,'[1]PO Numbers'!$R$2:S233,2,0),"TBC")</f>
        <v>106991038</v>
      </c>
      <c r="O35" s="171" t="str">
        <f>IFERROR(VLOOKUP(VALUE(N35),'[1]PO Numbers'!$F$1:$J$400,5,0),"xxx")</f>
        <v>PI01</v>
      </c>
      <c r="P35" s="83" t="str">
        <f>VLOOKUP(I35,'[1]Work sheet'!$K$2:AA1093,13,0)</f>
        <v/>
      </c>
      <c r="Q35" s="170">
        <f>VLOOKUP(I35,'[1]Work sheet'!$K$2:AI773,16,0)</f>
        <v>11.316000000000001</v>
      </c>
      <c r="R35" s="168" t="str">
        <f>VLOOKUP(I35,'[1]Work sheet'!$K$2:AA453,17,0)</f>
        <v>10-11Kgs CIT, 0-1Kgs TSO</v>
      </c>
      <c r="S35" s="169" t="str">
        <f>VLOOKUP(I35,'[1]Work sheet'!$K$2:AL336,28,0)</f>
        <v/>
      </c>
      <c r="T35" s="168" t="str">
        <f>IFERROR(VLOOKUP(I35,[1]Label!$A$1:C1013,3,0),"")</f>
        <v/>
      </c>
      <c r="U35" s="165" t="str">
        <f>IFERROR(IF(OR(VLOOKUP(I35,'[1]Work sheet'!$K$2:U658,11,0)="530",VLOOKUP(I35,'[1]Work sheet'!$K$2:U658,11,0)="526"),"BTO",""),"")</f>
        <v/>
      </c>
      <c r="V35" s="165"/>
      <c r="W35" s="167" t="str">
        <f>IF(COUNTIF('[1]OB Connect'!$F$13:$F$364,N35),"On Openbatch", "No")</f>
        <v>No</v>
      </c>
      <c r="X35" s="166" t="e">
        <f>X34</f>
        <v>#REF!</v>
      </c>
      <c r="Y35" s="274" t="e">
        <f>E35+G35+Y34</f>
        <v>#REF!</v>
      </c>
      <c r="Z35" s="165" t="e">
        <f>IF(Y35&lt;=12,"Shift 1",IF(AND(Y35&gt;12,Y35&lt;=24),"Shift 2",IF(AND(Y35&gt;24,Y35&lt;=36),"Shift 3",IF(AND(Y35&gt;36,Y35&lt;=48),"Shift 4",IF(AND(Y35&gt;48,Y35&lt;=60),"Shift 5",IF(AND(Y35&gt;60,Y35&lt;=72),"Shift 6",IF(AND(Y35&gt;72,Y35&lt;=84),"Shift 7",IF(AND(Y35&gt;84,Y35&lt;=96),IF(AND(Y35&gt;84,Y35&lt;=96),"Shift 8",),"Shift 9"))))))))</f>
        <v>#REF!</v>
      </c>
    </row>
    <row r="36" spans="1:147" ht="13" x14ac:dyDescent="0.25">
      <c r="B36" s="116">
        <f>D35</f>
        <v>44144.234808946494</v>
      </c>
      <c r="C36" s="220">
        <f>D35</f>
        <v>44144.234808946494</v>
      </c>
      <c r="D36" s="220">
        <f>(E36/24)+C36+(G36/24)</f>
        <v>44144.306642279829</v>
      </c>
      <c r="E36" s="219">
        <f>INDEX('[1]Work sheet'!$G$2:$G$240,MATCH(I36,'[1]Work sheet'!$K$2:$K$240,0))+IFERROR(IF(FIND("WASH",J35,1)&gt;0,0,0.267),0.167)</f>
        <v>1.724</v>
      </c>
      <c r="F36" s="278">
        <f>IFERROR(MROUND((L36/((INDEX('[1]Work sheet'!$G$2:$G$239,MATCH(I36,'[1]Work sheet'!$K$2:$K$239,0))*0.68)*60)),0.5),"")</f>
        <v>8.5</v>
      </c>
      <c r="G36" s="276"/>
      <c r="H36" s="176">
        <f>LEN(J36)-LEN(SUBSTITUTE(J36,",",""))</f>
        <v>0</v>
      </c>
      <c r="I36" s="175">
        <f>'[1]Work sheet'!K35</f>
        <v>1844497</v>
      </c>
      <c r="J36" s="174" t="str">
        <f>VLOOKUP(I36,'[1]Work sheet'!$K$2:L657,2,0)</f>
        <v>SP/D-74.66/.67 P1K 4UN CTN 2 BAGS</v>
      </c>
      <c r="K36" s="173">
        <f>VLOOKUP(I36,'[1]Work sheet'!$K$2:O774,3,0)</f>
        <v>270</v>
      </c>
      <c r="L36" s="173">
        <f>VLOOKUP(I36,'[1]Work sheet'!$K$2:O1169,4,0)</f>
        <v>540</v>
      </c>
      <c r="M36" s="171" t="str">
        <f>VLOOKUP(I36,'[1]Work sheet'!$K$2:T1478,10,0)</f>
        <v>CIT/TSO</v>
      </c>
      <c r="N36" s="172" t="str">
        <f>IFERROR(VLOOKUP(I36,'[1]PO Numbers'!$R$2:S234,2,0),"TBC")</f>
        <v>106991019</v>
      </c>
      <c r="O36" s="171" t="str">
        <f>IFERROR(VLOOKUP(VALUE(N36),'[1]PO Numbers'!$F$1:$J$400,5,0),"xxx")</f>
        <v>PI01</v>
      </c>
      <c r="P36" s="83" t="str">
        <f>VLOOKUP(I36,'[1]Work sheet'!$K$2:AA1094,13,0)</f>
        <v/>
      </c>
      <c r="Q36" s="170">
        <f>VLOOKUP(I36,'[1]Work sheet'!$K$2:AI774,16,0)</f>
        <v>11.878</v>
      </c>
      <c r="R36" s="168" t="str">
        <f>VLOOKUP(I36,'[1]Work sheet'!$K$2:AA454,17,0)</f>
        <v>9-10Kgs CIT, 2-3Kgs TSO</v>
      </c>
      <c r="S36" s="169"/>
      <c r="T36" s="168" t="str">
        <f>IFERROR(VLOOKUP(I36,[1]Label!$A$1:C1014,3,0),"")</f>
        <v/>
      </c>
      <c r="U36" s="165" t="str">
        <f>IFERROR(IF(OR(VLOOKUP(I36,'[1]Work sheet'!$K$2:U659,11,0)="530",VLOOKUP(I36,'[1]Work sheet'!$K$2:U659,11,0)="526"),"BTO",""),"")</f>
        <v/>
      </c>
      <c r="V36" s="165"/>
      <c r="W36" s="167" t="str">
        <f>IF(COUNTIF('[1]OB Connect'!$F$13:$F$364,N36),"On Openbatch", "No")</f>
        <v>No</v>
      </c>
      <c r="X36" s="166" t="e">
        <f>X35</f>
        <v>#REF!</v>
      </c>
      <c r="Y36" s="274" t="e">
        <f>E36+G36+Y35</f>
        <v>#REF!</v>
      </c>
      <c r="Z36" s="165" t="e">
        <f>IF(Y36&lt;=12,"Shift 1",IF(AND(Y36&gt;12,Y36&lt;=24),"Shift 2",IF(AND(Y36&gt;24,Y36&lt;=36),"Shift 3",IF(AND(Y36&gt;36,Y36&lt;=48),"Shift 4",IF(AND(Y36&gt;48,Y36&lt;=60),"Shift 5",IF(AND(Y36&gt;60,Y36&lt;=72),"Shift 6",IF(AND(Y36&gt;72,Y36&lt;=84),"Shift 7",IF(AND(Y36&gt;84,Y36&lt;=96),IF(AND(Y36&gt;84,Y36&lt;=96),"Shift 8",),"Shift 9"))))))))</f>
        <v>#REF!</v>
      </c>
    </row>
    <row r="37" spans="1:147" ht="13" x14ac:dyDescent="0.25">
      <c r="B37" s="116">
        <f>D36</f>
        <v>44144.306642279829</v>
      </c>
      <c r="C37" s="220">
        <f>D36</f>
        <v>44144.306642279829</v>
      </c>
      <c r="D37" s="220">
        <f>(E37/24)+C37+(G37/24)</f>
        <v>44144.403225613161</v>
      </c>
      <c r="E37" s="219">
        <f>INDEX('[1]Work sheet'!$G$2:$G$240,MATCH(I37,'[1]Work sheet'!$K$2:$K$240,0))+IFERROR(IF(FIND("WASH",J36,1)&gt;0,0,0.267),0.167)</f>
        <v>2.3179999999999996</v>
      </c>
      <c r="F37" s="218">
        <f>IFERROR(MROUND((L37/((INDEX('[1]Work sheet'!$G$2:$G$239,MATCH(I37,'[1]Work sheet'!$K$2:$K$239,0))*0.68)*60)),0.5),"")</f>
        <v>8</v>
      </c>
      <c r="G37" s="277"/>
      <c r="H37" s="175">
        <f>LEN(J37)-LEN(SUBSTITUTE(J37,",",""))</f>
        <v>0</v>
      </c>
      <c r="I37" s="175">
        <f>'[1]Work sheet'!K36</f>
        <v>1969310</v>
      </c>
      <c r="J37" s="174" t="str">
        <f>VLOOKUP(I37,'[1]Work sheet'!$K$2:L658,2,0)</f>
        <v>SP/B-92.35 P1K 4UN CTN 1BAG</v>
      </c>
      <c r="K37" s="173">
        <f>VLOOKUP(I37,'[1]Work sheet'!$K$2:O775,3,0)</f>
        <v>702</v>
      </c>
      <c r="L37" s="173">
        <f>VLOOKUP(I37,'[1]Work sheet'!$K$2:O1170,4,0)</f>
        <v>702</v>
      </c>
      <c r="M37" s="171" t="str">
        <f>VLOOKUP(I37,'[1]Work sheet'!$K$2:T1479,10,0)</f>
        <v>CIT/TSO</v>
      </c>
      <c r="N37" s="172" t="str">
        <f>IFERROR(VLOOKUP(I37,'[1]PO Numbers'!$R$2:S235,2,0),"TBC")</f>
        <v>106991000</v>
      </c>
      <c r="O37" s="171" t="str">
        <f>IFERROR(VLOOKUP(VALUE(N37),'[1]PO Numbers'!$F$1:$J$400,5,0),"xxx")</f>
        <v>PI01</v>
      </c>
      <c r="P37" s="83" t="str">
        <f>VLOOKUP(I37,'[1]Work sheet'!$K$2:AA1095,13,0)</f>
        <v/>
      </c>
      <c r="Q37" s="170">
        <f>VLOOKUP(I37,'[1]Work sheet'!$K$2:AI775,16,0)</f>
        <v>14.92</v>
      </c>
      <c r="R37" s="168" t="str">
        <f>VLOOKUP(I37,'[1]Work sheet'!$K$2:AA455,17,0)</f>
        <v>13-14Kgs CIT, 0-1Kgs TSO</v>
      </c>
      <c r="S37" s="169" t="str">
        <f>VLOOKUP(I37,'[1]Work sheet'!$K$2:AL338,28,0)</f>
        <v/>
      </c>
      <c r="T37" s="168" t="str">
        <f>IFERROR(VLOOKUP(I37,[1]Label!$A$1:C1015,3,0),"")</f>
        <v/>
      </c>
      <c r="U37" s="165" t="str">
        <f>IFERROR(IF(OR(VLOOKUP(I37,'[1]Work sheet'!$K$2:U660,11,0)="530",VLOOKUP(I37,'[1]Work sheet'!$K$2:U660,11,0)="526"),"BTO",""),"")</f>
        <v/>
      </c>
      <c r="V37" s="165"/>
      <c r="W37" s="167" t="str">
        <f>IF(COUNTIF('[1]OB Connect'!$F$13:$F$364,N37),"On Openbatch", "No")</f>
        <v>No</v>
      </c>
      <c r="X37" s="166" t="e">
        <f>X36</f>
        <v>#REF!</v>
      </c>
      <c r="Y37" s="274" t="e">
        <f>E37+G37+Y36</f>
        <v>#REF!</v>
      </c>
      <c r="Z37" s="165" t="e">
        <f>IF(Y37&lt;=12,"Shift 1",IF(AND(Y37&gt;12,Y37&lt;=24),"Shift 2",IF(AND(Y37&gt;24,Y37&lt;=36),"Shift 3",IF(AND(Y37&gt;36,Y37&lt;=48),"Shift 4",IF(AND(Y37&gt;48,Y37&lt;=60),"Shift 5",IF(AND(Y37&gt;60,Y37&lt;=72),"Shift 6",IF(AND(Y37&gt;72,Y37&lt;=84),"Shift 7",IF(AND(Y37&gt;84,Y37&lt;=96),IF(AND(Y37&gt;84,Y37&lt;=96),"Shift 8",),"Shift 9"))))))))</f>
        <v>#REF!</v>
      </c>
    </row>
    <row r="38" spans="1:147" ht="13" x14ac:dyDescent="0.25">
      <c r="B38" s="116">
        <f>D37</f>
        <v>44144.403225613161</v>
      </c>
      <c r="C38" s="220">
        <f>D37</f>
        <v>44144.403225613161</v>
      </c>
      <c r="D38" s="220">
        <f>(E38/24)+C38+(G38/24)</f>
        <v>44144.417058946492</v>
      </c>
      <c r="E38" s="219">
        <f>INDEX('[1]Work sheet'!$G$2:$G$240,MATCH(I38,'[1]Work sheet'!$K$2:$K$240,0))+IFERROR(IF(FIND("WASH",J37,1)&gt;0,0,0.267),0.167)</f>
        <v>0.33200000000000002</v>
      </c>
      <c r="F38" s="218">
        <f>IFERROR(MROUND((L38/((INDEX('[1]Work sheet'!$G$2:$G$239,MATCH(I38,'[1]Work sheet'!$K$2:$K$239,0))*0.68)*60)),0.5),"")</f>
        <v>8</v>
      </c>
      <c r="G38" s="217"/>
      <c r="H38" s="175">
        <f>LEN(J38)-LEN(SUBSTITUTE(J38,",",""))</f>
        <v>1</v>
      </c>
      <c r="I38" s="175">
        <f>'[1]Work sheet'!K37</f>
        <v>1335016</v>
      </c>
      <c r="J38" s="174" t="str">
        <f>VLOOKUP(I38,'[1]Work sheet'!$K$2:L659,2,0)</f>
        <v>TE/LE-100.101/.104 P1K, P1B 3UN CTN 1BAG</v>
      </c>
      <c r="K38" s="173">
        <f>VLOOKUP(I38,'[1]Work sheet'!$K$2:O776,3,0)</f>
        <v>54</v>
      </c>
      <c r="L38" s="173">
        <f>VLOOKUP(I38,'[1]Work sheet'!$K$2:O1171,4,0)</f>
        <v>54</v>
      </c>
      <c r="M38" s="171" t="str">
        <f>VLOOKUP(I38,'[1]Work sheet'!$K$2:T1480,10,0)</f>
        <v>CIT/TSO</v>
      </c>
      <c r="N38" s="172" t="str">
        <f>IFERROR(VLOOKUP(I38,'[1]PO Numbers'!$R$2:S236,2,0),"TBC")</f>
        <v>106991031</v>
      </c>
      <c r="O38" s="171" t="str">
        <f>IFERROR(VLOOKUP(VALUE(N38),'[1]PO Numbers'!$F$1:$J$400,5,0),"xxx")</f>
        <v>PI01</v>
      </c>
      <c r="P38" s="83" t="str">
        <f>VLOOKUP(I38,'[1]Work sheet'!$K$2:AA1096,13,0)</f>
        <v>1 of 1336301 (SBZ/811)</v>
      </c>
      <c r="Q38" s="170">
        <f>VLOOKUP(I38,'[1]Work sheet'!$K$2:AI776,16,0)</f>
        <v>14.97</v>
      </c>
      <c r="R38" s="168" t="str">
        <f>VLOOKUP(I38,'[1]Work sheet'!$K$2:AA456,17,0)</f>
        <v>11-12Kgs CIT, 3-4Kgs TSO</v>
      </c>
      <c r="S38" s="169" t="str">
        <f>VLOOKUP(I38,'[1]Work sheet'!$K$2:AL339,28,0)</f>
        <v/>
      </c>
      <c r="T38" s="168" t="str">
        <f>IFERROR(VLOOKUP(I38,[1]Label!$A$1:C1016,3,0),"")</f>
        <v/>
      </c>
      <c r="U38" s="165" t="str">
        <f>IFERROR(IF(OR(VLOOKUP(I38,'[1]Work sheet'!$K$2:U661,11,0)="530",VLOOKUP(I38,'[1]Work sheet'!$K$2:U661,11,0)="526"),"BTO",""),"")</f>
        <v/>
      </c>
      <c r="V38" s="165"/>
      <c r="W38" s="167" t="str">
        <f>IF(COUNTIF('[1]OB Connect'!$F$13:$F$364,N38),"On Openbatch", "No")</f>
        <v>No</v>
      </c>
      <c r="X38" s="166" t="e">
        <f>X37</f>
        <v>#REF!</v>
      </c>
      <c r="Y38" s="274" t="e">
        <f>E38+G38+Y37</f>
        <v>#REF!</v>
      </c>
      <c r="Z38" s="165" t="e">
        <f>IF(Y38&lt;=12,"Shift 1",IF(AND(Y38&gt;12,Y38&lt;=24),"Shift 2",IF(AND(Y38&gt;24,Y38&lt;=36),"Shift 3",IF(AND(Y38&gt;36,Y38&lt;=48),"Shift 4",IF(AND(Y38&gt;48,Y38&lt;=60),"Shift 5",IF(AND(Y38&gt;60,Y38&lt;=72),"Shift 6",IF(AND(Y38&gt;72,Y38&lt;=84),"Shift 7",IF(AND(Y38&gt;84,Y38&lt;=96),IF(AND(Y38&gt;84,Y38&lt;=96),"Shift 8",),"Shift 9"))))))))</f>
        <v>#REF!</v>
      </c>
    </row>
    <row r="39" spans="1:147" ht="13" x14ac:dyDescent="0.25">
      <c r="B39" s="116">
        <f>D38</f>
        <v>44144.417058946492</v>
      </c>
      <c r="C39" s="220">
        <f>D38</f>
        <v>44144.417058946492</v>
      </c>
      <c r="D39" s="220">
        <f>(E39/24)+C39+(G39/24)</f>
        <v>44144.432517279827</v>
      </c>
      <c r="E39" s="219">
        <f>INDEX('[1]Work sheet'!$G$2:$G$240,MATCH(I39,'[1]Work sheet'!$K$2:$K$240,0))+IFERROR(IF(FIND("WASH",J38,1)&gt;0,0,0.267),0.167)</f>
        <v>0.371</v>
      </c>
      <c r="F39" s="218">
        <f>IFERROR(MROUND((L39/((INDEX('[1]Work sheet'!$G$2:$G$239,MATCH(I39,'[1]Work sheet'!$K$2:$K$239,0))*0.68)*60)),0.5),"")</f>
        <v>6.5</v>
      </c>
      <c r="G39" s="217"/>
      <c r="H39" s="175">
        <f>LEN(J39)-LEN(SUBSTITUTE(J39,",",""))</f>
        <v>1</v>
      </c>
      <c r="I39" s="175">
        <f>'[1]Work sheet'!K38</f>
        <v>1194498</v>
      </c>
      <c r="J39" s="174" t="str">
        <f>VLOOKUP(I39,'[1]Work sheet'!$K$2:L660,2,0)</f>
        <v>SP/B-74.700/74.701 P1K,3 4UN CTN 1 BAG</v>
      </c>
      <c r="K39" s="173">
        <f>VLOOKUP(I39,'[1]Work sheet'!$K$2:O777,3,0)</f>
        <v>54</v>
      </c>
      <c r="L39" s="173">
        <f>VLOOKUP(I39,'[1]Work sheet'!$K$2:O1172,4,0)</f>
        <v>54</v>
      </c>
      <c r="M39" s="171" t="str">
        <f>VLOOKUP(I39,'[1]Work sheet'!$K$2:T1481,10,0)</f>
        <v>CIT/TSO</v>
      </c>
      <c r="N39" s="172" t="str">
        <f>IFERROR(VLOOKUP(I39,'[1]PO Numbers'!$R$2:S237,2,0),"TBC")</f>
        <v>106991023</v>
      </c>
      <c r="O39" s="171" t="str">
        <f>IFERROR(VLOOKUP(VALUE(N39),'[1]PO Numbers'!$F$1:$J$400,5,0),"xxx")</f>
        <v>PI01</v>
      </c>
      <c r="P39" s="83" t="str">
        <f>VLOOKUP(I39,'[1]Work sheet'!$K$2:AA1097,13,0)</f>
        <v>1 of 1194500 (ASP/616)</v>
      </c>
      <c r="Q39" s="170">
        <f>VLOOKUP(I39,'[1]Work sheet'!$K$2:AI777,16,0)</f>
        <v>19.3</v>
      </c>
      <c r="R39" s="168" t="str">
        <f>VLOOKUP(I39,'[1]Work sheet'!$K$2:AA457,17,0)</f>
        <v>18-19Kgs CIT, 0-1Kgs TSO</v>
      </c>
      <c r="S39" s="169" t="str">
        <f>VLOOKUP(I39,'[1]Work sheet'!$K$2:AL340,28,0)</f>
        <v/>
      </c>
      <c r="T39" s="168" t="str">
        <f>IFERROR(VLOOKUP(I39,[1]Label!$A$1:C1017,3,0),"")</f>
        <v/>
      </c>
      <c r="U39" s="165" t="str">
        <f>IFERROR(IF(OR(VLOOKUP(I39,'[1]Work sheet'!$K$2:U662,11,0)="530",VLOOKUP(I39,'[1]Work sheet'!$K$2:U662,11,0)="526"),"BTO",""),"")</f>
        <v/>
      </c>
      <c r="V39" s="165"/>
      <c r="W39" s="167" t="str">
        <f>IF(COUNTIF('[1]OB Connect'!$F$13:$F$364,N39),"On Openbatch", "No")</f>
        <v>No</v>
      </c>
      <c r="X39" s="166" t="e">
        <f>X38</f>
        <v>#REF!</v>
      </c>
      <c r="Y39" s="274" t="e">
        <f>E39+G39+Y38</f>
        <v>#REF!</v>
      </c>
      <c r="Z39" s="165" t="e">
        <f>IF(Y39&lt;=12,"Shift 1",IF(AND(Y39&gt;12,Y39&lt;=24),"Shift 2",IF(AND(Y39&gt;24,Y39&lt;=36),"Shift 3",IF(AND(Y39&gt;36,Y39&lt;=48),"Shift 4",IF(AND(Y39&gt;48,Y39&lt;=60),"Shift 5",IF(AND(Y39&gt;60,Y39&lt;=72),"Shift 6",IF(AND(Y39&gt;72,Y39&lt;=84),"Shift 7",IF(AND(Y39&gt;84,Y39&lt;=96),IF(AND(Y39&gt;84,Y39&lt;=96),"Shift 8",),"Shift 9"))))))))</f>
        <v>#REF!</v>
      </c>
    </row>
    <row r="40" spans="1:147" ht="13" x14ac:dyDescent="0.25">
      <c r="B40" s="116">
        <f>D39</f>
        <v>44144.432517279827</v>
      </c>
      <c r="C40" s="220">
        <f>D39</f>
        <v>44144.432517279827</v>
      </c>
      <c r="D40" s="220">
        <f>(E40/24)+C40+(G40/24)</f>
        <v>44144.46068394649</v>
      </c>
      <c r="E40" s="219">
        <f>INDEX('[1]Work sheet'!$G$2:$G$240,MATCH(I40,'[1]Work sheet'!$K$2:$K$240,0))+IFERROR(IF(FIND("WASH",J39,1)&gt;0,0,0.267),0.167)</f>
        <v>0.67600000000000005</v>
      </c>
      <c r="F40" s="218">
        <f>IFERROR(MROUND((L40/((INDEX('[1]Work sheet'!$G$2:$G$239,MATCH(I40,'[1]Work sheet'!$K$2:$K$239,0))*0.68)*60)),0.5),"")</f>
        <v>6.5</v>
      </c>
      <c r="G40" s="217"/>
      <c r="H40" s="175">
        <f>LEN(J40)-LEN(SUBSTITUTE(J40,",",""))</f>
        <v>1</v>
      </c>
      <c r="I40" s="175">
        <f>'[1]Work sheet'!K39</f>
        <v>1093095</v>
      </c>
      <c r="J40" s="174" t="str">
        <f>VLOOKUP(I40,'[1]Work sheet'!$K$2:L661,2,0)</f>
        <v>SP/D-74.641 P1K,1B 4UN CTN 1 BAG</v>
      </c>
      <c r="K40" s="173">
        <f>VLOOKUP(I40,'[1]Work sheet'!$K$2:O778,3,0)</f>
        <v>135</v>
      </c>
      <c r="L40" s="173">
        <f>VLOOKUP(I40,'[1]Work sheet'!$K$2:O1173,4,0)</f>
        <v>135</v>
      </c>
      <c r="M40" s="171" t="str">
        <f>VLOOKUP(I40,'[1]Work sheet'!$K$2:T1482,10,0)</f>
        <v>CIT/TSO</v>
      </c>
      <c r="N40" s="172" t="str">
        <f>IFERROR(VLOOKUP(I40,'[1]PO Numbers'!$R$2:S238,2,0),"TBC")</f>
        <v>106990976</v>
      </c>
      <c r="O40" s="171" t="str">
        <f>IFERROR(VLOOKUP(VALUE(N40),'[1]PO Numbers'!$F$1:$J$400,5,0),"xxx")</f>
        <v>PI01</v>
      </c>
      <c r="P40" s="83" t="str">
        <f>VLOOKUP(I40,'[1]Work sheet'!$K$2:AA1098,13,0)</f>
        <v>1 of 1001474 (SBZ)</v>
      </c>
      <c r="Q40" s="170">
        <f>VLOOKUP(I40,'[1]Work sheet'!$K$2:AI778,16,0)</f>
        <v>19.32</v>
      </c>
      <c r="R40" s="168" t="str">
        <f>VLOOKUP(I40,'[1]Work sheet'!$K$2:AA458,17,0)</f>
        <v>18-19Kgs CIT, 0-1Kgs TSO</v>
      </c>
      <c r="S40" s="169" t="str">
        <f>VLOOKUP(I40,'[1]Work sheet'!$K$2:AL341,28,0)</f>
        <v/>
      </c>
      <c r="T40" s="168" t="str">
        <f>IFERROR(VLOOKUP(I40,[1]Label!$A$1:C1018,3,0),"")</f>
        <v/>
      </c>
      <c r="U40" s="165" t="str">
        <f>IFERROR(IF(OR(VLOOKUP(I40,'[1]Work sheet'!$K$2:U663,11,0)="530",VLOOKUP(I40,'[1]Work sheet'!$K$2:U663,11,0)="526"),"BTO",""),"")</f>
        <v/>
      </c>
      <c r="V40" s="165"/>
      <c r="W40" s="167" t="str">
        <f>IF(COUNTIF('[1]OB Connect'!$F$13:$F$364,N40),"On Openbatch", "No")</f>
        <v>No</v>
      </c>
      <c r="X40" s="166" t="e">
        <f>X39</f>
        <v>#REF!</v>
      </c>
      <c r="Y40" s="274" t="e">
        <f>E40+G40+Y39</f>
        <v>#REF!</v>
      </c>
      <c r="Z40" s="165" t="e">
        <f>IF(Y40&lt;=12,"Shift 1",IF(AND(Y40&gt;12,Y40&lt;=24),"Shift 2",IF(AND(Y40&gt;24,Y40&lt;=36),"Shift 3",IF(AND(Y40&gt;36,Y40&lt;=48),"Shift 4",IF(AND(Y40&gt;48,Y40&lt;=60),"Shift 5",IF(AND(Y40&gt;60,Y40&lt;=72),"Shift 6",IF(AND(Y40&gt;72,Y40&lt;=84),"Shift 7",IF(AND(Y40&gt;84,Y40&lt;=96),IF(AND(Y40&gt;84,Y40&lt;=96),"Shift 8",),"Shift 9"))))))))</f>
        <v>#REF!</v>
      </c>
    </row>
    <row r="41" spans="1:147" s="58" customFormat="1" ht="13" x14ac:dyDescent="0.25">
      <c r="A41" s="118"/>
      <c r="B41" s="126">
        <f>D40</f>
        <v>44144.46068394649</v>
      </c>
      <c r="C41" s="125">
        <f>D40</f>
        <v>44144.46068394649</v>
      </c>
      <c r="D41" s="125">
        <f>(E41/24)+C41+(G41/24)</f>
        <v>44144.469017279822</v>
      </c>
      <c r="E41" s="124">
        <v>0.2</v>
      </c>
      <c r="F41" s="124"/>
      <c r="G41" s="123"/>
      <c r="H41" s="119"/>
      <c r="I41" s="122"/>
      <c r="J41" s="118" t="s">
        <v>12</v>
      </c>
      <c r="K41" s="121"/>
      <c r="L41" s="120"/>
      <c r="M41" s="118"/>
      <c r="N41" s="118"/>
      <c r="O41" s="118"/>
      <c r="P41" s="117"/>
      <c r="Q41" s="119"/>
      <c r="R41" s="118"/>
      <c r="S41" s="117"/>
      <c r="T41" s="117"/>
      <c r="U41" s="23"/>
      <c r="V41" s="21"/>
      <c r="W41" s="22"/>
      <c r="X41" s="22"/>
      <c r="Y41" s="21"/>
      <c r="Z41" s="20"/>
      <c r="AA41" s="60"/>
      <c r="AB41" s="60"/>
      <c r="AC41" s="60"/>
      <c r="AD41" s="60"/>
      <c r="AE41" s="60"/>
      <c r="AF41" s="60"/>
      <c r="AG41" s="60"/>
      <c r="AH41" s="60"/>
      <c r="AI41" s="60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59"/>
      <c r="CD41" s="59"/>
      <c r="CE41" s="59"/>
      <c r="CF41" s="59"/>
      <c r="CG41" s="59"/>
      <c r="CH41" s="59"/>
      <c r="CI41" s="59"/>
      <c r="CJ41" s="59"/>
      <c r="CK41" s="59"/>
      <c r="CL41" s="59"/>
      <c r="CM41" s="59"/>
      <c r="CN41" s="59"/>
      <c r="CO41" s="59"/>
      <c r="CP41" s="59"/>
      <c r="CQ41" s="59"/>
      <c r="CR41" s="59"/>
      <c r="CS41" s="59"/>
      <c r="CT41" s="59"/>
      <c r="CU41" s="59"/>
      <c r="CV41" s="59"/>
      <c r="CW41" s="59"/>
      <c r="CX41" s="59"/>
      <c r="CY41" s="59"/>
      <c r="CZ41" s="59"/>
      <c r="DA41" s="59"/>
      <c r="DB41" s="59"/>
      <c r="DC41" s="59"/>
      <c r="DD41" s="59"/>
      <c r="DE41" s="59"/>
      <c r="DF41" s="59"/>
      <c r="DG41" s="59"/>
      <c r="DH41" s="59"/>
      <c r="DI41" s="59"/>
      <c r="DJ41" s="59"/>
      <c r="DK41" s="59"/>
      <c r="DL41" s="59"/>
      <c r="DM41" s="59"/>
      <c r="DN41" s="59"/>
      <c r="DO41" s="59"/>
      <c r="DP41" s="59"/>
      <c r="DQ41" s="59"/>
      <c r="DR41" s="59"/>
      <c r="DS41" s="59"/>
      <c r="DT41" s="59"/>
      <c r="DU41" s="59"/>
      <c r="DV41" s="59"/>
      <c r="DW41" s="59"/>
      <c r="DX41" s="59"/>
      <c r="DY41" s="59"/>
      <c r="DZ41" s="59"/>
      <c r="EA41" s="59"/>
      <c r="EB41" s="59"/>
      <c r="EC41" s="59"/>
      <c r="ED41" s="59"/>
      <c r="EE41" s="59"/>
      <c r="EF41" s="59"/>
      <c r="EG41" s="59"/>
      <c r="EH41" s="59"/>
      <c r="EI41" s="59"/>
      <c r="EJ41" s="59"/>
      <c r="EK41" s="59"/>
      <c r="EL41" s="59"/>
      <c r="EM41" s="59"/>
      <c r="EN41" s="59"/>
      <c r="EO41" s="59"/>
      <c r="EP41" s="59"/>
      <c r="EQ41" s="59"/>
    </row>
    <row r="42" spans="1:147" ht="13" x14ac:dyDescent="0.25">
      <c r="B42" s="116">
        <f>D41</f>
        <v>44144.469017279822</v>
      </c>
      <c r="C42" s="220">
        <f>D41</f>
        <v>44144.469017279822</v>
      </c>
      <c r="D42" s="220">
        <f>(E42/24)+C42+(G42/24)</f>
        <v>44144.482850613153</v>
      </c>
      <c r="E42" s="219">
        <f>INDEX('[1]Work sheet'!$G$2:$G$240,MATCH(I42,'[1]Work sheet'!$K$2:$K$240,0))+IFERROR(IF(FIND("WASH",J40,1)&gt;0,0,0.267),0.167)</f>
        <v>0.33200000000000002</v>
      </c>
      <c r="F42" s="218">
        <f>IFERROR(MROUND((L42/((INDEX('[1]Work sheet'!$G$2:$G$239,MATCH(I42,'[1]Work sheet'!$K$2:$K$239,0))*0.68)*60)),0.5),"")</f>
        <v>4</v>
      </c>
      <c r="G42" s="217"/>
      <c r="H42" s="175">
        <f>LEN(J42)-LEN(SUBSTITUTE(J42,",",""))</f>
        <v>0</v>
      </c>
      <c r="I42" s="175">
        <f>'[1]Work sheet'!K40</f>
        <v>2045299</v>
      </c>
      <c r="J42" s="174" t="str">
        <f>VLOOKUP(I42,'[1]Work sheet'!$K$2:L662,2,0)</f>
        <v>DC-2492.39 P1C 55UN CTN 1 BAG</v>
      </c>
      <c r="K42" s="173">
        <f>VLOOKUP(I42,'[1]Work sheet'!$K$2:O779,3,0)</f>
        <v>27</v>
      </c>
      <c r="L42" s="173">
        <f>VLOOKUP(I42,'[1]Work sheet'!$K$2:O1174,4,0)</f>
        <v>27</v>
      </c>
      <c r="M42" s="171" t="str">
        <f>VLOOKUP(I42,'[1]Work sheet'!$K$2:T1483,10,0)</f>
        <v>TSO</v>
      </c>
      <c r="N42" s="172" t="str">
        <f>IFERROR(VLOOKUP(I42,'[1]PO Numbers'!$R$2:S239,2,0),"TBC")</f>
        <v>106991039</v>
      </c>
      <c r="O42" s="171" t="str">
        <f>IFERROR(VLOOKUP(VALUE(N42),'[1]PO Numbers'!$F$1:$J$400,5,0),"xxx")</f>
        <v>PI01</v>
      </c>
      <c r="P42" s="83" t="str">
        <f>VLOOKUP(I42,'[1]Work sheet'!$K$2:AA1099,13,0)</f>
        <v/>
      </c>
      <c r="Q42" s="170">
        <f>VLOOKUP(I42,'[1]Work sheet'!$K$2:AI779,16,0)</f>
        <v>14.465</v>
      </c>
      <c r="R42" s="168" t="str">
        <f>VLOOKUP(I42,'[1]Work sheet'!$K$2:AA459,17,0)</f>
        <v>14-15Kgs TSO</v>
      </c>
      <c r="S42" s="169" t="str">
        <f>VLOOKUP(I42,'[1]Work sheet'!$K$2:AL342,28,0)</f>
        <v/>
      </c>
      <c r="T42" s="168" t="str">
        <f>IFERROR(VLOOKUP(I42,[1]Label!$A$1:C1019,3,0),"")</f>
        <v/>
      </c>
      <c r="U42" s="165" t="str">
        <f>IFERROR(IF(OR(VLOOKUP(I42,'[1]Work sheet'!$K$2:U664,11,0)="530",VLOOKUP(I42,'[1]Work sheet'!$K$2:U664,11,0)="526"),"BTO",""),"")</f>
        <v/>
      </c>
      <c r="V42" s="165"/>
      <c r="W42" s="167" t="str">
        <f>IF(COUNTIF('[1]OB Connect'!$F$13:$F$364,N42),"On Openbatch", "No")</f>
        <v>No</v>
      </c>
      <c r="X42" s="166" t="e">
        <f>X40</f>
        <v>#REF!</v>
      </c>
      <c r="Y42" s="274" t="e">
        <f>E42+G42+Y40</f>
        <v>#REF!</v>
      </c>
      <c r="Z42" s="165" t="e">
        <f>IF(Y42&lt;=12,"Shift 1",IF(AND(Y42&gt;12,Y42&lt;=24),"Shift 2",IF(AND(Y42&gt;24,Y42&lt;=36),"Shift 3",IF(AND(Y42&gt;36,Y42&lt;=48),"Shift 4",IF(AND(Y42&gt;48,Y42&lt;=60),"Shift 5",IF(AND(Y42&gt;60,Y42&lt;=72),"Shift 6",IF(AND(Y42&gt;72,Y42&lt;=84),"Shift 7",IF(AND(Y42&gt;84,Y42&lt;=96),IF(AND(Y42&gt;84,Y42&lt;=96),"Shift 8",),"Shift 9"))))))))</f>
        <v>#REF!</v>
      </c>
    </row>
    <row r="43" spans="1:147" ht="13" x14ac:dyDescent="0.25">
      <c r="B43" s="116">
        <f>D42</f>
        <v>44144.482850613153</v>
      </c>
      <c r="C43" s="220">
        <f>D42</f>
        <v>44144.482850613153</v>
      </c>
      <c r="D43" s="220">
        <f>(E43/24)+C43+(G43/24)</f>
        <v>44144.680225613156</v>
      </c>
      <c r="E43" s="219">
        <f>INDEX('[1]Work sheet'!$G$2:$G$240,MATCH(I43,'[1]Work sheet'!$K$2:$K$240,0))+IFERROR(IF(FIND("WASH",J42,1)&gt;0,0,0.267),0.167)</f>
        <v>1.9870000000000001</v>
      </c>
      <c r="F43" s="218">
        <f>IFERROR(MROUND((L43/((INDEX('[1]Work sheet'!$G$2:$G$239,MATCH(I43,'[1]Work sheet'!$K$2:$K$239,0))*0.68)*60)),0.5),"")</f>
        <v>4</v>
      </c>
      <c r="G43" s="217">
        <v>2.75</v>
      </c>
      <c r="H43" s="175">
        <f>LEN(J43)-LEN(SUBSTITUTE(J43,",",""))</f>
        <v>0</v>
      </c>
      <c r="I43" s="175">
        <f>'[1]Work sheet'!K41</f>
        <v>1380758</v>
      </c>
      <c r="J43" s="174" t="str">
        <f>VLOOKUP(I43,'[1]Work sheet'!$K$2:L663,2,0)</f>
        <v>FP/V-344.10/FP/N/V-409.00 P1F 4UN CTN 1B</v>
      </c>
      <c r="K43" s="173">
        <f>VLOOKUP(I43,'[1]Work sheet'!$K$2:O780,3,0)</f>
        <v>297</v>
      </c>
      <c r="L43" s="173">
        <f>VLOOKUP(I43,'[1]Work sheet'!$K$2:O1175,4,0)</f>
        <v>297</v>
      </c>
      <c r="M43" s="171" t="str">
        <f>VLOOKUP(I43,'[1]Work sheet'!$K$2:T1484,10,0)</f>
        <v>TSO</v>
      </c>
      <c r="N43" s="172" t="str">
        <f>IFERROR(VLOOKUP(I43,'[1]PO Numbers'!$R$2:S240,2,0),"TBC")</f>
        <v>106991034</v>
      </c>
      <c r="O43" s="171" t="str">
        <f>IFERROR(VLOOKUP(VALUE(N43),'[1]PO Numbers'!$F$1:$J$400,5,0),"xxx")</f>
        <v>PI01</v>
      </c>
      <c r="P43" s="83" t="str">
        <f>VLOOKUP(I43,'[1]Work sheet'!$K$2:AA1100,13,0)</f>
        <v/>
      </c>
      <c r="Q43" s="170">
        <f>VLOOKUP(I43,'[1]Work sheet'!$K$2:AI780,16,0)</f>
        <v>16</v>
      </c>
      <c r="R43" s="168" t="str">
        <f>VLOOKUP(I43,'[1]Work sheet'!$K$2:AA460,17,0)</f>
        <v>15-16Kgs TSO</v>
      </c>
      <c r="S43" s="169" t="str">
        <f>VLOOKUP(I43,'[1]Work sheet'!$K$2:AL343,28,0)</f>
        <v/>
      </c>
      <c r="T43" s="168" t="str">
        <f>IFERROR(VLOOKUP(I43,[1]Label!$A$1:C1020,3,0),"")</f>
        <v/>
      </c>
      <c r="U43" s="165" t="str">
        <f>IFERROR(IF(OR(VLOOKUP(I43,'[1]Work sheet'!$K$2:U665,11,0)="530",VLOOKUP(I43,'[1]Work sheet'!$K$2:U665,11,0)="526"),"BTO",""),"")</f>
        <v/>
      </c>
      <c r="V43" s="165"/>
      <c r="W43" s="167" t="str">
        <f>IF(COUNTIF('[1]OB Connect'!$F$13:$F$364,N43),"On Openbatch", "No")</f>
        <v>No</v>
      </c>
      <c r="X43" s="166" t="e">
        <f>X42</f>
        <v>#REF!</v>
      </c>
      <c r="Y43" s="274" t="e">
        <f>E43+G43+Y42</f>
        <v>#REF!</v>
      </c>
      <c r="Z43" s="165" t="e">
        <f>IF(Y43&lt;=12,"Shift 1",IF(AND(Y43&gt;12,Y43&lt;=24),"Shift 2",IF(AND(Y43&gt;24,Y43&lt;=36),"Shift 3",IF(AND(Y43&gt;36,Y43&lt;=48),"Shift 4",IF(AND(Y43&gt;48,Y43&lt;=60),"Shift 5",IF(AND(Y43&gt;60,Y43&lt;=72),"Shift 6",IF(AND(Y43&gt;72,Y43&lt;=84),"Shift 7",IF(AND(Y43&gt;84,Y43&lt;=96),IF(AND(Y43&gt;84,Y43&lt;=96),"Shift 8",),"Shift 9"))))))))</f>
        <v>#REF!</v>
      </c>
    </row>
    <row r="44" spans="1:147" ht="13" x14ac:dyDescent="0.25">
      <c r="B44" s="116">
        <f>D43</f>
        <v>44144.680225613156</v>
      </c>
      <c r="C44" s="220">
        <f>D43</f>
        <v>44144.680225613156</v>
      </c>
      <c r="D44" s="220">
        <f>(E44/24)+C44+(G44/24)</f>
        <v>44144.691142279822</v>
      </c>
      <c r="E44" s="219">
        <f>INDEX('[1]Work sheet'!$G$2:$G$240,MATCH(I44,'[1]Work sheet'!$K$2:$K$240,0))+IFERROR(IF(FIND("WASH",J43,1)&gt;0,0,0.267),0.167)</f>
        <v>0.26200000000000001</v>
      </c>
      <c r="F44" s="218">
        <f>IFERROR(MROUND((L44/((INDEX('[1]Work sheet'!$G$2:$G$239,MATCH(I44,'[1]Work sheet'!$K$2:$K$239,0))*0.68)*60)),0.5),"")</f>
        <v>7</v>
      </c>
      <c r="G44" s="217"/>
      <c r="H44" s="175">
        <f>LEN(J44)-LEN(SUBSTITUTE(J44,",",""))</f>
        <v>0</v>
      </c>
      <c r="I44" s="175">
        <f>'[1]Work sheet'!K42</f>
        <v>2100052</v>
      </c>
      <c r="J44" s="174" t="str">
        <f>VLOOKUP(I44,'[1]Work sheet'!$K$2:L664,2,0)</f>
        <v>RA/D-16.60 P1M 10UN CTN 1BAG</v>
      </c>
      <c r="K44" s="173">
        <f>VLOOKUP(I44,'[1]Work sheet'!$K$2:O781,3,0)</f>
        <v>27</v>
      </c>
      <c r="L44" s="173">
        <f>VLOOKUP(I44,'[1]Work sheet'!$K$2:O1176,4,0)</f>
        <v>27</v>
      </c>
      <c r="M44" s="171" t="str">
        <f>VLOOKUP(I44,'[1]Work sheet'!$K$2:T1485,10,0)</f>
        <v>TSO/656</v>
      </c>
      <c r="N44" s="172" t="str">
        <f>IFERROR(VLOOKUP(I44,'[1]PO Numbers'!$R$2:S241,2,0),"TBC")</f>
        <v>106991013</v>
      </c>
      <c r="O44" s="171" t="str">
        <f>IFERROR(VLOOKUP(VALUE(N44),'[1]PO Numbers'!$F$1:$J$400,5,0),"xxx")</f>
        <v>PI01</v>
      </c>
      <c r="P44" s="83" t="str">
        <f>VLOOKUP(I44,'[1]Work sheet'!$K$2:AA1101,13,0)</f>
        <v/>
      </c>
      <c r="Q44" s="170">
        <f>VLOOKUP(I44,'[1]Work sheet'!$K$2:AI781,16,0)</f>
        <v>9.92</v>
      </c>
      <c r="R44" s="168" t="str">
        <f>VLOOKUP(I44,'[1]Work sheet'!$K$2:AA461,17,0)</f>
        <v>4-5Kgs TSO, 4-5Kgs 656</v>
      </c>
      <c r="S44" s="169" t="str">
        <f>VLOOKUP(I44,'[1]Work sheet'!$K$2:AL344,28,0)</f>
        <v/>
      </c>
      <c r="T44" s="168" t="str">
        <f>IFERROR(VLOOKUP(I44,[1]Label!$A$1:C1021,3,0),"")</f>
        <v/>
      </c>
      <c r="U44" s="165" t="str">
        <f>IFERROR(IF(OR(VLOOKUP(I44,'[1]Work sheet'!$K$2:U666,11,0)="530",VLOOKUP(I44,'[1]Work sheet'!$K$2:U666,11,0)="526"),"BTO",""),"")</f>
        <v/>
      </c>
      <c r="V44" s="165"/>
      <c r="W44" s="167" t="str">
        <f>IF(COUNTIF('[1]OB Connect'!$F$13:$F$364,N44),"On Openbatch", "No")</f>
        <v>No</v>
      </c>
      <c r="X44" s="166" t="e">
        <f>X43</f>
        <v>#REF!</v>
      </c>
      <c r="Y44" s="274" t="e">
        <f>E44+G44+Y43</f>
        <v>#REF!</v>
      </c>
      <c r="Z44" s="165" t="e">
        <f>IF(Y44&lt;=12,"Shift 1",IF(AND(Y44&gt;12,Y44&lt;=24),"Shift 2",IF(AND(Y44&gt;24,Y44&lt;=36),"Shift 3",IF(AND(Y44&gt;36,Y44&lt;=48),"Shift 4",IF(AND(Y44&gt;48,Y44&lt;=60),"Shift 5",IF(AND(Y44&gt;60,Y44&lt;=72),"Shift 6",IF(AND(Y44&gt;72,Y44&lt;=84),"Shift 7",IF(AND(Y44&gt;84,Y44&lt;=96),IF(AND(Y44&gt;84,Y44&lt;=96),"Shift 8",),"Shift 9"))))))))</f>
        <v>#REF!</v>
      </c>
    </row>
    <row r="45" spans="1:147" s="58" customFormat="1" ht="13" x14ac:dyDescent="0.25">
      <c r="A45" s="118"/>
      <c r="B45" s="126">
        <f>D44</f>
        <v>44144.691142279822</v>
      </c>
      <c r="C45" s="125">
        <f>D44</f>
        <v>44144.691142279822</v>
      </c>
      <c r="D45" s="125">
        <f>(E45/24)+C45+(G45/24)</f>
        <v>44144.699475613153</v>
      </c>
      <c r="E45" s="124">
        <v>0.2</v>
      </c>
      <c r="F45" s="124"/>
      <c r="G45" s="123"/>
      <c r="H45" s="119"/>
      <c r="I45" s="122"/>
      <c r="J45" s="118" t="s">
        <v>12</v>
      </c>
      <c r="K45" s="121"/>
      <c r="L45" s="120"/>
      <c r="M45" s="118"/>
      <c r="N45" s="118"/>
      <c r="O45" s="118"/>
      <c r="P45" s="117"/>
      <c r="Q45" s="119"/>
      <c r="R45" s="118"/>
      <c r="S45" s="117"/>
      <c r="T45" s="117"/>
      <c r="U45" s="23"/>
      <c r="V45" s="21"/>
      <c r="W45" s="22"/>
      <c r="X45" s="22"/>
      <c r="Y45" s="21"/>
      <c r="Z45" s="20"/>
      <c r="AA45" s="60"/>
      <c r="AB45" s="60"/>
      <c r="AC45" s="60"/>
      <c r="AD45" s="60"/>
      <c r="AE45" s="60"/>
      <c r="AF45" s="60"/>
      <c r="AG45" s="60"/>
      <c r="AH45" s="60"/>
      <c r="AI45" s="60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F45" s="59"/>
      <c r="CG45" s="59"/>
      <c r="CH45" s="59"/>
      <c r="CI45" s="59"/>
      <c r="CJ45" s="59"/>
      <c r="CK45" s="59"/>
      <c r="CL45" s="59"/>
      <c r="CM45" s="59"/>
      <c r="CN45" s="59"/>
      <c r="CO45" s="59"/>
      <c r="CP45" s="59"/>
      <c r="CQ45" s="59"/>
      <c r="CR45" s="59"/>
      <c r="CS45" s="59"/>
      <c r="CT45" s="59"/>
      <c r="CU45" s="59"/>
      <c r="CV45" s="59"/>
      <c r="CW45" s="59"/>
      <c r="CX45" s="59"/>
      <c r="CY45" s="59"/>
      <c r="CZ45" s="59"/>
      <c r="DA45" s="59"/>
      <c r="DB45" s="59"/>
      <c r="DC45" s="59"/>
      <c r="DD45" s="59"/>
      <c r="DE45" s="59"/>
      <c r="DF45" s="59"/>
      <c r="DG45" s="59"/>
      <c r="DH45" s="59"/>
      <c r="DI45" s="59"/>
      <c r="DJ45" s="59"/>
      <c r="DK45" s="59"/>
      <c r="DL45" s="59"/>
      <c r="DM45" s="59"/>
      <c r="DN45" s="59"/>
      <c r="DO45" s="59"/>
      <c r="DP45" s="59"/>
      <c r="DQ45" s="59"/>
      <c r="DR45" s="59"/>
      <c r="DS45" s="59"/>
      <c r="DT45" s="59"/>
      <c r="DU45" s="59"/>
      <c r="DV45" s="59"/>
      <c r="DW45" s="59"/>
      <c r="DX45" s="59"/>
      <c r="DY45" s="59"/>
      <c r="DZ45" s="59"/>
      <c r="EA45" s="59"/>
      <c r="EB45" s="59"/>
      <c r="EC45" s="59"/>
      <c r="ED45" s="59"/>
      <c r="EE45" s="59"/>
      <c r="EF45" s="59"/>
      <c r="EG45" s="59"/>
      <c r="EH45" s="59"/>
      <c r="EI45" s="59"/>
      <c r="EJ45" s="59"/>
      <c r="EK45" s="59"/>
      <c r="EL45" s="59"/>
      <c r="EM45" s="59"/>
      <c r="EN45" s="59"/>
      <c r="EO45" s="59"/>
      <c r="EP45" s="59"/>
      <c r="EQ45" s="59"/>
    </row>
    <row r="46" spans="1:147" ht="13" x14ac:dyDescent="0.25">
      <c r="B46" s="116">
        <f>D45</f>
        <v>44144.699475613153</v>
      </c>
      <c r="C46" s="220">
        <f>D45</f>
        <v>44144.699475613153</v>
      </c>
      <c r="D46" s="220">
        <f>(E46/24)+C46+(G46/24)</f>
        <v>44144.71618394649</v>
      </c>
      <c r="E46" s="219">
        <f>INDEX('[1]Work sheet'!$G$2:$G$240,MATCH(I46,'[1]Work sheet'!$K$2:$K$240,0))+IFERROR(IF(FIND("WASH",J44,1)&gt;0,0,0.267),0.167)</f>
        <v>0.40100000000000002</v>
      </c>
      <c r="F46" s="218">
        <f>IFERROR(MROUND((L46/((INDEX('[1]Work sheet'!$G$2:$G$239,MATCH(I46,'[1]Work sheet'!$K$2:$K$239,0))*0.68)*60)),0.5),"")</f>
        <v>8.5</v>
      </c>
      <c r="G46" s="217"/>
      <c r="H46" s="175">
        <f>LEN(J46)-LEN(SUBSTITUTE(J46,",",""))</f>
        <v>0</v>
      </c>
      <c r="I46" s="175">
        <f>'[1]Work sheet'!K43</f>
        <v>1964690</v>
      </c>
      <c r="J46" s="174" t="str">
        <f>VLOOKUP(I46,'[1]Work sheet'!$K$2:L665,2,0)</f>
        <v>PE/B-495.00 P1A 6UN CTN 1 BAG</v>
      </c>
      <c r="K46" s="173">
        <f>VLOOKUP(I46,'[1]Work sheet'!$K$2:O782,3,0)</f>
        <v>81</v>
      </c>
      <c r="L46" s="173">
        <f>VLOOKUP(I46,'[1]Work sheet'!$K$2:O1177,4,0)</f>
        <v>81</v>
      </c>
      <c r="M46" s="171">
        <f>VLOOKUP(I46,'[1]Work sheet'!$K$2:T1486,10,0)</f>
        <v>656</v>
      </c>
      <c r="N46" s="172" t="str">
        <f>IFERROR(VLOOKUP(I46,'[1]PO Numbers'!$R$2:S242,2,0),"TBC")</f>
        <v>106991020</v>
      </c>
      <c r="O46" s="171" t="str">
        <f>IFERROR(VLOOKUP(VALUE(N46),'[1]PO Numbers'!$F$1:$J$400,5,0),"xxx")</f>
        <v>PI01</v>
      </c>
      <c r="P46" s="83" t="str">
        <f>VLOOKUP(I46,'[1]Work sheet'!$K$2:AA1102,13,0)</f>
        <v/>
      </c>
      <c r="Q46" s="170">
        <f>VLOOKUP(I46,'[1]Work sheet'!$K$2:AI782,16,0)</f>
        <v>5.3310000000000004</v>
      </c>
      <c r="R46" s="168" t="str">
        <f>VLOOKUP(I46,'[1]Work sheet'!$K$2:AA462,17,0)</f>
        <v>5-6Kgs 656</v>
      </c>
      <c r="S46" s="169" t="str">
        <f>VLOOKUP(I46,'[1]Work sheet'!$K$2:AL345,28,0)</f>
        <v/>
      </c>
      <c r="T46" s="168" t="str">
        <f>IFERROR(VLOOKUP(I46,[1]Label!$A$1:C1022,3,0),"")</f>
        <v/>
      </c>
      <c r="U46" s="165" t="str">
        <f>IFERROR(IF(OR(VLOOKUP(I46,'[1]Work sheet'!$K$2:U667,11,0)="530",VLOOKUP(I46,'[1]Work sheet'!$K$2:U667,11,0)="526"),"BTO",""),"")</f>
        <v/>
      </c>
      <c r="V46" s="165"/>
      <c r="W46" s="167" t="str">
        <f>IF(COUNTIF('[1]OB Connect'!$F$13:$F$364,N46),"On Openbatch", "No")</f>
        <v>No</v>
      </c>
      <c r="X46" s="166" t="e">
        <f>X44</f>
        <v>#REF!</v>
      </c>
      <c r="Y46" s="274" t="e">
        <f>E46+G46+Y44</f>
        <v>#REF!</v>
      </c>
      <c r="Z46" s="165" t="e">
        <f>IF(Y46&lt;=12,"Shift 1",IF(AND(Y46&gt;12,Y46&lt;=24),"Shift 2",IF(AND(Y46&gt;24,Y46&lt;=36),"Shift 3",IF(AND(Y46&gt;36,Y46&lt;=48),"Shift 4",IF(AND(Y46&gt;48,Y46&lt;=60),"Shift 5",IF(AND(Y46&gt;60,Y46&lt;=72),"Shift 6",IF(AND(Y46&gt;72,Y46&lt;=84),"Shift 7",IF(AND(Y46&gt;84,Y46&lt;=96),IF(AND(Y46&gt;84,Y46&lt;=96),"Shift 8",),"Shift 9"))))))))</f>
        <v>#REF!</v>
      </c>
    </row>
    <row r="47" spans="1:147" ht="13" x14ac:dyDescent="0.25">
      <c r="B47" s="116">
        <f>D46</f>
        <v>44144.71618394649</v>
      </c>
      <c r="C47" s="220">
        <f>D46</f>
        <v>44144.71618394649</v>
      </c>
      <c r="D47" s="220">
        <f>(E47/24)+C47+(G47/24)</f>
        <v>44144.746767279823</v>
      </c>
      <c r="E47" s="219">
        <f>INDEX('[1]Work sheet'!$G$2:$G$240,MATCH(I47,'[1]Work sheet'!$K$2:$K$240,0))+IFERROR(IF(FIND("WASH",J46,1)&gt;0,0,0.267),0.167)</f>
        <v>0.73399999999999999</v>
      </c>
      <c r="F47" s="218">
        <f>IFERROR(MROUND((L47/((INDEX('[1]Work sheet'!$G$2:$G$239,MATCH(I47,'[1]Work sheet'!$K$2:$K$239,0))*0.68)*60)),0.5),"")</f>
        <v>3.5</v>
      </c>
      <c r="G47" s="217"/>
      <c r="H47" s="175">
        <f>LEN(J47)-LEN(SUBSTITUTE(J47,",",""))</f>
        <v>0</v>
      </c>
      <c r="I47" s="175">
        <f>'[1]Work sheet'!K44</f>
        <v>1432647</v>
      </c>
      <c r="J47" s="174" t="str">
        <f>VLOOKUP(I47,'[1]Work sheet'!$K$2:L666,2,0)</f>
        <v>TE/LE/D-124.50 P1 4UN CTN 1 BAG</v>
      </c>
      <c r="K47" s="173">
        <f>VLOOKUP(I47,'[1]Work sheet'!$K$2:O783,3,0)</f>
        <v>81</v>
      </c>
      <c r="L47" s="173">
        <f>VLOOKUP(I47,'[1]Work sheet'!$K$2:O1178,4,0)</f>
        <v>81</v>
      </c>
      <c r="M47" s="171" t="str">
        <f>VLOOKUP(I47,'[1]Work sheet'!$K$2:T1487,10,0)</f>
        <v>ASC/656</v>
      </c>
      <c r="N47" s="172" t="str">
        <f>IFERROR(VLOOKUP(I47,'[1]PO Numbers'!$R$2:S243,2,0),"TBC")</f>
        <v>106991032</v>
      </c>
      <c r="O47" s="171" t="str">
        <f>IFERROR(VLOOKUP(VALUE(N47),'[1]PO Numbers'!$F$1:$J$400,5,0),"xxx")</f>
        <v>PI01</v>
      </c>
      <c r="P47" s="83" t="str">
        <f>VLOOKUP(I47,'[1]Work sheet'!$K$2:AA1103,13,0)</f>
        <v/>
      </c>
      <c r="Q47" s="170">
        <f>VLOOKUP(I47,'[1]Work sheet'!$K$2:AI783,16,0)</f>
        <v>16.88</v>
      </c>
      <c r="R47" s="168" t="str">
        <f>VLOOKUP(I47,'[1]Work sheet'!$K$2:AA463,17,0)</f>
        <v>14-15Kgs 656, 1-2Kgs ASC</v>
      </c>
      <c r="S47" s="169" t="str">
        <f>VLOOKUP(I47,'[1]Work sheet'!$K$2:AL346,28,0)</f>
        <v/>
      </c>
      <c r="T47" s="168" t="str">
        <f>IFERROR(VLOOKUP(I47,[1]Label!$A$1:C1023,3,0),"")</f>
        <v/>
      </c>
      <c r="U47" s="165" t="str">
        <f>IFERROR(IF(OR(VLOOKUP(I47,'[1]Work sheet'!$K$2:U668,11,0)="530",VLOOKUP(I47,'[1]Work sheet'!$K$2:U668,11,0)="526"),"BTO",""),"")</f>
        <v/>
      </c>
      <c r="V47" s="165"/>
      <c r="W47" s="167" t="str">
        <f>IF(COUNTIF('[1]OB Connect'!$F$13:$F$364,N47),"On Openbatch", "No")</f>
        <v>No</v>
      </c>
      <c r="X47" s="166" t="e">
        <f>X46</f>
        <v>#REF!</v>
      </c>
      <c r="Y47" s="274" t="e">
        <f>E47+G47+Y46</f>
        <v>#REF!</v>
      </c>
      <c r="Z47" s="165" t="e">
        <f>IF(Y47&lt;=12,"Shift 1",IF(AND(Y47&gt;12,Y47&lt;=24),"Shift 2",IF(AND(Y47&gt;24,Y47&lt;=36),"Shift 3",IF(AND(Y47&gt;36,Y47&lt;=48),"Shift 4",IF(AND(Y47&gt;48,Y47&lt;=60),"Shift 5",IF(AND(Y47&gt;60,Y47&lt;=72),"Shift 6",IF(AND(Y47&gt;72,Y47&lt;=84),"Shift 7",IF(AND(Y47&gt;84,Y47&lt;=96),IF(AND(Y47&gt;84,Y47&lt;=96),"Shift 8",),"Shift 9"))))))))</f>
        <v>#REF!</v>
      </c>
    </row>
    <row r="48" spans="1:147" ht="25" x14ac:dyDescent="0.25">
      <c r="B48" s="116">
        <f>D47</f>
        <v>44144.746767279823</v>
      </c>
      <c r="C48" s="220">
        <f>D47</f>
        <v>44144.746767279823</v>
      </c>
      <c r="D48" s="220">
        <f>(E48/24)+C48+(G48/24)</f>
        <v>44144.826725613158</v>
      </c>
      <c r="E48" s="219">
        <f>INDEX('[1]Work sheet'!$G$2:$G$240,MATCH(I48,'[1]Work sheet'!$K$2:$K$240,0))+IFERROR(IF(FIND("WASH",J47,1)&gt;0,0,0.267),0.167)</f>
        <v>1.919</v>
      </c>
      <c r="F48" s="218">
        <f>IFERROR(MROUND((L48/((INDEX('[1]Work sheet'!$G$2:$G$239,MATCH(I48,'[1]Work sheet'!$K$2:$K$239,0))*0.68)*60)),0.5),"")</f>
        <v>7.5</v>
      </c>
      <c r="G48" s="217"/>
      <c r="H48" s="175">
        <f>LEN(J48)-LEN(SUBSTITUTE(J48,",",""))</f>
        <v>2</v>
      </c>
      <c r="I48" s="175">
        <f>'[1]Work sheet'!K45</f>
        <v>1875638</v>
      </c>
      <c r="J48" s="174" t="str">
        <f>VLOOKUP(I48,'[1]Work sheet'!$K$2:L667,2,0)</f>
        <v>OR/B-1643.001 P1D,1B,3 5UN CTN 1BAG</v>
      </c>
      <c r="K48" s="173">
        <f>VLOOKUP(I48,'[1]Work sheet'!$K$2:O784,3,0)</f>
        <v>536</v>
      </c>
      <c r="L48" s="173">
        <f>VLOOKUP(I48,'[1]Work sheet'!$K$2:O1179,4,0)</f>
        <v>536</v>
      </c>
      <c r="M48" s="171" t="str">
        <f>VLOOKUP(I48,'[1]Work sheet'!$K$2:T1488,10,0)</f>
        <v>ASC/TSO/656</v>
      </c>
      <c r="N48" s="172" t="str">
        <f>IFERROR(VLOOKUP(I48,'[1]PO Numbers'!$R$2:S244,2,0),"TBC")</f>
        <v>106990990</v>
      </c>
      <c r="O48" s="171" t="str">
        <f>IFERROR(VLOOKUP(VALUE(N48),'[1]PO Numbers'!$F$1:$J$400,5,0),"xxx")</f>
        <v>PI01</v>
      </c>
      <c r="P48" s="83" t="str">
        <f>VLOOKUP(I48,'[1]Work sheet'!$K$2:AA1104,13,0)</f>
        <v>1 of 1875636 (811), 1 of 1875635 (616/6171)</v>
      </c>
      <c r="Q48" s="170">
        <f>VLOOKUP(I48,'[1]Work sheet'!$K$2:AI784,16,0)</f>
        <v>4.7030000000000003</v>
      </c>
      <c r="R48" s="168" t="str">
        <f>VLOOKUP(I48,'[1]Work sheet'!$K$2:AA464,17,0)</f>
        <v>2-3Kgs 656, 1-2Kgs TSO, 0-1Kgs ASC</v>
      </c>
      <c r="S48" s="169" t="str">
        <f>VLOOKUP(I48,'[1]Work sheet'!$K$2:AL347,28,0)</f>
        <v/>
      </c>
      <c r="T48" s="168" t="str">
        <f>IFERROR(VLOOKUP(I48,[1]Label!$A$1:C1024,3,0),"")</f>
        <v/>
      </c>
      <c r="U48" s="165" t="str">
        <f>IFERROR(IF(OR(VLOOKUP(I48,'[1]Work sheet'!$K$2:U669,11,0)="530",VLOOKUP(I48,'[1]Work sheet'!$K$2:U669,11,0)="526"),"BTO",""),"")</f>
        <v/>
      </c>
      <c r="V48" s="165"/>
      <c r="W48" s="167" t="str">
        <f>IF(COUNTIF('[1]OB Connect'!$F$13:$F$364,N48),"On Openbatch", "No")</f>
        <v>No</v>
      </c>
      <c r="X48" s="166" t="e">
        <f>X47</f>
        <v>#REF!</v>
      </c>
      <c r="Y48" s="274" t="e">
        <f>E48+G48+Y47</f>
        <v>#REF!</v>
      </c>
      <c r="Z48" s="165" t="e">
        <f>IF(Y48&lt;=12,"Shift 1",IF(AND(Y48&gt;12,Y48&lt;=24),"Shift 2",IF(AND(Y48&gt;24,Y48&lt;=36),"Shift 3",IF(AND(Y48&gt;36,Y48&lt;=48),"Shift 4",IF(AND(Y48&gt;48,Y48&lt;=60),"Shift 5",IF(AND(Y48&gt;60,Y48&lt;=72),"Shift 6",IF(AND(Y48&gt;72,Y48&lt;=84),"Shift 7",IF(AND(Y48&gt;84,Y48&lt;=96),IF(AND(Y48&gt;84,Y48&lt;=96),"Shift 8",),"Shift 9"))))))))</f>
        <v>#REF!</v>
      </c>
    </row>
    <row r="49" spans="1:147" ht="25" x14ac:dyDescent="0.25">
      <c r="B49" s="116">
        <f>D48</f>
        <v>44144.826725613158</v>
      </c>
      <c r="C49" s="220">
        <f>D48</f>
        <v>44144.826725613158</v>
      </c>
      <c r="D49" s="220">
        <f>(E49/24)+C49+(G49/24)</f>
        <v>44144.874142279827</v>
      </c>
      <c r="E49" s="219">
        <f>INDEX('[1]Work sheet'!$G$2:$G$240,MATCH(I49,'[1]Work sheet'!$K$2:$K$240,0))+IFERROR(IF(FIND("WASH",J48,1)&gt;0,0,0.267),0.167)</f>
        <v>1.1379999999999999</v>
      </c>
      <c r="F49" s="218">
        <f>IFERROR(MROUND((L49/((INDEX('[1]Work sheet'!$G$2:$G$239,MATCH(I49,'[1]Work sheet'!$K$2:$K$239,0))*0.68)*60)),0.5),"")</f>
        <v>7.5</v>
      </c>
      <c r="G49" s="217"/>
      <c r="H49" s="175">
        <f>LEN(J49)-LEN(SUBSTITUTE(J49,",",""))</f>
        <v>0</v>
      </c>
      <c r="I49" s="175">
        <f>'[1]Work sheet'!K46</f>
        <v>1793956</v>
      </c>
      <c r="J49" s="174" t="str">
        <f>VLOOKUP(I49,'[1]Work sheet'!$K$2:L668,2,0)</f>
        <v>TE/LE/D-124.60 P1K 2UN CTN 1 BAG</v>
      </c>
      <c r="K49" s="173">
        <f>VLOOKUP(I49,'[1]Work sheet'!$K$2:O785,3,0)</f>
        <v>297</v>
      </c>
      <c r="L49" s="173">
        <f>VLOOKUP(I49,'[1]Work sheet'!$K$2:O1180,4,0)</f>
        <v>297</v>
      </c>
      <c r="M49" s="171" t="str">
        <f>VLOOKUP(I49,'[1]Work sheet'!$K$2:T1489,10,0)</f>
        <v>ASC/TSO/656</v>
      </c>
      <c r="N49" s="172" t="str">
        <f>IFERROR(VLOOKUP(I49,'[1]PO Numbers'!$R$2:S245,2,0),"TBC")</f>
        <v>106990988</v>
      </c>
      <c r="O49" s="171" t="str">
        <f>IFERROR(VLOOKUP(VALUE(N49),'[1]PO Numbers'!$F$1:$J$400,5,0),"xxx")</f>
        <v>PI01</v>
      </c>
      <c r="P49" s="83" t="str">
        <f>VLOOKUP(I49,'[1]Work sheet'!$K$2:AA1105,13,0)</f>
        <v/>
      </c>
      <c r="Q49" s="170">
        <f>VLOOKUP(I49,'[1]Work sheet'!$K$2:AI785,16,0)</f>
        <v>10.69</v>
      </c>
      <c r="R49" s="168" t="str">
        <f>VLOOKUP(I49,'[1]Work sheet'!$K$2:AA465,17,0)</f>
        <v>7-8Kgs 656, 2-3Kgs TSO, 0-1Kgs ASC</v>
      </c>
      <c r="S49" s="169" t="str">
        <f>VLOOKUP(I49,'[1]Work sheet'!$K$2:AL348,28,0)</f>
        <v/>
      </c>
      <c r="T49" s="168" t="str">
        <f>IFERROR(VLOOKUP(I49,[1]Label!$A$1:C1025,3,0),"")</f>
        <v/>
      </c>
      <c r="U49" s="165" t="str">
        <f>IFERROR(IF(OR(VLOOKUP(I49,'[1]Work sheet'!$K$2:U670,11,0)="530",VLOOKUP(I49,'[1]Work sheet'!$K$2:U670,11,0)="526"),"BTO",""),"")</f>
        <v/>
      </c>
      <c r="V49" s="165"/>
      <c r="W49" s="167" t="str">
        <f>IF(COUNTIF('[1]OB Connect'!$F$13:$F$364,N49),"On Openbatch", "No")</f>
        <v>No</v>
      </c>
      <c r="X49" s="166" t="e">
        <f>X48</f>
        <v>#REF!</v>
      </c>
      <c r="Y49" s="274" t="e">
        <f>E49+G49+Y48</f>
        <v>#REF!</v>
      </c>
      <c r="Z49" s="165" t="e">
        <f>IF(Y49&lt;=12,"Shift 1",IF(AND(Y49&gt;12,Y49&lt;=24),"Shift 2",IF(AND(Y49&gt;24,Y49&lt;=36),"Shift 3",IF(AND(Y49&gt;36,Y49&lt;=48),"Shift 4",IF(AND(Y49&gt;48,Y49&lt;=60),"Shift 5",IF(AND(Y49&gt;60,Y49&lt;=72),"Shift 6",IF(AND(Y49&gt;72,Y49&lt;=84),"Shift 7",IF(AND(Y49&gt;84,Y49&lt;=96),IF(AND(Y49&gt;84,Y49&lt;=96),"Shift 8",),"Shift 9"))))))))</f>
        <v>#REF!</v>
      </c>
    </row>
    <row r="50" spans="1:147" s="58" customFormat="1" ht="13" x14ac:dyDescent="0.25">
      <c r="A50" s="118"/>
      <c r="B50" s="126">
        <f>D49</f>
        <v>44144.874142279827</v>
      </c>
      <c r="C50" s="125">
        <f>D49</f>
        <v>44144.874142279827</v>
      </c>
      <c r="D50" s="125">
        <f>(E50/24)+C50+(G50/24)</f>
        <v>44144.882475613158</v>
      </c>
      <c r="E50" s="124">
        <v>0.2</v>
      </c>
      <c r="F50" s="124"/>
      <c r="G50" s="123"/>
      <c r="H50" s="119"/>
      <c r="I50" s="122"/>
      <c r="J50" s="118" t="s">
        <v>12</v>
      </c>
      <c r="K50" s="121"/>
      <c r="L50" s="120"/>
      <c r="M50" s="118"/>
      <c r="N50" s="118"/>
      <c r="O50" s="118"/>
      <c r="P50" s="117"/>
      <c r="Q50" s="119"/>
      <c r="R50" s="118"/>
      <c r="S50" s="117"/>
      <c r="T50" s="117"/>
      <c r="U50" s="23"/>
      <c r="V50" s="21"/>
      <c r="W50" s="22"/>
      <c r="X50" s="22"/>
      <c r="Y50" s="21"/>
      <c r="Z50" s="20"/>
      <c r="AA50" s="60"/>
      <c r="AB50" s="60"/>
      <c r="AC50" s="60"/>
      <c r="AD50" s="60"/>
      <c r="AE50" s="60"/>
      <c r="AF50" s="60"/>
      <c r="AG50" s="60"/>
      <c r="AH50" s="60"/>
      <c r="AI50" s="60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  <c r="BW50" s="59"/>
      <c r="BX50" s="59"/>
      <c r="BY50" s="59"/>
      <c r="BZ50" s="59"/>
      <c r="CA50" s="59"/>
      <c r="CB50" s="59"/>
      <c r="CC50" s="59"/>
      <c r="CD50" s="59"/>
      <c r="CE50" s="59"/>
      <c r="CF50" s="59"/>
      <c r="CG50" s="59"/>
      <c r="CH50" s="59"/>
      <c r="CI50" s="59"/>
      <c r="CJ50" s="59"/>
      <c r="CK50" s="59"/>
      <c r="CL50" s="59"/>
      <c r="CM50" s="59"/>
      <c r="CN50" s="59"/>
      <c r="CO50" s="59"/>
      <c r="CP50" s="59"/>
      <c r="CQ50" s="59"/>
      <c r="CR50" s="59"/>
      <c r="CS50" s="59"/>
      <c r="CT50" s="59"/>
      <c r="CU50" s="59"/>
      <c r="CV50" s="59"/>
      <c r="CW50" s="59"/>
      <c r="CX50" s="59"/>
      <c r="CY50" s="59"/>
      <c r="CZ50" s="59"/>
      <c r="DA50" s="59"/>
      <c r="DB50" s="59"/>
      <c r="DC50" s="59"/>
      <c r="DD50" s="59"/>
      <c r="DE50" s="59"/>
      <c r="DF50" s="59"/>
      <c r="DG50" s="59"/>
      <c r="DH50" s="59"/>
      <c r="DI50" s="59"/>
      <c r="DJ50" s="59"/>
      <c r="DK50" s="59"/>
      <c r="DL50" s="59"/>
      <c r="DM50" s="59"/>
      <c r="DN50" s="59"/>
      <c r="DO50" s="59"/>
      <c r="DP50" s="59"/>
      <c r="DQ50" s="59"/>
      <c r="DR50" s="59"/>
      <c r="DS50" s="59"/>
      <c r="DT50" s="59"/>
      <c r="DU50" s="59"/>
      <c r="DV50" s="59"/>
      <c r="DW50" s="59"/>
      <c r="DX50" s="59"/>
      <c r="DY50" s="59"/>
      <c r="DZ50" s="59"/>
      <c r="EA50" s="59"/>
      <c r="EB50" s="59"/>
      <c r="EC50" s="59"/>
      <c r="ED50" s="59"/>
      <c r="EE50" s="59"/>
      <c r="EF50" s="59"/>
      <c r="EG50" s="59"/>
      <c r="EH50" s="59"/>
      <c r="EI50" s="59"/>
      <c r="EJ50" s="59"/>
      <c r="EK50" s="59"/>
      <c r="EL50" s="59"/>
      <c r="EM50" s="59"/>
      <c r="EN50" s="59"/>
      <c r="EO50" s="59"/>
      <c r="EP50" s="59"/>
      <c r="EQ50" s="59"/>
    </row>
    <row r="51" spans="1:147" s="194" customFormat="1" ht="26" x14ac:dyDescent="0.25">
      <c r="A51" s="282" t="s">
        <v>79</v>
      </c>
      <c r="B51" s="248">
        <f>D50</f>
        <v>44144.882475613158</v>
      </c>
      <c r="C51" s="247">
        <f>D50</f>
        <v>44144.882475613158</v>
      </c>
      <c r="D51" s="247">
        <f>(E51/24)+C51+(G51/24)</f>
        <v>44144.900475613154</v>
      </c>
      <c r="E51" s="246">
        <f>INDEX('[1]Work sheet'!$G$2:$G$240,MATCH(I51,'[1]Work sheet'!$K$2:$K$240,0))+IFERROR(IF(FIND("WASH",J49,1)&gt;0,0,0.267),0.167)</f>
        <v>0.43200000000000005</v>
      </c>
      <c r="F51" s="246">
        <f>IFERROR(MROUND((L51/((INDEX('[1]Work sheet'!$G$2:$G$239,MATCH(I51,'[1]Work sheet'!$K$2:$K$239,0))*0.68)*60)),0.5),"")</f>
        <v>7.5</v>
      </c>
      <c r="G51" s="245"/>
      <c r="H51" s="243">
        <f>LEN(J51)-LEN(SUBSTITUTE(J51,",",""))</f>
        <v>0</v>
      </c>
      <c r="I51" s="243">
        <f>'[1]Work sheet'!K47</f>
        <v>1958628</v>
      </c>
      <c r="J51" s="242" t="str">
        <f>VLOOKUP(I51,'[1]Work sheet'!$K$2:L669,2,0)</f>
        <v>TW/4-57.10 P1 0.5UN CTN 1 BAG</v>
      </c>
      <c r="K51" s="241">
        <f>VLOOKUP(I51,'[1]Work sheet'!$K$2:O786,3,0)</f>
        <v>81</v>
      </c>
      <c r="L51" s="241">
        <f>VLOOKUP(I51,'[1]Work sheet'!$K$2:O1181,4,0)</f>
        <v>81</v>
      </c>
      <c r="M51" s="240" t="str">
        <f>VLOOKUP(I51,'[1]Work sheet'!$K$2:T1490,10,0)</f>
        <v>CIT</v>
      </c>
      <c r="N51" s="240" t="str">
        <f>IFERROR(VLOOKUP(I51,'[1]PO Numbers'!$R$2:S246,2,0),"TBC")</f>
        <v>106972665</v>
      </c>
      <c r="O51" s="240" t="str">
        <f>IFERROR(VLOOKUP(VALUE(N51),'[1]PO Numbers'!$F$1:$J$400,5,0),"xxx")</f>
        <v>YPI5</v>
      </c>
      <c r="P51" s="236" t="str">
        <f>VLOOKUP(I51,'[1]Work sheet'!$K$2:AA1106,13,0)</f>
        <v/>
      </c>
      <c r="Q51" s="238">
        <f>VLOOKUP(I51,'[1]Work sheet'!$K$2:AI786,16,0)</f>
        <v>12.8</v>
      </c>
      <c r="R51" s="236" t="str">
        <f>VLOOKUP(I51,'[1]Work sheet'!$K$2:AA466,17,0)</f>
        <v>12-13Kgs CIT</v>
      </c>
      <c r="S51" s="299" t="s">
        <v>78</v>
      </c>
      <c r="T51" s="236" t="str">
        <f>IFERROR(VLOOKUP(I51,[1]Label!$A$1:C1026,3,0),"")</f>
        <v/>
      </c>
      <c r="U51" s="234" t="str">
        <f>IFERROR(IF(OR(VLOOKUP(I51,'[1]Work sheet'!$K$2:U671,11,0)="530",VLOOKUP(I51,'[1]Work sheet'!$K$2:U671,11,0)="526"),"BTO",""),"")</f>
        <v/>
      </c>
      <c r="V51" s="234"/>
      <c r="W51" s="240" t="str">
        <f>IF(COUNTIF('[1]OB Connect'!$F$13:$F$364,N51),"On Openbatch", "No")</f>
        <v>No</v>
      </c>
      <c r="X51" s="166" t="e">
        <f>X49</f>
        <v>#REF!</v>
      </c>
      <c r="Y51" s="298" t="e">
        <f>E51+G51+Y49</f>
        <v>#REF!</v>
      </c>
      <c r="Z51" s="166" t="e">
        <f>IF(Y51&lt;=12,"Shift 1",IF(AND(Y51&gt;12,Y51&lt;=24),"Shift 2",IF(AND(Y51&gt;24,Y51&lt;=36),"Shift 3",IF(AND(Y51&gt;36,Y51&lt;=48),"Shift 4",IF(AND(Y51&gt;48,Y51&lt;=60),"Shift 5",IF(AND(Y51&gt;60,Y51&lt;=72),"Shift 6",IF(AND(Y51&gt;72,Y51&lt;=84),"Shift 7",IF(AND(Y51&gt;84,Y51&lt;=96),IF(AND(Y51&gt;84,Y51&lt;=96),"Shift 8",),"Shift 9"))))))))</f>
        <v>#REF!</v>
      </c>
      <c r="AA51" s="196"/>
      <c r="AB51" s="196"/>
      <c r="AC51" s="196"/>
      <c r="AD51" s="196"/>
      <c r="AE51" s="196"/>
      <c r="AF51" s="196"/>
      <c r="AG51" s="196"/>
      <c r="AH51" s="196"/>
      <c r="AI51" s="196"/>
      <c r="AJ51" s="195"/>
      <c r="AK51" s="195"/>
      <c r="AL51" s="195"/>
      <c r="AM51" s="195"/>
      <c r="AN51" s="195"/>
      <c r="AO51" s="195"/>
      <c r="AP51" s="195"/>
      <c r="AQ51" s="195"/>
      <c r="AR51" s="195"/>
      <c r="AS51" s="195"/>
      <c r="AT51" s="195"/>
      <c r="AU51" s="195"/>
      <c r="AV51" s="195"/>
      <c r="AW51" s="195"/>
      <c r="AX51" s="195"/>
      <c r="AY51" s="195"/>
      <c r="AZ51" s="195"/>
      <c r="BA51" s="195"/>
      <c r="BB51" s="195"/>
      <c r="BC51" s="195"/>
      <c r="BD51" s="195"/>
      <c r="BE51" s="195"/>
      <c r="BF51" s="195"/>
      <c r="BG51" s="195"/>
      <c r="BH51" s="195"/>
      <c r="BI51" s="195"/>
      <c r="BJ51" s="195"/>
      <c r="BK51" s="195"/>
      <c r="BL51" s="195"/>
      <c r="BM51" s="195"/>
      <c r="BN51" s="195"/>
      <c r="BO51" s="195"/>
      <c r="BP51" s="195"/>
      <c r="BQ51" s="195"/>
      <c r="BR51" s="195"/>
      <c r="BS51" s="195"/>
      <c r="BT51" s="195"/>
      <c r="BU51" s="195"/>
      <c r="BV51" s="195"/>
      <c r="BW51" s="195"/>
      <c r="BX51" s="195"/>
      <c r="BY51" s="195"/>
      <c r="BZ51" s="195"/>
      <c r="CA51" s="195"/>
      <c r="CB51" s="195"/>
      <c r="CC51" s="195"/>
      <c r="CD51" s="195"/>
      <c r="CE51" s="195"/>
      <c r="CF51" s="195"/>
      <c r="CG51" s="195"/>
      <c r="CH51" s="195"/>
      <c r="CI51" s="195"/>
      <c r="CJ51" s="195"/>
      <c r="CK51" s="195"/>
      <c r="CL51" s="195"/>
      <c r="CM51" s="195"/>
      <c r="CN51" s="195"/>
      <c r="CO51" s="195"/>
      <c r="CP51" s="195"/>
      <c r="CQ51" s="195"/>
      <c r="CR51" s="195"/>
      <c r="CS51" s="195"/>
      <c r="CT51" s="195"/>
      <c r="CU51" s="195"/>
      <c r="CV51" s="195"/>
      <c r="CW51" s="195"/>
      <c r="CX51" s="195"/>
      <c r="CY51" s="195"/>
      <c r="CZ51" s="195"/>
      <c r="DA51" s="195"/>
      <c r="DB51" s="195"/>
      <c r="DC51" s="195"/>
      <c r="DD51" s="195"/>
      <c r="DE51" s="195"/>
      <c r="DF51" s="195"/>
      <c r="DG51" s="195"/>
      <c r="DH51" s="195"/>
      <c r="DI51" s="195"/>
      <c r="DJ51" s="195"/>
      <c r="DK51" s="195"/>
      <c r="DL51" s="195"/>
      <c r="DM51" s="195"/>
      <c r="DN51" s="195"/>
      <c r="DO51" s="195"/>
      <c r="DP51" s="195"/>
      <c r="DQ51" s="195"/>
      <c r="DR51" s="195"/>
      <c r="DS51" s="195"/>
      <c r="DT51" s="195"/>
      <c r="DU51" s="195"/>
      <c r="DV51" s="195"/>
      <c r="DW51" s="195"/>
      <c r="DX51" s="195"/>
      <c r="DY51" s="195"/>
      <c r="DZ51" s="195"/>
      <c r="EA51" s="195"/>
      <c r="EB51" s="195"/>
      <c r="EC51" s="195"/>
      <c r="ED51" s="195"/>
      <c r="EE51" s="195"/>
      <c r="EF51" s="195"/>
      <c r="EG51" s="195"/>
      <c r="EH51" s="195"/>
      <c r="EI51" s="195"/>
      <c r="EJ51" s="195"/>
      <c r="EK51" s="195"/>
      <c r="EL51" s="195"/>
      <c r="EM51" s="195"/>
      <c r="EN51" s="195"/>
      <c r="EO51" s="195"/>
      <c r="EP51" s="195"/>
      <c r="EQ51" s="195"/>
    </row>
    <row r="52" spans="1:147" ht="13" x14ac:dyDescent="0.25">
      <c r="B52" s="116">
        <f>D51</f>
        <v>44144.900475613154</v>
      </c>
      <c r="C52" s="220">
        <f>D51</f>
        <v>44144.900475613154</v>
      </c>
      <c r="D52" s="220">
        <f>(E52/24)+C52+(G52/24)</f>
        <v>44144.920392279819</v>
      </c>
      <c r="E52" s="219">
        <f>INDEX('[1]Work sheet'!$G$2:$G$240,MATCH(I52,'[1]Work sheet'!$K$2:$K$240,0))+IFERROR(IF(FIND("WASH",J49,1)&gt;0,0,0.267),0.167)</f>
        <v>0.47799999999999998</v>
      </c>
      <c r="F52" s="218">
        <f>IFERROR(MROUND((L52/((INDEX('[1]Work sheet'!$G$2:$G$239,MATCH(I52,'[1]Work sheet'!$K$2:$K$239,0))*0.68)*60)),0.5),"")</f>
        <v>8.5</v>
      </c>
      <c r="G52" s="217"/>
      <c r="H52" s="175">
        <f>LEN(J52)-LEN(SUBSTITUTE(J52,",",""))</f>
        <v>0</v>
      </c>
      <c r="I52" s="175">
        <f>'[1]Work sheet'!K48</f>
        <v>2037341</v>
      </c>
      <c r="J52" s="174" t="str">
        <f>VLOOKUP(I52,'[1]Work sheet'!$K$2:L669,2,0)</f>
        <v>FP/B-779.00 P1 10UN CTN 2 BAG</v>
      </c>
      <c r="K52" s="173">
        <f>VLOOKUP(I52,'[1]Work sheet'!$K$2:O786,3,0)</f>
        <v>54</v>
      </c>
      <c r="L52" s="173">
        <f>VLOOKUP(I52,'[1]Work sheet'!$K$2:O1181,4,0)</f>
        <v>108</v>
      </c>
      <c r="M52" s="171" t="str">
        <f>VLOOKUP(I52,'[1]Work sheet'!$K$2:T1490,10,0)</f>
        <v>CIT/656</v>
      </c>
      <c r="N52" s="172" t="str">
        <f>IFERROR(VLOOKUP(I52,'[1]PO Numbers'!$R$2:S246,2,0),"TBC")</f>
        <v>106991003</v>
      </c>
      <c r="O52" s="171" t="str">
        <f>IFERROR(VLOOKUP(VALUE(N52),'[1]PO Numbers'!$F$1:$J$400,5,0),"xxx")</f>
        <v>PI01</v>
      </c>
      <c r="P52" s="83" t="str">
        <f>VLOOKUP(I52,'[1]Work sheet'!$K$2:AA1106,13,0)</f>
        <v/>
      </c>
      <c r="Q52" s="170">
        <f>VLOOKUP(I52,'[1]Work sheet'!$K$2:AI786,16,0)</f>
        <v>9.9760000000000009</v>
      </c>
      <c r="R52" s="168" t="str">
        <f>VLOOKUP(I52,'[1]Work sheet'!$K$2:AA466,17,0)</f>
        <v>6-7Kgs 656, 3-4Kgs CIT</v>
      </c>
      <c r="S52" s="169" t="str">
        <f>VLOOKUP(I52,'[1]Work sheet'!$K$2:AL349,28,0)</f>
        <v/>
      </c>
      <c r="T52" s="168" t="str">
        <f>IFERROR(VLOOKUP(I52,[1]Label!$A$1:C1026,3,0),"")</f>
        <v/>
      </c>
      <c r="U52" s="165" t="str">
        <f>IFERROR(IF(OR(VLOOKUP(I52,'[1]Work sheet'!$K$2:U671,11,0)="530",VLOOKUP(I52,'[1]Work sheet'!$K$2:U671,11,0)="526"),"BTO",""),"")</f>
        <v/>
      </c>
      <c r="V52" s="165"/>
      <c r="W52" s="167" t="str">
        <f>IF(COUNTIF('[1]OB Connect'!$F$13:$F$364,N52),"On Openbatch", "No")</f>
        <v>No</v>
      </c>
      <c r="X52" s="166" t="e">
        <f>X49</f>
        <v>#REF!</v>
      </c>
      <c r="Y52" s="274" t="e">
        <f>E52+G52+Y49</f>
        <v>#REF!</v>
      </c>
      <c r="Z52" s="165" t="e">
        <f>IF(Y52&lt;=12,"Shift 1",IF(AND(Y52&gt;12,Y52&lt;=24),"Shift 2",IF(AND(Y52&gt;24,Y52&lt;=36),"Shift 3",IF(AND(Y52&gt;36,Y52&lt;=48),"Shift 4",IF(AND(Y52&gt;48,Y52&lt;=60),"Shift 5",IF(AND(Y52&gt;60,Y52&lt;=72),"Shift 6",IF(AND(Y52&gt;72,Y52&lt;=84),"Shift 7",IF(AND(Y52&gt;84,Y52&lt;=96),IF(AND(Y52&gt;84,Y52&lt;=96),"Shift 8",),"Shift 9"))))))))</f>
        <v>#REF!</v>
      </c>
    </row>
    <row r="53" spans="1:147" ht="13" x14ac:dyDescent="0.25">
      <c r="B53" s="116">
        <f>D52</f>
        <v>44144.920392279819</v>
      </c>
      <c r="C53" s="220">
        <f>D52</f>
        <v>44144.920392279819</v>
      </c>
      <c r="D53" s="220">
        <f>(E53/24)+C53+(G53/24)</f>
        <v>44145.069517279822</v>
      </c>
      <c r="E53" s="219">
        <f>INDEX('[1]Work sheet'!$G$2:$G$240,MATCH(I53,'[1]Work sheet'!$K$2:$K$240,0))+IFERROR(IF(FIND("WASH",J52,1)&gt;0,0,0.267),0.167)</f>
        <v>0.82900000000000007</v>
      </c>
      <c r="F53" s="218">
        <f>IFERROR(MROUND((L53/((INDEX('[1]Work sheet'!$G$2:$G$239,MATCH(I53,'[1]Work sheet'!$K$2:$K$239,0))*0.68)*60)),0.5),"")</f>
        <v>8</v>
      </c>
      <c r="G53" s="217">
        <v>2.75</v>
      </c>
      <c r="H53" s="175">
        <f>LEN(J53)-LEN(SUBSTITUTE(J53,",",""))</f>
        <v>0</v>
      </c>
      <c r="I53" s="175">
        <f>'[1]Work sheet'!K49</f>
        <v>1649523</v>
      </c>
      <c r="J53" s="174" t="str">
        <f>VLOOKUP(I53,'[1]Work sheet'!$K$2:L670,2,0)</f>
        <v>FP/B/Q-144.73 P1G 2UN CTN 1 BAG</v>
      </c>
      <c r="K53" s="173">
        <f>VLOOKUP(I53,'[1]Work sheet'!$K$2:O787,3,0)</f>
        <v>216</v>
      </c>
      <c r="L53" s="173">
        <f>VLOOKUP(I53,'[1]Work sheet'!$K$2:O1182,4,0)</f>
        <v>216</v>
      </c>
      <c r="M53" s="171" t="str">
        <f>VLOOKUP(I53,'[1]Work sheet'!$K$2:T1491,10,0)</f>
        <v>CIT/656</v>
      </c>
      <c r="N53" s="172" t="str">
        <f>IFERROR(VLOOKUP(I53,'[1]PO Numbers'!$R$2:S247,2,0),"TBC")</f>
        <v>106990982</v>
      </c>
      <c r="O53" s="171" t="str">
        <f>IFERROR(VLOOKUP(VALUE(N53),'[1]PO Numbers'!$F$1:$J$400,5,0),"xxx")</f>
        <v>PI01</v>
      </c>
      <c r="P53" s="83" t="str">
        <f>VLOOKUP(I53,'[1]Work sheet'!$K$2:AA1107,13,0)</f>
        <v/>
      </c>
      <c r="Q53" s="170">
        <f>VLOOKUP(I53,'[1]Work sheet'!$K$2:AI787,16,0)</f>
        <v>12.85</v>
      </c>
      <c r="R53" s="168" t="str">
        <f>VLOOKUP(I53,'[1]Work sheet'!$K$2:AA467,17,0)</f>
        <v>9-10Kgs CIT, 3-4Kgs 656</v>
      </c>
      <c r="S53" s="169" t="str">
        <f>VLOOKUP(I53,'[1]Work sheet'!$K$2:AL350,28,0)</f>
        <v/>
      </c>
      <c r="T53" s="168" t="str">
        <f>IFERROR(VLOOKUP(I53,[1]Label!$A$1:C1027,3,0),"")</f>
        <v/>
      </c>
      <c r="U53" s="165" t="str">
        <f>IFERROR(IF(OR(VLOOKUP(I53,'[1]Work sheet'!$K$2:U672,11,0)="530",VLOOKUP(I53,'[1]Work sheet'!$K$2:U672,11,0)="526"),"BTO",""),"")</f>
        <v/>
      </c>
      <c r="V53" s="165"/>
      <c r="W53" s="167" t="str">
        <f>IF(COUNTIF('[1]OB Connect'!$F$13:$F$364,N53),"On Openbatch", "No")</f>
        <v>No</v>
      </c>
      <c r="X53" s="166" t="e">
        <f>X52</f>
        <v>#REF!</v>
      </c>
      <c r="Y53" s="274" t="e">
        <f>E53+G53+Y52</f>
        <v>#REF!</v>
      </c>
      <c r="Z53" s="165" t="e">
        <f>IF(Y53&lt;=12,"Shift 1",IF(AND(Y53&gt;12,Y53&lt;=24),"Shift 2",IF(AND(Y53&gt;24,Y53&lt;=36),"Shift 3",IF(AND(Y53&gt;36,Y53&lt;=48),"Shift 4",IF(AND(Y53&gt;48,Y53&lt;=60),"Shift 5",IF(AND(Y53&gt;60,Y53&lt;=72),"Shift 6",IF(AND(Y53&gt;72,Y53&lt;=84),"Shift 7",IF(AND(Y53&gt;84,Y53&lt;=96),IF(AND(Y53&gt;84,Y53&lt;=96),"Shift 8",),"Shift 9"))))))))</f>
        <v>#REF!</v>
      </c>
    </row>
    <row r="54" spans="1:147" ht="25" x14ac:dyDescent="0.25">
      <c r="B54" s="116">
        <f>D53</f>
        <v>44145.069517279822</v>
      </c>
      <c r="C54" s="220">
        <f>D53</f>
        <v>44145.069517279822</v>
      </c>
      <c r="D54" s="220">
        <f>(E54/24)+C54+(G54/24)</f>
        <v>44145.108933946489</v>
      </c>
      <c r="E54" s="219">
        <f>INDEX('[1]Work sheet'!$G$2:$G$240,MATCH(I54,'[1]Work sheet'!$K$2:$K$240,0))+IFERROR(IF(FIND("WASH",J53,1)&gt;0,0,0.267),0.167)</f>
        <v>0.94600000000000006</v>
      </c>
      <c r="F54" s="218">
        <f>IFERROR(MROUND((L54/((INDEX('[1]Work sheet'!$G$2:$G$239,MATCH(I54,'[1]Work sheet'!$K$2:$K$239,0))*0.68)*60)),0.5),"")</f>
        <v>8.5</v>
      </c>
      <c r="G54" s="217"/>
      <c r="H54" s="175">
        <f>LEN(J54)-LEN(SUBSTITUTE(J54,",",""))</f>
        <v>2</v>
      </c>
      <c r="I54" s="175">
        <f>'[1]Work sheet'!K50</f>
        <v>1953069</v>
      </c>
      <c r="J54" s="174" t="str">
        <f>VLOOKUP(I54,'[1]Work sheet'!$K$2:L671,2,0)</f>
        <v>OR/B-1699.101 P1,3,1B 2UN CTN 2BAG</v>
      </c>
      <c r="K54" s="173">
        <f>VLOOKUP(I54,'[1]Work sheet'!$K$2:O788,3,0)</f>
        <v>135</v>
      </c>
      <c r="L54" s="173">
        <f>VLOOKUP(I54,'[1]Work sheet'!$K$2:O1183,4,0)</f>
        <v>270</v>
      </c>
      <c r="M54" s="171" t="str">
        <f>VLOOKUP(I54,'[1]Work sheet'!$K$2:T1492,10,0)</f>
        <v>CIT/ASC/656</v>
      </c>
      <c r="N54" s="172" t="str">
        <f>IFERROR(VLOOKUP(I54,'[1]PO Numbers'!$R$2:S248,2,0),"TBC")</f>
        <v>106991018</v>
      </c>
      <c r="O54" s="171" t="str">
        <f>IFERROR(VLOOKUP(VALUE(N54),'[1]PO Numbers'!$F$1:$J$400,5,0),"xxx")</f>
        <v>PI01</v>
      </c>
      <c r="P54" s="83" t="str">
        <f>VLOOKUP(I54,'[1]Work sheet'!$K$2:AA1108,13,0)</f>
        <v>2 of 1953066 (ASP/616), 2 of 1953065 (SBZ/811)</v>
      </c>
      <c r="Q54" s="170">
        <f>VLOOKUP(I54,'[1]Work sheet'!$K$2:AI788,16,0)</f>
        <v>7.8079999999999998</v>
      </c>
      <c r="R54" s="168" t="str">
        <f>VLOOKUP(I54,'[1]Work sheet'!$K$2:AA468,17,0)</f>
        <v>3-4Kgs CIT, 3-4Kgs 656, 0-1Kgs ASC</v>
      </c>
      <c r="S54" s="169" t="str">
        <f>VLOOKUP(I54,'[1]Work sheet'!$K$2:AL351,28,0)</f>
        <v/>
      </c>
      <c r="T54" s="168" t="str">
        <f>IFERROR(VLOOKUP(I54,[1]Label!$A$1:C1028,3,0),"")</f>
        <v/>
      </c>
      <c r="U54" s="165" t="str">
        <f>IFERROR(IF(OR(VLOOKUP(I54,'[1]Work sheet'!$K$2:U673,11,0)="530",VLOOKUP(I54,'[1]Work sheet'!$K$2:U673,11,0)="526"),"BTO",""),"")</f>
        <v/>
      </c>
      <c r="V54" s="165"/>
      <c r="W54" s="167" t="str">
        <f>IF(COUNTIF('[1]OB Connect'!$F$13:$F$364,N54),"On Openbatch", "No")</f>
        <v>No</v>
      </c>
      <c r="X54" s="166" t="e">
        <f>X53</f>
        <v>#REF!</v>
      </c>
      <c r="Y54" s="274" t="e">
        <f>E54+G54+Y53</f>
        <v>#REF!</v>
      </c>
      <c r="Z54" s="165" t="e">
        <f>IF(Y54&lt;=12,"Shift 1",IF(AND(Y54&gt;12,Y54&lt;=24),"Shift 2",IF(AND(Y54&gt;24,Y54&lt;=36),"Shift 3",IF(AND(Y54&gt;36,Y54&lt;=48),"Shift 4",IF(AND(Y54&gt;48,Y54&lt;=60),"Shift 5",IF(AND(Y54&gt;60,Y54&lt;=72),"Shift 6",IF(AND(Y54&gt;72,Y54&lt;=84),"Shift 7",IF(AND(Y54&gt;84,Y54&lt;=96),IF(AND(Y54&gt;84,Y54&lt;=96),"Shift 8",),"Shift 9"))))))))</f>
        <v>#REF!</v>
      </c>
    </row>
    <row r="55" spans="1:147" ht="25" x14ac:dyDescent="0.25">
      <c r="B55" s="116">
        <f>D54</f>
        <v>44145.108933946489</v>
      </c>
      <c r="C55" s="220">
        <f>D54</f>
        <v>44145.108933946489</v>
      </c>
      <c r="D55" s="220">
        <f>(E55/24)+C55+(G55/24)</f>
        <v>44145.135350613156</v>
      </c>
      <c r="E55" s="219">
        <f>INDEX('[1]Work sheet'!$G$2:$G$240,MATCH(I55,'[1]Work sheet'!$K$2:$K$240,0))+IFERROR(IF(FIND("WASH",J54,1)&gt;0,0,0.267),0.167)</f>
        <v>0.63400000000000001</v>
      </c>
      <c r="F55" s="218">
        <f>IFERROR(MROUND((L55/((INDEX('[1]Work sheet'!$G$2:$G$239,MATCH(I55,'[1]Work sheet'!$K$2:$K$239,0))*0.68)*60)),0.5),"")</f>
        <v>8.5</v>
      </c>
      <c r="G55" s="217"/>
      <c r="H55" s="175">
        <f>LEN(J55)-LEN(SUBSTITUTE(J55,",",""))</f>
        <v>0</v>
      </c>
      <c r="I55" s="175">
        <f>'[1]Work sheet'!K51</f>
        <v>1966805</v>
      </c>
      <c r="J55" s="174" t="str">
        <f>VLOOKUP(I55,'[1]Work sheet'!$K$2:L672,2,0)</f>
        <v>OR/D-1709.50 P1 2.5UN CTN 1 BAG</v>
      </c>
      <c r="K55" s="173">
        <f>VLOOKUP(I55,'[1]Work sheet'!$K$2:O789,3,0)</f>
        <v>162</v>
      </c>
      <c r="L55" s="173">
        <f>VLOOKUP(I55,'[1]Work sheet'!$K$2:O1184,4,0)</f>
        <v>162</v>
      </c>
      <c r="M55" s="171" t="str">
        <f>VLOOKUP(I55,'[1]Work sheet'!$K$2:T1493,10,0)</f>
        <v>CIT/ASC/656</v>
      </c>
      <c r="N55" s="172" t="str">
        <f>IFERROR(VLOOKUP(I55,'[1]PO Numbers'!$R$2:S249,2,0),"TBC")</f>
        <v>106991021</v>
      </c>
      <c r="O55" s="171" t="str">
        <f>IFERROR(VLOOKUP(VALUE(N55),'[1]PO Numbers'!$F$1:$J$400,5,0),"xxx")</f>
        <v>PI01</v>
      </c>
      <c r="P55" s="83" t="str">
        <f>VLOOKUP(I55,'[1]Work sheet'!$K$2:AA1109,13,0)</f>
        <v/>
      </c>
      <c r="Q55" s="170">
        <f>VLOOKUP(I55,'[1]Work sheet'!$K$2:AI789,16,0)</f>
        <v>10.125</v>
      </c>
      <c r="R55" s="168" t="str">
        <f>VLOOKUP(I55,'[1]Work sheet'!$K$2:AA469,17,0)</f>
        <v>5-6Kgs CIT, 3-4Kgs 656, 0-1Kgs ASC</v>
      </c>
      <c r="S55" s="169" t="str">
        <f>VLOOKUP(I55,'[1]Work sheet'!$K$2:AL352,28,0)</f>
        <v/>
      </c>
      <c r="T55" s="168" t="str">
        <f>IFERROR(VLOOKUP(I55,[1]Label!$A$1:C1029,3,0),"")</f>
        <v/>
      </c>
      <c r="U55" s="165" t="str">
        <f>IFERROR(IF(OR(VLOOKUP(I55,'[1]Work sheet'!$K$2:U674,11,0)="530",VLOOKUP(I55,'[1]Work sheet'!$K$2:U674,11,0)="526"),"BTO",""),"")</f>
        <v/>
      </c>
      <c r="V55" s="165"/>
      <c r="W55" s="167" t="str">
        <f>IF(COUNTIF('[1]OB Connect'!$F$13:$F$364,N55),"On Openbatch", "No")</f>
        <v>No</v>
      </c>
      <c r="X55" s="166" t="e">
        <f>X54</f>
        <v>#REF!</v>
      </c>
      <c r="Y55" s="274" t="e">
        <f>E55+G55+Y54</f>
        <v>#REF!</v>
      </c>
      <c r="Z55" s="165" t="e">
        <f>IF(Y55&lt;=12,"Shift 1",IF(AND(Y55&gt;12,Y55&lt;=24),"Shift 2",IF(AND(Y55&gt;24,Y55&lt;=36),"Shift 3",IF(AND(Y55&gt;36,Y55&lt;=48),"Shift 4",IF(AND(Y55&gt;48,Y55&lt;=60),"Shift 5",IF(AND(Y55&gt;60,Y55&lt;=72),"Shift 6",IF(AND(Y55&gt;72,Y55&lt;=84),"Shift 7",IF(AND(Y55&gt;84,Y55&lt;=96),IF(AND(Y55&gt;84,Y55&lt;=96),"Shift 8",),"Shift 9"))))))))</f>
        <v>#REF!</v>
      </c>
    </row>
    <row r="56" spans="1:147" ht="25" x14ac:dyDescent="0.25">
      <c r="B56" s="116">
        <f>D55</f>
        <v>44145.135350613156</v>
      </c>
      <c r="C56" s="220">
        <f>D55</f>
        <v>44145.135350613156</v>
      </c>
      <c r="D56" s="220">
        <f>(E56/24)+C56+(G56/24)</f>
        <v>44145.146924331108</v>
      </c>
      <c r="E56" s="219">
        <f>INDEX('[1]Work sheet'!$G$2:$G$240,MATCH(I56,'[1]Work sheet'!$K$2:$K$240,0))+IFERROR(IF(FIND("WASH",J55,1)&gt;0,0,0.267),0.167)</f>
        <v>0.27776923076923077</v>
      </c>
      <c r="F56" s="218">
        <f>IFERROR(MROUND((L56/((INDEX('[1]Work sheet'!$G$2:$G$239,MATCH(I56,'[1]Work sheet'!$K$2:$K$239,0))*0.68)*60)),0.5),"")</f>
        <v>8</v>
      </c>
      <c r="G56" s="217"/>
      <c r="H56" s="175">
        <f>LEN(J56)-LEN(SUBSTITUTE(J56,",",""))</f>
        <v>0</v>
      </c>
      <c r="I56" s="175">
        <f>'[1]Work sheet'!K52</f>
        <v>1964984</v>
      </c>
      <c r="J56" s="174" t="str">
        <f>VLOOKUP(I56,'[1]Work sheet'!$K$2:L673,2,0)</f>
        <v>GF/OR/B-24.00 P1 2.5UN CTN 1 BAG CQ</v>
      </c>
      <c r="K56" s="173">
        <f>VLOOKUP(I56,'[1]Work sheet'!$K$2:O790,3,0)</f>
        <v>36</v>
      </c>
      <c r="L56" s="173">
        <f>VLOOKUP(I56,'[1]Work sheet'!$K$2:O1185,4,0)</f>
        <v>36</v>
      </c>
      <c r="M56" s="171" t="str">
        <f>VLOOKUP(I56,'[1]Work sheet'!$K$2:T1494,10,0)</f>
        <v>CIT/ASC/656</v>
      </c>
      <c r="N56" s="172" t="str">
        <f>IFERROR(VLOOKUP(I56,'[1]PO Numbers'!$R$2:S250,2,0),"TBC")</f>
        <v>106990998</v>
      </c>
      <c r="O56" s="171" t="str">
        <f>IFERROR(VLOOKUP(VALUE(N56),'[1]PO Numbers'!$F$1:$J$400,5,0),"xxx")</f>
        <v>PI01</v>
      </c>
      <c r="P56" s="83" t="str">
        <f>VLOOKUP(I56,'[1]Work sheet'!$K$2:AA1110,13,0)</f>
        <v/>
      </c>
      <c r="Q56" s="170">
        <f>VLOOKUP(I56,'[1]Work sheet'!$K$2:AI790,16,0)</f>
        <v>17.728000000000002</v>
      </c>
      <c r="R56" s="168" t="str">
        <f>VLOOKUP(I56,'[1]Work sheet'!$K$2:AA470,17,0)</f>
        <v>12-13Kgs CIT, 3-4Kgs 656, 1-2Kgs ASC</v>
      </c>
      <c r="S56" s="169" t="str">
        <f>VLOOKUP(I56,'[1]Work sheet'!$K$2:AL353,28,0)</f>
        <v/>
      </c>
      <c r="T56" s="168" t="str">
        <f>IFERROR(VLOOKUP(I56,[1]Label!$A$1:C1030,3,0),"")</f>
        <v/>
      </c>
      <c r="U56" s="165" t="str">
        <f>IFERROR(IF(OR(VLOOKUP(I56,'[1]Work sheet'!$K$2:U675,11,0)="530",VLOOKUP(I56,'[1]Work sheet'!$K$2:U675,11,0)="526"),"BTO",""),"")</f>
        <v/>
      </c>
      <c r="V56" s="165"/>
      <c r="W56" s="167" t="str">
        <f>IF(COUNTIF('[1]OB Connect'!$F$13:$F$364,N56),"On Openbatch", "No")</f>
        <v>No</v>
      </c>
      <c r="X56" s="166" t="e">
        <f>X55</f>
        <v>#REF!</v>
      </c>
      <c r="Y56" s="274" t="e">
        <f>E56+G56+Y55</f>
        <v>#REF!</v>
      </c>
      <c r="Z56" s="165" t="e">
        <f>IF(Y56&lt;=12,"Shift 1",IF(AND(Y56&gt;12,Y56&lt;=24),"Shift 2",IF(AND(Y56&gt;24,Y56&lt;=36),"Shift 3",IF(AND(Y56&gt;36,Y56&lt;=48),"Shift 4",IF(AND(Y56&gt;48,Y56&lt;=60),"Shift 5",IF(AND(Y56&gt;60,Y56&lt;=72),"Shift 6",IF(AND(Y56&gt;72,Y56&lt;=84),"Shift 7",IF(AND(Y56&gt;84,Y56&lt;=96),IF(AND(Y56&gt;84,Y56&lt;=96),"Shift 8",),"Shift 9"))))))))</f>
        <v>#REF!</v>
      </c>
    </row>
    <row r="57" spans="1:147" ht="25" x14ac:dyDescent="0.25">
      <c r="B57" s="116">
        <f>D56</f>
        <v>44145.146924331108</v>
      </c>
      <c r="C57" s="220">
        <f>D56</f>
        <v>44145.146924331108</v>
      </c>
      <c r="D57" s="220">
        <f>(E57/24)+C57+(G57/24)</f>
        <v>44145.323549331108</v>
      </c>
      <c r="E57" s="219">
        <f>INDEX('[1]Work sheet'!$G$2:$G$240,MATCH(I57,'[1]Work sheet'!$K$2:$K$240,0))+IFERROR(IF(FIND("WASH",J56,1)&gt;0,0,0.267),0.167)</f>
        <v>4.2389999999999999</v>
      </c>
      <c r="F57" s="218">
        <f>IFERROR(MROUND((L57/((INDEX('[1]Work sheet'!$G$2:$G$239,MATCH(I57,'[1]Work sheet'!$K$2:$K$239,0))*0.68)*60)),0.5),"")</f>
        <v>6.5</v>
      </c>
      <c r="G57" s="217"/>
      <c r="H57" s="175">
        <f>LEN(J57)-LEN(SUBSTITUTE(J57,",",""))</f>
        <v>0</v>
      </c>
      <c r="I57" s="175">
        <f>'[1]Work sheet'!K53</f>
        <v>1975796</v>
      </c>
      <c r="J57" s="174" t="str">
        <f>VLOOKUP(I57,'[1]Work sheet'!$K$2:L674,2,0)</f>
        <v>OR/A/B-1704.01 P1 4UN CTN 1 BAG</v>
      </c>
      <c r="K57" s="173">
        <f>VLOOKUP(I57,'[1]Work sheet'!$K$2:O791,3,0)</f>
        <v>1080</v>
      </c>
      <c r="L57" s="173">
        <f>VLOOKUP(I57,'[1]Work sheet'!$K$2:O1186,4,0)</f>
        <v>1080</v>
      </c>
      <c r="M57" s="171" t="str">
        <f>VLOOKUP(I57,'[1]Work sheet'!$K$2:T1495,10,0)</f>
        <v>CIT/ASC/656</v>
      </c>
      <c r="N57" s="172" t="str">
        <f>IFERROR(VLOOKUP(I57,'[1]PO Numbers'!$R$2:S251,2,0),"TBC")</f>
        <v>106990997</v>
      </c>
      <c r="O57" s="171" t="str">
        <f>IFERROR(VLOOKUP(VALUE(N57),'[1]PO Numbers'!$F$1:$J$400,5,0),"xxx")</f>
        <v>PI01</v>
      </c>
      <c r="P57" s="83" t="str">
        <f>VLOOKUP(I57,'[1]Work sheet'!$K$2:AA1111,13,0)</f>
        <v/>
      </c>
      <c r="Q57" s="170">
        <f>VLOOKUP(I57,'[1]Work sheet'!$K$2:AI791,16,0)</f>
        <v>19.64</v>
      </c>
      <c r="R57" s="168" t="str">
        <f>VLOOKUP(I57,'[1]Work sheet'!$K$2:AA471,17,0)</f>
        <v>10-11Kgs CIT, 5-6Kgs 656, 3-4Kgs ASC</v>
      </c>
      <c r="S57" s="169" t="str">
        <f>VLOOKUP(I57,'[1]Work sheet'!$K$2:AL354,28,0)</f>
        <v/>
      </c>
      <c r="T57" s="168" t="str">
        <f>IFERROR(VLOOKUP(I57,[1]Label!$A$1:C1031,3,0),"")</f>
        <v/>
      </c>
      <c r="U57" s="165" t="str">
        <f>IFERROR(IF(OR(VLOOKUP(I57,'[1]Work sheet'!$K$2:U676,11,0)="530",VLOOKUP(I57,'[1]Work sheet'!$K$2:U676,11,0)="526"),"BTO",""),"")</f>
        <v/>
      </c>
      <c r="V57" s="165"/>
      <c r="W57" s="167" t="str">
        <f>IF(COUNTIF('[1]OB Connect'!$F$13:$F$364,N57),"On Openbatch", "No")</f>
        <v>No</v>
      </c>
      <c r="X57" s="166" t="e">
        <f>X56</f>
        <v>#REF!</v>
      </c>
      <c r="Y57" s="274" t="e">
        <f>E57+G57+Y56</f>
        <v>#REF!</v>
      </c>
      <c r="Z57" s="165" t="e">
        <f>IF(Y57&lt;=12,"Shift 1",IF(AND(Y57&gt;12,Y57&lt;=24),"Shift 2",IF(AND(Y57&gt;24,Y57&lt;=36),"Shift 3",IF(AND(Y57&gt;36,Y57&lt;=48),"Shift 4",IF(AND(Y57&gt;48,Y57&lt;=60),"Shift 5",IF(AND(Y57&gt;60,Y57&lt;=72),"Shift 6",IF(AND(Y57&gt;72,Y57&lt;=84),"Shift 7",IF(AND(Y57&gt;84,Y57&lt;=96),IF(AND(Y57&gt;84,Y57&lt;=96),"Shift 8",),"Shift 9"))))))))</f>
        <v>#REF!</v>
      </c>
    </row>
    <row r="58" spans="1:147" ht="25" x14ac:dyDescent="0.25">
      <c r="B58" s="116">
        <f>D57</f>
        <v>44145.323549331108</v>
      </c>
      <c r="C58" s="220">
        <f>D57</f>
        <v>44145.323549331108</v>
      </c>
      <c r="D58" s="220">
        <f>(E58/24)+C58+(G58/24)</f>
        <v>44145.332681577485</v>
      </c>
      <c r="E58" s="219">
        <f>INDEX('[1]Work sheet'!$G$2:$G$240,MATCH(I58,'[1]Work sheet'!$K$2:$K$240,0))+IFERROR(IF(FIND("WASH",J57,1)&gt;0,0,0.267),0.167)</f>
        <v>0.21917391304347827</v>
      </c>
      <c r="F58" s="218">
        <f>IFERROR(MROUND((L58/((INDEX('[1]Work sheet'!$G$2:$G$239,MATCH(I58,'[1]Work sheet'!$K$2:$K$239,0))*0.68)*60)),0.5),"")</f>
        <v>8.5</v>
      </c>
      <c r="G58" s="217"/>
      <c r="H58" s="175">
        <f>LEN(J58)-LEN(SUBSTITUTE(J58,",",""))</f>
        <v>1</v>
      </c>
      <c r="I58" s="175">
        <f>'[1]Work sheet'!K54</f>
        <v>2040337</v>
      </c>
      <c r="J58" s="174" t="str">
        <f>VLOOKUP(I58,'[1]Work sheet'!$K$2:L675,2,0)</f>
        <v>PA/D-313.50 P1,1C 5UN CTN 1 BAG</v>
      </c>
      <c r="K58" s="173">
        <f>VLOOKUP(I58,'[1]Work sheet'!$K$2:O792,3,0)</f>
        <v>18</v>
      </c>
      <c r="L58" s="173">
        <f>VLOOKUP(I58,'[1]Work sheet'!$K$2:O1187,4,0)</f>
        <v>18</v>
      </c>
      <c r="M58" s="171" t="str">
        <f>VLOOKUP(I58,'[1]Work sheet'!$K$2:T1496,10,0)</f>
        <v>CIT/ASC/656</v>
      </c>
      <c r="N58" s="172" t="str">
        <f>IFERROR(VLOOKUP(I58,'[1]PO Numbers'!$R$2:S252,2,0),"TBC")</f>
        <v>106991007</v>
      </c>
      <c r="O58" s="171" t="str">
        <f>IFERROR(VLOOKUP(VALUE(N58),'[1]PO Numbers'!$F$1:$J$400,5,0),"xxx")</f>
        <v>PI01</v>
      </c>
      <c r="P58" s="83" t="str">
        <f>VLOOKUP(I58,'[1]Work sheet'!$K$2:AA1112,13,0)</f>
        <v>1 of 2040334 (8197.1)</v>
      </c>
      <c r="Q58" s="170">
        <f>VLOOKUP(I58,'[1]Work sheet'!$K$2:AI792,16,0)</f>
        <v>13</v>
      </c>
      <c r="R58" s="168" t="str">
        <f>VLOOKUP(I58,'[1]Work sheet'!$K$2:AA472,17,0)</f>
        <v>7-8Kgs CIT, 3-4Kgs 656, 0-1Kgs ASC</v>
      </c>
      <c r="S58" s="169" t="str">
        <f>VLOOKUP(I58,'[1]Work sheet'!$K$2:AL355,28,0)</f>
        <v/>
      </c>
      <c r="T58" s="168" t="str">
        <f>IFERROR(VLOOKUP(I58,[1]Label!$A$1:C1032,3,0),"")</f>
        <v/>
      </c>
      <c r="U58" s="165" t="str">
        <f>IFERROR(IF(OR(VLOOKUP(I58,'[1]Work sheet'!$K$2:U677,11,0)="530",VLOOKUP(I58,'[1]Work sheet'!$K$2:U677,11,0)="526"),"BTO",""),"")</f>
        <v/>
      </c>
      <c r="V58" s="165"/>
      <c r="W58" s="167" t="str">
        <f>IF(COUNTIF('[1]OB Connect'!$F$13:$F$364,N58),"On Openbatch", "No")</f>
        <v>No</v>
      </c>
      <c r="X58" s="166" t="e">
        <f>X57</f>
        <v>#REF!</v>
      </c>
      <c r="Y58" s="274" t="e">
        <f>E58+G58+Y57</f>
        <v>#REF!</v>
      </c>
      <c r="Z58" s="165" t="e">
        <f>IF(Y58&lt;=12,"Shift 1",IF(AND(Y58&gt;12,Y58&lt;=24),"Shift 2",IF(AND(Y58&gt;24,Y58&lt;=36),"Shift 3",IF(AND(Y58&gt;36,Y58&lt;=48),"Shift 4",IF(AND(Y58&gt;48,Y58&lt;=60),"Shift 5",IF(AND(Y58&gt;60,Y58&lt;=72),"Shift 6",IF(AND(Y58&gt;72,Y58&lt;=84),"Shift 7",IF(AND(Y58&gt;84,Y58&lt;=96),IF(AND(Y58&gt;84,Y58&lt;=96),"Shift 8",),"Shift 9"))))))))</f>
        <v>#REF!</v>
      </c>
    </row>
    <row r="59" spans="1:147" ht="25" x14ac:dyDescent="0.25">
      <c r="B59" s="116">
        <f>D58</f>
        <v>44145.332681577485</v>
      </c>
      <c r="C59" s="220">
        <f>D58</f>
        <v>44145.332681577485</v>
      </c>
      <c r="D59" s="220">
        <f>(E59/24)+C59+(G59/24)</f>
        <v>44145.353098244152</v>
      </c>
      <c r="E59" s="219">
        <f>INDEX('[1]Work sheet'!$G$2:$G$240,MATCH(I59,'[1]Work sheet'!$K$2:$K$240,0))+IFERROR(IF(FIND("WASH",J58,1)&gt;0,0,0.267),0.167)</f>
        <v>0.49</v>
      </c>
      <c r="F59" s="218">
        <f>IFERROR(MROUND((L59/((INDEX('[1]Work sheet'!$G$2:$G$239,MATCH(I59,'[1]Work sheet'!$K$2:$K$239,0))*0.68)*60)),0.5),"")</f>
        <v>8.5</v>
      </c>
      <c r="G59" s="217"/>
      <c r="H59" s="175">
        <f>LEN(J59)-LEN(SUBSTITUTE(J59,",",""))</f>
        <v>0</v>
      </c>
      <c r="I59" s="175">
        <f>'[1]Work sheet'!K55</f>
        <v>2073510</v>
      </c>
      <c r="J59" s="174" t="str">
        <f>VLOOKUP(I59,'[1]Work sheet'!$K$2:L676,2,0)</f>
        <v>TE/HB/B-120.01 P1K 1.25UN CTN 1 BAG</v>
      </c>
      <c r="K59" s="173">
        <f>VLOOKUP(I59,'[1]Work sheet'!$K$2:O793,3,0)</f>
        <v>112</v>
      </c>
      <c r="L59" s="173">
        <f>VLOOKUP(I59,'[1]Work sheet'!$K$2:O1188,4,0)</f>
        <v>112</v>
      </c>
      <c r="M59" s="171" t="str">
        <f>VLOOKUP(I59,'[1]Work sheet'!$K$2:T1497,10,0)</f>
        <v>CIT/ASC/TSO/656</v>
      </c>
      <c r="N59" s="172" t="str">
        <f>IFERROR(VLOOKUP(I59,'[1]PO Numbers'!$R$2:S253,2,0),"TBC")</f>
        <v>106991012</v>
      </c>
      <c r="O59" s="171" t="str">
        <f>IFERROR(VLOOKUP(VALUE(N59),'[1]PO Numbers'!$F$1:$J$400,5,0),"xxx")</f>
        <v>PI01</v>
      </c>
      <c r="P59" s="83" t="str">
        <f>VLOOKUP(I59,'[1]Work sheet'!$K$2:AA1113,13,0)</f>
        <v/>
      </c>
      <c r="Q59" s="170">
        <f>VLOOKUP(I59,'[1]Work sheet'!$K$2:AI793,16,0)</f>
        <v>10.851000000000001</v>
      </c>
      <c r="R59" s="168" t="str">
        <f>VLOOKUP(I59,'[1]Work sheet'!$K$2:AA473,17,0)</f>
        <v>6-7Kgs CIT, 1-2Kgs 656, 1-2Kgs TSO, 1-2Kgs ASC</v>
      </c>
      <c r="S59" s="169" t="str">
        <f>VLOOKUP(I59,'[1]Work sheet'!$K$2:AL356,28,0)</f>
        <v/>
      </c>
      <c r="T59" s="168" t="str">
        <f>IFERROR(VLOOKUP(I59,[1]Label!$A$1:C1033,3,0),"")</f>
        <v/>
      </c>
      <c r="U59" s="165" t="str">
        <f>IFERROR(IF(OR(VLOOKUP(I59,'[1]Work sheet'!$K$2:U678,11,0)="530",VLOOKUP(I59,'[1]Work sheet'!$K$2:U678,11,0)="526"),"BTO",""),"")</f>
        <v/>
      </c>
      <c r="V59" s="165"/>
      <c r="W59" s="167" t="str">
        <f>IF(COUNTIF('[1]OB Connect'!$F$13:$F$364,N59),"On Openbatch", "No")</f>
        <v>No</v>
      </c>
      <c r="X59" s="166" t="e">
        <f>X58</f>
        <v>#REF!</v>
      </c>
      <c r="Y59" s="274" t="e">
        <f>E59+G59+Y58</f>
        <v>#REF!</v>
      </c>
      <c r="Z59" s="165" t="e">
        <f>IF(Y59&lt;=12,"Shift 1",IF(AND(Y59&gt;12,Y59&lt;=24),"Shift 2",IF(AND(Y59&gt;24,Y59&lt;=36),"Shift 3",IF(AND(Y59&gt;36,Y59&lt;=48),"Shift 4",IF(AND(Y59&gt;48,Y59&lt;=60),"Shift 5",IF(AND(Y59&gt;60,Y59&lt;=72),"Shift 6",IF(AND(Y59&gt;72,Y59&lt;=84),"Shift 7",IF(AND(Y59&gt;84,Y59&lt;=96),IF(AND(Y59&gt;84,Y59&lt;=96),"Shift 8",),"Shift 9"))))))))</f>
        <v>#REF!</v>
      </c>
    </row>
    <row r="60" spans="1:147" ht="25" x14ac:dyDescent="0.25">
      <c r="B60" s="116">
        <f>D59</f>
        <v>44145.353098244152</v>
      </c>
      <c r="C60" s="220">
        <f>D59</f>
        <v>44145.353098244152</v>
      </c>
      <c r="D60" s="220">
        <f>(E60/24)+C60+(G60/24)</f>
        <v>44145.386014910815</v>
      </c>
      <c r="E60" s="219">
        <f>INDEX('[1]Work sheet'!$G$2:$G$240,MATCH(I60,'[1]Work sheet'!$K$2:$K$240,0))+IFERROR(IF(FIND("WASH",J59,1)&gt;0,0,0.267),0.167)</f>
        <v>0.79</v>
      </c>
      <c r="F60" s="218">
        <f>IFERROR(MROUND((L60/((INDEX('[1]Work sheet'!$G$2:$G$239,MATCH(I60,'[1]Work sheet'!$K$2:$K$239,0))*0.68)*60)),0.5),"")</f>
        <v>8.5</v>
      </c>
      <c r="G60" s="217"/>
      <c r="H60" s="175">
        <f>LEN(J60)-LEN(SUBSTITUTE(J60,",",""))</f>
        <v>0</v>
      </c>
      <c r="I60" s="175">
        <f>'[1]Work sheet'!K56</f>
        <v>1985109</v>
      </c>
      <c r="J60" s="174" t="str">
        <f>VLOOKUP(I60,'[1]Work sheet'!$K$2:L677,2,0)</f>
        <v>LE/D-718.50 P1K 3UN CTN 2 BAGS</v>
      </c>
      <c r="K60" s="173">
        <f>VLOOKUP(I60,'[1]Work sheet'!$K$2:O794,3,0)</f>
        <v>108</v>
      </c>
      <c r="L60" s="173">
        <f>VLOOKUP(I60,'[1]Work sheet'!$K$2:O1189,4,0)</f>
        <v>216</v>
      </c>
      <c r="M60" s="171" t="str">
        <f>VLOOKUP(I60,'[1]Work sheet'!$K$2:T1498,10,0)</f>
        <v>CIT/ASC/TSO/656</v>
      </c>
      <c r="N60" s="172" t="str">
        <f>IFERROR(VLOOKUP(I60,'[1]PO Numbers'!$R$2:S254,2,0),"TBC")</f>
        <v>106990999</v>
      </c>
      <c r="O60" s="171" t="str">
        <f>IFERROR(VLOOKUP(VALUE(N60),'[1]PO Numbers'!$F$1:$J$400,5,0),"xxx")</f>
        <v>PI01</v>
      </c>
      <c r="P60" s="83" t="str">
        <f>VLOOKUP(I60,'[1]Work sheet'!$K$2:AA1114,13,0)</f>
        <v/>
      </c>
      <c r="Q60" s="170">
        <f>VLOOKUP(I60,'[1]Work sheet'!$K$2:AI794,16,0)</f>
        <v>9.2249999999999996</v>
      </c>
      <c r="R60" s="168" t="str">
        <f>VLOOKUP(I60,'[1]Work sheet'!$K$2:AA474,17,0)</f>
        <v>4-5Kgs CIT, 3-4Kgs 656, 1-2Kgs TSO, 0-1Kgs ASC</v>
      </c>
      <c r="S60" s="169" t="str">
        <f>VLOOKUP(I60,'[1]Work sheet'!$K$2:AL357,28,0)</f>
        <v/>
      </c>
      <c r="T60" s="168" t="str">
        <f>IFERROR(VLOOKUP(I60,[1]Label!$A$1:C1034,3,0),"")</f>
        <v/>
      </c>
      <c r="U60" s="165" t="str">
        <f>IFERROR(IF(OR(VLOOKUP(I60,'[1]Work sheet'!$K$2:U679,11,0)="530",VLOOKUP(I60,'[1]Work sheet'!$K$2:U679,11,0)="526"),"BTO",""),"")</f>
        <v/>
      </c>
      <c r="V60" s="165"/>
      <c r="W60" s="167" t="str">
        <f>IF(COUNTIF('[1]OB Connect'!$F$13:$F$364,N60),"On Openbatch", "No")</f>
        <v>No</v>
      </c>
      <c r="X60" s="166" t="e">
        <f>X59</f>
        <v>#REF!</v>
      </c>
      <c r="Y60" s="274" t="e">
        <f>E60+G60+Y59</f>
        <v>#REF!</v>
      </c>
      <c r="Z60" s="165" t="e">
        <f>IF(Y60&lt;=12,"Shift 1",IF(AND(Y60&gt;12,Y60&lt;=24),"Shift 2",IF(AND(Y60&gt;24,Y60&lt;=36),"Shift 3",IF(AND(Y60&gt;36,Y60&lt;=48),"Shift 4",IF(AND(Y60&gt;48,Y60&lt;=60),"Shift 5",IF(AND(Y60&gt;60,Y60&lt;=72),"Shift 6",IF(AND(Y60&gt;72,Y60&lt;=84),"Shift 7",IF(AND(Y60&gt;84,Y60&lt;=96),IF(AND(Y60&gt;84,Y60&lt;=96),"Shift 8",),"Shift 9"))))))))</f>
        <v>#REF!</v>
      </c>
    </row>
    <row r="61" spans="1:147" ht="25" x14ac:dyDescent="0.25">
      <c r="B61" s="116">
        <f>D60</f>
        <v>44145.386014910815</v>
      </c>
      <c r="C61" s="220">
        <f>D60</f>
        <v>44145.386014910815</v>
      </c>
      <c r="D61" s="220">
        <f>(E61/24)+C61+(G61/24)</f>
        <v>44145.477306577479</v>
      </c>
      <c r="E61" s="219">
        <f>INDEX('[1]Work sheet'!$G$2:$G$240,MATCH(I61,'[1]Work sheet'!$K$2:$K$240,0))+IFERROR(IF(FIND("WASH",J60,1)&gt;0,0,0.267),0.167)</f>
        <v>2.1909999999999998</v>
      </c>
      <c r="F61" s="218">
        <f>IFERROR(MROUND((L61/((INDEX('[1]Work sheet'!$G$2:$G$239,MATCH(I61,'[1]Work sheet'!$K$2:$K$239,0))*0.68)*60)),0.5),"")</f>
        <v>8.5</v>
      </c>
      <c r="G61" s="217"/>
      <c r="H61" s="175">
        <f>LEN(J61)-LEN(SUBSTITUTE(J61,",",""))</f>
        <v>0</v>
      </c>
      <c r="I61" s="175">
        <f>'[1]Work sheet'!K57</f>
        <v>1958006</v>
      </c>
      <c r="J61" s="174" t="str">
        <f>VLOOKUP(I61,'[1]Work sheet'!$K$2:L678,2,0)</f>
        <v>CI/B/Q-54.01 P1M 4UN CTN 2 BAG</v>
      </c>
      <c r="K61" s="173">
        <f>VLOOKUP(I61,'[1]Work sheet'!$K$2:O795,3,0)</f>
        <v>351</v>
      </c>
      <c r="L61" s="173">
        <f>VLOOKUP(I61,'[1]Work sheet'!$K$2:O1190,4,0)</f>
        <v>702</v>
      </c>
      <c r="M61" s="171" t="str">
        <f>VLOOKUP(I61,'[1]Work sheet'!$K$2:T1499,10,0)</f>
        <v>CIT/ASC/TSO/656</v>
      </c>
      <c r="N61" s="172" t="str">
        <f>IFERROR(VLOOKUP(I61,'[1]PO Numbers'!$R$2:S255,2,0),"TBC")</f>
        <v>106991005</v>
      </c>
      <c r="O61" s="171" t="str">
        <f>IFERROR(VLOOKUP(VALUE(N61),'[1]PO Numbers'!$F$1:$J$400,5,0),"xxx")</f>
        <v>PI01</v>
      </c>
      <c r="P61" s="83" t="str">
        <f>VLOOKUP(I61,'[1]Work sheet'!$K$2:AA1115,13,0)</f>
        <v/>
      </c>
      <c r="Q61" s="170">
        <f>VLOOKUP(I61,'[1]Work sheet'!$K$2:AI795,16,0)</f>
        <v>10.035</v>
      </c>
      <c r="R61" s="168" t="str">
        <f>VLOOKUP(I61,'[1]Work sheet'!$K$2:AA475,17,0)</f>
        <v>7-8Kgs CIT, 0-1Kgs TSO, 0-1Kgs 656, 0-1Kgs ASC</v>
      </c>
      <c r="S61" s="169"/>
      <c r="T61" s="168" t="str">
        <f>IFERROR(VLOOKUP(I61,[1]Label!$A$1:C1035,3,0),"")</f>
        <v/>
      </c>
      <c r="U61" s="165" t="str">
        <f>IFERROR(IF(OR(VLOOKUP(I61,'[1]Work sheet'!$K$2:U680,11,0)="530",VLOOKUP(I61,'[1]Work sheet'!$K$2:U680,11,0)="526"),"BTO",""),"")</f>
        <v/>
      </c>
      <c r="V61" s="165"/>
      <c r="W61" s="167" t="str">
        <f>IF(COUNTIF('[1]OB Connect'!$F$13:$F$364,N61),"On Openbatch", "No")</f>
        <v>No</v>
      </c>
      <c r="X61" s="166" t="e">
        <f>X60</f>
        <v>#REF!</v>
      </c>
      <c r="Y61" s="274" t="e">
        <f>E61+G61+Y60</f>
        <v>#REF!</v>
      </c>
      <c r="Z61" s="165" t="e">
        <f>IF(Y61&lt;=12,"Shift 1",IF(AND(Y61&gt;12,Y61&lt;=24),"Shift 2",IF(AND(Y61&gt;24,Y61&lt;=36),"Shift 3",IF(AND(Y61&gt;36,Y61&lt;=48),"Shift 4",IF(AND(Y61&gt;48,Y61&lt;=60),"Shift 5",IF(AND(Y61&gt;60,Y61&lt;=72),"Shift 6",IF(AND(Y61&gt;72,Y61&lt;=84),"Shift 7",IF(AND(Y61&gt;84,Y61&lt;=96),IF(AND(Y61&gt;84,Y61&lt;=96),"Shift 8",),"Shift 9"))))))))</f>
        <v>#REF!</v>
      </c>
    </row>
    <row r="62" spans="1:147" ht="25" x14ac:dyDescent="0.25">
      <c r="B62" s="116">
        <f>D61</f>
        <v>44145.477306577479</v>
      </c>
      <c r="C62" s="220">
        <f>D61</f>
        <v>44145.477306577479</v>
      </c>
      <c r="D62" s="220">
        <f>(E62/24)+C62+(G62/24)</f>
        <v>44145.631306577481</v>
      </c>
      <c r="E62" s="219">
        <f>INDEX('[1]Work sheet'!$G$2:$G$240,MATCH(I62,'[1]Work sheet'!$K$2:$K$240,0))+IFERROR(IF(FIND("WASH",J61,1)&gt;0,0,0.267),0.167)</f>
        <v>0.94600000000000006</v>
      </c>
      <c r="F62" s="218">
        <f>IFERROR(MROUND((L62/((INDEX('[1]Work sheet'!$G$2:$G$239,MATCH(I62,'[1]Work sheet'!$K$2:$K$239,0))*0.68)*60)),0.5),"")</f>
        <v>8.5</v>
      </c>
      <c r="G62" s="217">
        <v>2.75</v>
      </c>
      <c r="H62" s="175">
        <f>LEN(J62)-LEN(SUBSTITUTE(J62,",",""))</f>
        <v>0</v>
      </c>
      <c r="I62" s="175">
        <f>'[1]Work sheet'!K58</f>
        <v>1965042</v>
      </c>
      <c r="J62" s="174" t="str">
        <f>VLOOKUP(I62,'[1]Work sheet'!$K$2:L679,2,0)</f>
        <v>LE/A/B-724.00 P1K 8UN CTN 1 BAG</v>
      </c>
      <c r="K62" s="173">
        <f>VLOOKUP(I62,'[1]Work sheet'!$K$2:O796,3,0)</f>
        <v>270</v>
      </c>
      <c r="L62" s="173">
        <f>VLOOKUP(I62,'[1]Work sheet'!$K$2:O1191,4,0)</f>
        <v>270</v>
      </c>
      <c r="M62" s="171" t="str">
        <f>VLOOKUP(I62,'[1]Work sheet'!$K$2:T1500,10,0)</f>
        <v>CIT/ASC/TSO/656</v>
      </c>
      <c r="N62" s="172" t="str">
        <f>IFERROR(VLOOKUP(I62,'[1]PO Numbers'!$R$2:S256,2,0),"TBC")</f>
        <v>106991022</v>
      </c>
      <c r="O62" s="171" t="str">
        <f>IFERROR(VLOOKUP(VALUE(N62),'[1]PO Numbers'!$F$1:$J$400,5,0),"xxx")</f>
        <v>PI01</v>
      </c>
      <c r="P62" s="83" t="str">
        <f>VLOOKUP(I62,'[1]Work sheet'!$K$2:AA1116,13,0)</f>
        <v/>
      </c>
      <c r="Q62" s="170">
        <f>VLOOKUP(I62,'[1]Work sheet'!$K$2:AI796,16,0)</f>
        <v>13.233000000000001</v>
      </c>
      <c r="R62" s="168" t="str">
        <f>VLOOKUP(I62,'[1]Work sheet'!$K$2:AA476,17,0)</f>
        <v>3-4Kgs ASC, 3-4Kgs 656, 3-4Kgs CIT, 2-3Kgs TSO</v>
      </c>
      <c r="S62" s="169" t="str">
        <f>VLOOKUP(I62,'[1]Work sheet'!$K$2:AL359,28,0)</f>
        <v/>
      </c>
      <c r="T62" s="168" t="str">
        <f>IFERROR(VLOOKUP(I62,[1]Label!$A$1:C1036,3,0),"")</f>
        <v/>
      </c>
      <c r="U62" s="165" t="str">
        <f>IFERROR(IF(OR(VLOOKUP(I62,'[1]Work sheet'!$K$2:U681,11,0)="530",VLOOKUP(I62,'[1]Work sheet'!$K$2:U681,11,0)="526"),"BTO",""),"")</f>
        <v/>
      </c>
      <c r="V62" s="165"/>
      <c r="W62" s="167" t="str">
        <f>IF(COUNTIF('[1]OB Connect'!$F$13:$F$364,N62),"On Openbatch", "No")</f>
        <v>No</v>
      </c>
      <c r="X62" s="166" t="e">
        <f>X61</f>
        <v>#REF!</v>
      </c>
      <c r="Y62" s="274" t="e">
        <f>E62+G62+Y61</f>
        <v>#REF!</v>
      </c>
      <c r="Z62" s="165" t="e">
        <f>IF(Y62&lt;=12,"Shift 1",IF(AND(Y62&gt;12,Y62&lt;=24),"Shift 2",IF(AND(Y62&gt;24,Y62&lt;=36),"Shift 3",IF(AND(Y62&gt;36,Y62&lt;=48),"Shift 4",IF(AND(Y62&gt;48,Y62&lt;=60),"Shift 5",IF(AND(Y62&gt;60,Y62&lt;=72),"Shift 6",IF(AND(Y62&gt;72,Y62&lt;=84),"Shift 7",IF(AND(Y62&gt;84,Y62&lt;=96),IF(AND(Y62&gt;84,Y62&lt;=96),"Shift 8",),"Shift 9"))))))))</f>
        <v>#REF!</v>
      </c>
    </row>
    <row r="63" spans="1:147" ht="25" x14ac:dyDescent="0.25">
      <c r="B63" s="116">
        <f>D62</f>
        <v>44145.631306577481</v>
      </c>
      <c r="C63" s="220">
        <f>D62</f>
        <v>44145.631306577481</v>
      </c>
      <c r="D63" s="220">
        <f>(E63/24)+C63+(G63/24)</f>
        <v>44145.654473244147</v>
      </c>
      <c r="E63" s="219">
        <f>INDEX('[1]Work sheet'!$G$2:$G$240,MATCH(I63,'[1]Work sheet'!$K$2:$K$240,0))+IFERROR(IF(FIND("WASH",J62,1)&gt;0,0,0.267),0.167)</f>
        <v>0.55600000000000005</v>
      </c>
      <c r="F63" s="218">
        <f>IFERROR(MROUND((L63/((INDEX('[1]Work sheet'!$G$2:$G$239,MATCH(I63,'[1]Work sheet'!$K$2:$K$239,0))*0.68)*60)),0.5),"")</f>
        <v>8.5</v>
      </c>
      <c r="G63" s="217"/>
      <c r="H63" s="175">
        <f>LEN(J63)-LEN(SUBSTITUTE(J63,",",""))</f>
        <v>0</v>
      </c>
      <c r="I63" s="175">
        <f>'[1]Work sheet'!K59</f>
        <v>1983812</v>
      </c>
      <c r="J63" s="174" t="str">
        <f>VLOOKUP(I63,'[1]Work sheet'!$K$2:L680,2,0)</f>
        <v>TE/PE/D-110.50 P1 3UN CTN 1 BAG</v>
      </c>
      <c r="K63" s="173">
        <f>VLOOKUP(I63,'[1]Work sheet'!$K$2:O797,3,0)</f>
        <v>135</v>
      </c>
      <c r="L63" s="173">
        <f>VLOOKUP(I63,'[1]Work sheet'!$K$2:O1192,4,0)</f>
        <v>135</v>
      </c>
      <c r="M63" s="171" t="str">
        <f>VLOOKUP(I63,'[1]Work sheet'!$K$2:T1501,10,0)</f>
        <v>CIT/ASC/TSO/656</v>
      </c>
      <c r="N63" s="172" t="str">
        <f>IFERROR(VLOOKUP(I63,'[1]PO Numbers'!$R$2:S257,2,0),"TBC")</f>
        <v>106991002</v>
      </c>
      <c r="O63" s="171" t="str">
        <f>IFERROR(VLOOKUP(VALUE(N63),'[1]PO Numbers'!$F$1:$J$400,5,0),"xxx")</f>
        <v>PI01</v>
      </c>
      <c r="P63" s="83" t="str">
        <f>VLOOKUP(I63,'[1]Work sheet'!$K$2:AA1117,13,0)</f>
        <v/>
      </c>
      <c r="Q63" s="170">
        <f>VLOOKUP(I63,'[1]Work sheet'!$K$2:AI797,16,0)</f>
        <v>15.45</v>
      </c>
      <c r="R63" s="168" t="str">
        <f>VLOOKUP(I63,'[1]Work sheet'!$K$2:AA477,17,0)</f>
        <v>5-6Kgs CIT, 4-5Kgs TSO, 3-4Kgs 656, 1-2Kgs ASC</v>
      </c>
      <c r="S63" s="169" t="str">
        <f>VLOOKUP(I63,'[1]Work sheet'!$K$2:AL360,28,0)</f>
        <v/>
      </c>
      <c r="T63" s="168" t="str">
        <f>IFERROR(VLOOKUP(I63,[1]Label!$A$1:C1037,3,0),"")</f>
        <v/>
      </c>
      <c r="U63" s="165" t="str">
        <f>IFERROR(IF(OR(VLOOKUP(I63,'[1]Work sheet'!$K$2:U682,11,0)="530",VLOOKUP(I63,'[1]Work sheet'!$K$2:U682,11,0)="526"),"BTO",""),"")</f>
        <v/>
      </c>
      <c r="V63" s="165"/>
      <c r="W63" s="167" t="str">
        <f>IF(COUNTIF('[1]OB Connect'!$F$13:$F$364,N63),"On Openbatch", "No")</f>
        <v>No</v>
      </c>
      <c r="X63" s="166" t="e">
        <f>X62</f>
        <v>#REF!</v>
      </c>
      <c r="Y63" s="274" t="e">
        <f>E63+G63+Y62</f>
        <v>#REF!</v>
      </c>
      <c r="Z63" s="165" t="e">
        <f>IF(Y63&lt;=12,"Shift 1",IF(AND(Y63&gt;12,Y63&lt;=24),"Shift 2",IF(AND(Y63&gt;24,Y63&lt;=36),"Shift 3",IF(AND(Y63&gt;36,Y63&lt;=48),"Shift 4",IF(AND(Y63&gt;48,Y63&lt;=60),"Shift 5",IF(AND(Y63&gt;60,Y63&lt;=72),"Shift 6",IF(AND(Y63&gt;72,Y63&lt;=84),"Shift 7",IF(AND(Y63&gt;84,Y63&lt;=96),IF(AND(Y63&gt;84,Y63&lt;=96),"Shift 8",),"Shift 9"))))))))</f>
        <v>#REF!</v>
      </c>
    </row>
    <row r="64" spans="1:147" s="58" customFormat="1" ht="13" x14ac:dyDescent="0.25">
      <c r="A64" s="118"/>
      <c r="B64" s="126">
        <f>D63</f>
        <v>44145.654473244147</v>
      </c>
      <c r="C64" s="125">
        <f>D63</f>
        <v>44145.654473244147</v>
      </c>
      <c r="D64" s="125">
        <f>(E64/24)+C64+(G64/24)</f>
        <v>44145.662806577478</v>
      </c>
      <c r="E64" s="124">
        <v>0.2</v>
      </c>
      <c r="F64" s="124"/>
      <c r="G64" s="123"/>
      <c r="H64" s="119"/>
      <c r="I64" s="122"/>
      <c r="J64" s="118" t="s">
        <v>12</v>
      </c>
      <c r="K64" s="121"/>
      <c r="L64" s="120"/>
      <c r="M64" s="118"/>
      <c r="N64" s="118"/>
      <c r="O64" s="118"/>
      <c r="P64" s="117"/>
      <c r="Q64" s="119"/>
      <c r="R64" s="118"/>
      <c r="S64" s="117"/>
      <c r="T64" s="117"/>
      <c r="U64" s="23"/>
      <c r="V64" s="21"/>
      <c r="W64" s="22"/>
      <c r="X64" s="22"/>
      <c r="Y64" s="21"/>
      <c r="Z64" s="20"/>
      <c r="AA64" s="60"/>
      <c r="AB64" s="60"/>
      <c r="AC64" s="60"/>
      <c r="AD64" s="60"/>
      <c r="AE64" s="60"/>
      <c r="AF64" s="60"/>
      <c r="AG64" s="60"/>
      <c r="AH64" s="60"/>
      <c r="AI64" s="60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59"/>
      <c r="BV64" s="59"/>
      <c r="BW64" s="59"/>
      <c r="BX64" s="59"/>
      <c r="BY64" s="59"/>
      <c r="BZ64" s="59"/>
      <c r="CA64" s="59"/>
      <c r="CB64" s="59"/>
      <c r="CC64" s="59"/>
      <c r="CD64" s="59"/>
      <c r="CE64" s="59"/>
      <c r="CF64" s="59"/>
      <c r="CG64" s="59"/>
      <c r="CH64" s="59"/>
      <c r="CI64" s="59"/>
      <c r="CJ64" s="59"/>
      <c r="CK64" s="59"/>
      <c r="CL64" s="59"/>
      <c r="CM64" s="59"/>
      <c r="CN64" s="59"/>
      <c r="CO64" s="59"/>
      <c r="CP64" s="59"/>
      <c r="CQ64" s="59"/>
      <c r="CR64" s="59"/>
      <c r="CS64" s="59"/>
      <c r="CT64" s="59"/>
      <c r="CU64" s="59"/>
      <c r="CV64" s="59"/>
      <c r="CW64" s="59"/>
      <c r="CX64" s="59"/>
      <c r="CY64" s="59"/>
      <c r="CZ64" s="59"/>
      <c r="DA64" s="59"/>
      <c r="DB64" s="59"/>
      <c r="DC64" s="59"/>
      <c r="DD64" s="59"/>
      <c r="DE64" s="59"/>
      <c r="DF64" s="59"/>
      <c r="DG64" s="59"/>
      <c r="DH64" s="59"/>
      <c r="DI64" s="59"/>
      <c r="DJ64" s="59"/>
      <c r="DK64" s="59"/>
      <c r="DL64" s="59"/>
      <c r="DM64" s="59"/>
      <c r="DN64" s="59"/>
      <c r="DO64" s="59"/>
      <c r="DP64" s="59"/>
      <c r="DQ64" s="59"/>
      <c r="DR64" s="59"/>
      <c r="DS64" s="59"/>
      <c r="DT64" s="59"/>
      <c r="DU64" s="59"/>
      <c r="DV64" s="59"/>
      <c r="DW64" s="59"/>
      <c r="DX64" s="59"/>
      <c r="DY64" s="59"/>
      <c r="DZ64" s="59"/>
      <c r="EA64" s="59"/>
      <c r="EB64" s="59"/>
      <c r="EC64" s="59"/>
      <c r="ED64" s="59"/>
      <c r="EE64" s="59"/>
      <c r="EF64" s="59"/>
      <c r="EG64" s="59"/>
      <c r="EH64" s="59"/>
      <c r="EI64" s="59"/>
      <c r="EJ64" s="59"/>
      <c r="EK64" s="59"/>
      <c r="EL64" s="59"/>
      <c r="EM64" s="59"/>
      <c r="EN64" s="59"/>
      <c r="EO64" s="59"/>
      <c r="EP64" s="59"/>
      <c r="EQ64" s="59"/>
    </row>
    <row r="65" spans="1:147" ht="25" x14ac:dyDescent="0.25">
      <c r="B65" s="116">
        <f>D64</f>
        <v>44145.662806577478</v>
      </c>
      <c r="C65" s="220">
        <f>D64</f>
        <v>44145.662806577478</v>
      </c>
      <c r="D65" s="220">
        <f>(E65/24)+C65+(G65/24)</f>
        <v>44145.695723244142</v>
      </c>
      <c r="E65" s="219">
        <f>INDEX('[1]Work sheet'!$G$2:$G$240,MATCH(I65,'[1]Work sheet'!$K$2:$K$240,0))+IFERROR(IF(FIND("WASH",J63,1)&gt;0,0,0.267),0.167)</f>
        <v>0.79</v>
      </c>
      <c r="F65" s="218">
        <f>IFERROR(MROUND((L65/((INDEX('[1]Work sheet'!$G$2:$G$239,MATCH(I65,'[1]Work sheet'!$K$2:$K$239,0))*0.68)*60)),0.5),"")</f>
        <v>8.5</v>
      </c>
      <c r="G65" s="217"/>
      <c r="H65" s="175">
        <f>LEN(J65)-LEN(SUBSTITUTE(J65,",",""))</f>
        <v>0</v>
      </c>
      <c r="I65" s="175">
        <f>'[1]Work sheet'!K60</f>
        <v>1549148</v>
      </c>
      <c r="J65" s="174" t="str">
        <f>VLOOKUP(I65,'[1]Work sheet'!$K$2:L681,2,0)</f>
        <v>TE/BE-3.00 P1K 3UN CTN 2 BAG</v>
      </c>
      <c r="K65" s="173">
        <f>VLOOKUP(I65,'[1]Work sheet'!$K$2:O798,3,0)</f>
        <v>108</v>
      </c>
      <c r="L65" s="173">
        <f>VLOOKUP(I65,'[1]Work sheet'!$K$2:O1193,4,0)</f>
        <v>216</v>
      </c>
      <c r="M65" s="171" t="str">
        <f>VLOOKUP(I65,'[1]Work sheet'!$K$2:T1502,10,0)</f>
        <v>CIT/TSO/656</v>
      </c>
      <c r="N65" s="172" t="str">
        <f>IFERROR(VLOOKUP(I65,'[1]PO Numbers'!$R$2:S258,2,0),"TBC")</f>
        <v>106990979</v>
      </c>
      <c r="O65" s="171" t="str">
        <f>IFERROR(VLOOKUP(VALUE(N65),'[1]PO Numbers'!$F$1:$J$400,5,0),"xxx")</f>
        <v>PI01</v>
      </c>
      <c r="P65" s="83" t="str">
        <f>VLOOKUP(I65,'[1]Work sheet'!$K$2:AA1118,13,0)</f>
        <v/>
      </c>
      <c r="Q65" s="170">
        <f>VLOOKUP(I65,'[1]Work sheet'!$K$2:AI798,16,0)</f>
        <v>11.13</v>
      </c>
      <c r="R65" s="168" t="str">
        <f>VLOOKUP(I65,'[1]Work sheet'!$K$2:AA478,17,0)</f>
        <v>6-7Kgs CIT, 2-3Kgs TSO, 1-2Kgs 656</v>
      </c>
      <c r="S65" s="169"/>
      <c r="T65" s="168" t="str">
        <f>IFERROR(VLOOKUP(I65,[1]Label!$A$1:C1038,3,0),"")</f>
        <v/>
      </c>
      <c r="U65" s="165" t="str">
        <f>IFERROR(IF(OR(VLOOKUP(I65,'[1]Work sheet'!$K$2:U683,11,0)="530",VLOOKUP(I65,'[1]Work sheet'!$K$2:U683,11,0)="526"),"BTO",""),"")</f>
        <v/>
      </c>
      <c r="V65" s="165"/>
      <c r="W65" s="167" t="str">
        <f>IF(COUNTIF('[1]OB Connect'!$F$13:$F$364,N65),"On Openbatch", "No")</f>
        <v>No</v>
      </c>
      <c r="X65" s="166" t="e">
        <f>X63</f>
        <v>#REF!</v>
      </c>
      <c r="Y65" s="274" t="e">
        <f>E65+G65+Y63</f>
        <v>#REF!</v>
      </c>
      <c r="Z65" s="165" t="e">
        <f>IF(Y65&lt;=12,"Shift 1",IF(AND(Y65&gt;12,Y65&lt;=24),"Shift 2",IF(AND(Y65&gt;24,Y65&lt;=36),"Shift 3",IF(AND(Y65&gt;36,Y65&lt;=48),"Shift 4",IF(AND(Y65&gt;48,Y65&lt;=60),"Shift 5",IF(AND(Y65&gt;60,Y65&lt;=72),"Shift 6",IF(AND(Y65&gt;72,Y65&lt;=84),"Shift 7",IF(AND(Y65&gt;84,Y65&lt;=96),IF(AND(Y65&gt;84,Y65&lt;=96),"Shift 8",),"Shift 9"))))))))</f>
        <v>#REF!</v>
      </c>
    </row>
    <row r="66" spans="1:147" ht="25" x14ac:dyDescent="0.25">
      <c r="B66" s="116">
        <f>D65</f>
        <v>44145.695723244142</v>
      </c>
      <c r="C66" s="220">
        <f>D65</f>
        <v>44145.695723244142</v>
      </c>
      <c r="D66" s="220">
        <f>(E66/24)+C66+(G66/24)</f>
        <v>44145.728639910805</v>
      </c>
      <c r="E66" s="219">
        <f>INDEX('[1]Work sheet'!$G$2:$G$240,MATCH(I66,'[1]Work sheet'!$K$2:$K$240,0))+IFERROR(IF(FIND("WASH",J65,1)&gt;0,0,0.267),0.167)</f>
        <v>0.79</v>
      </c>
      <c r="F66" s="218">
        <f>IFERROR(MROUND((L66/((INDEX('[1]Work sheet'!$G$2:$G$239,MATCH(I66,'[1]Work sheet'!$K$2:$K$239,0))*0.68)*60)),0.5),"")</f>
        <v>8.5</v>
      </c>
      <c r="G66" s="217"/>
      <c r="H66" s="175">
        <f>LEN(J66)-LEN(SUBSTITUTE(J66,",",""))</f>
        <v>0</v>
      </c>
      <c r="I66" s="175">
        <f>'[1]Work sheet'!K61</f>
        <v>1771400</v>
      </c>
      <c r="J66" s="174" t="str">
        <f>VLOOKUP(I66,'[1]Work sheet'!$K$2:L682,2,0)</f>
        <v>TE/BE-3.00/11.10 P1K 3UN CTN 2 BAG CQ</v>
      </c>
      <c r="K66" s="173">
        <f>VLOOKUP(I66,'[1]Work sheet'!$K$2:O799,3,0)</f>
        <v>108</v>
      </c>
      <c r="L66" s="173">
        <f>VLOOKUP(I66,'[1]Work sheet'!$K$2:O1194,4,0)</f>
        <v>216</v>
      </c>
      <c r="M66" s="171" t="str">
        <f>VLOOKUP(I66,'[1]Work sheet'!$K$2:T1503,10,0)</f>
        <v>CIT/TSO/656</v>
      </c>
      <c r="N66" s="172" t="str">
        <f>IFERROR(VLOOKUP(I66,'[1]PO Numbers'!$R$2:S259,2,0),"TBC")</f>
        <v>106990993</v>
      </c>
      <c r="O66" s="171" t="str">
        <f>IFERROR(VLOOKUP(VALUE(N66),'[1]PO Numbers'!$F$1:$J$400,5,0),"xxx")</f>
        <v>PI01</v>
      </c>
      <c r="P66" s="83" t="str">
        <f>VLOOKUP(I66,'[1]Work sheet'!$K$2:AA1119,13,0)</f>
        <v/>
      </c>
      <c r="Q66" s="170">
        <f>VLOOKUP(I66,'[1]Work sheet'!$K$2:AI799,16,0)</f>
        <v>11.13</v>
      </c>
      <c r="R66" s="168" t="str">
        <f>VLOOKUP(I66,'[1]Work sheet'!$K$2:AA479,17,0)</f>
        <v>6-7Kgs CIT, 2-3Kgs TSO, 1-2Kgs 656</v>
      </c>
      <c r="S66" s="169"/>
      <c r="T66" s="168" t="str">
        <f>IFERROR(VLOOKUP(I66,[1]Label!$A$1:C1039,3,0),"")</f>
        <v/>
      </c>
      <c r="U66" s="165" t="str">
        <f>IFERROR(IF(OR(VLOOKUP(I66,'[1]Work sheet'!$K$2:U684,11,0)="530",VLOOKUP(I66,'[1]Work sheet'!$K$2:U684,11,0)="526"),"BTO",""),"")</f>
        <v/>
      </c>
      <c r="V66" s="165"/>
      <c r="W66" s="167" t="str">
        <f>IF(COUNTIF('[1]OB Connect'!$F$13:$F$364,N66),"On Openbatch", "No")</f>
        <v>No</v>
      </c>
      <c r="X66" s="166" t="e">
        <f>X65</f>
        <v>#REF!</v>
      </c>
      <c r="Y66" s="274" t="e">
        <f>E66+G66+Y65</f>
        <v>#REF!</v>
      </c>
      <c r="Z66" s="165" t="e">
        <f>IF(Y66&lt;=12,"Shift 1",IF(AND(Y66&gt;12,Y66&lt;=24),"Shift 2",IF(AND(Y66&gt;24,Y66&lt;=36),"Shift 3",IF(AND(Y66&gt;36,Y66&lt;=48),"Shift 4",IF(AND(Y66&gt;48,Y66&lt;=60),"Shift 5",IF(AND(Y66&gt;60,Y66&lt;=72),"Shift 6",IF(AND(Y66&gt;72,Y66&lt;=84),"Shift 7",IF(AND(Y66&gt;84,Y66&lt;=96),IF(AND(Y66&gt;84,Y66&lt;=96),"Shift 8",),"Shift 9"))))))))</f>
        <v>#REF!</v>
      </c>
    </row>
    <row r="67" spans="1:147" ht="25" x14ac:dyDescent="0.25">
      <c r="B67" s="116">
        <f>D66</f>
        <v>44145.728639910805</v>
      </c>
      <c r="C67" s="220">
        <f>D66</f>
        <v>44145.728639910805</v>
      </c>
      <c r="D67" s="220">
        <f>(E67/24)+C67+(G67/24)</f>
        <v>44145.797639910808</v>
      </c>
      <c r="E67" s="219">
        <f>INDEX('[1]Work sheet'!$G$2:$G$240,MATCH(I67,'[1]Work sheet'!$K$2:$K$240,0))+IFERROR(IF(FIND("WASH",J66,1)&gt;0,0,0.267),0.167)</f>
        <v>1.6560000000000001</v>
      </c>
      <c r="F67" s="218">
        <f>IFERROR(MROUND((L67/((INDEX('[1]Work sheet'!$G$2:$G$239,MATCH(I67,'[1]Work sheet'!$K$2:$K$239,0))*0.68)*60)),0.5),"")</f>
        <v>8</v>
      </c>
      <c r="G67" s="217"/>
      <c r="H67" s="175">
        <f>LEN(J67)-LEN(SUBSTITUTE(J67,",",""))</f>
        <v>0</v>
      </c>
      <c r="I67" s="175">
        <f>'[1]Work sheet'!K62</f>
        <v>1964667</v>
      </c>
      <c r="J67" s="174" t="str">
        <f>VLOOKUP(I67,'[1]Work sheet'!$K$2:L683,2,0)</f>
        <v>HB/BT/B-1.00 P1 2UN CTN 2 BAG CQ</v>
      </c>
      <c r="K67" s="173">
        <f>VLOOKUP(I67,'[1]Work sheet'!$K$2:O800,3,0)</f>
        <v>243</v>
      </c>
      <c r="L67" s="173">
        <f>VLOOKUP(I67,'[1]Work sheet'!$K$2:O1195,4,0)</f>
        <v>486</v>
      </c>
      <c r="M67" s="171" t="str">
        <f>VLOOKUP(I67,'[1]Work sheet'!$K$2:T1504,10,0)</f>
        <v>CIT/TSO/656/652</v>
      </c>
      <c r="N67" s="172" t="str">
        <f>IFERROR(VLOOKUP(I67,'[1]PO Numbers'!$R$2:S260,2,0),"TBC")</f>
        <v>106991024</v>
      </c>
      <c r="O67" s="171" t="str">
        <f>IFERROR(VLOOKUP(VALUE(N67),'[1]PO Numbers'!$F$1:$J$400,5,0),"xxx")</f>
        <v>PI01</v>
      </c>
      <c r="P67" s="83" t="str">
        <f>VLOOKUP(I67,'[1]Work sheet'!$K$2:AA1120,13,0)</f>
        <v/>
      </c>
      <c r="Q67" s="170">
        <f>VLOOKUP(I67,'[1]Work sheet'!$K$2:AI800,16,0)</f>
        <v>8.8000000000000007</v>
      </c>
      <c r="R67" s="168" t="str">
        <f>VLOOKUP(I67,'[1]Work sheet'!$K$2:AA480,17,0)</f>
        <v>3-4Kgs CIT, 1-2Kgs 656, 1-2Kgs TSO, 1-2Kgs 652</v>
      </c>
      <c r="S67" s="169" t="str">
        <f>VLOOKUP(I67,'[1]Work sheet'!$K$2:AL363,28,0)</f>
        <v/>
      </c>
      <c r="T67" s="168" t="str">
        <f>IFERROR(VLOOKUP(I67,[1]Label!$A$1:C1040,3,0),"")</f>
        <v/>
      </c>
      <c r="U67" s="165" t="str">
        <f>IFERROR(IF(OR(VLOOKUP(I67,'[1]Work sheet'!$K$2:U685,11,0)="530",VLOOKUP(I67,'[1]Work sheet'!$K$2:U685,11,0)="526"),"BTO",""),"")</f>
        <v/>
      </c>
      <c r="V67" s="165"/>
      <c r="W67" s="167" t="str">
        <f>IF(COUNTIF('[1]OB Connect'!$F$13:$F$364,N67),"On Openbatch", "No")</f>
        <v>No</v>
      </c>
      <c r="X67" s="166" t="e">
        <f>X66</f>
        <v>#REF!</v>
      </c>
      <c r="Y67" s="274" t="e">
        <f>E67+G67+Y66</f>
        <v>#REF!</v>
      </c>
      <c r="Z67" s="165" t="e">
        <f>IF(Y67&lt;=12,"Shift 1",IF(AND(Y67&gt;12,Y67&lt;=24),"Shift 2",IF(AND(Y67&gt;24,Y67&lt;=36),"Shift 3",IF(AND(Y67&gt;36,Y67&lt;=48),"Shift 4",IF(AND(Y67&gt;48,Y67&lt;=60),"Shift 5",IF(AND(Y67&gt;60,Y67&lt;=72),"Shift 6",IF(AND(Y67&gt;72,Y67&lt;=84),"Shift 7",IF(AND(Y67&gt;84,Y67&lt;=96),IF(AND(Y67&gt;84,Y67&lt;=96),"Shift 8",),"Shift 9"))))))))</f>
        <v>#REF!</v>
      </c>
    </row>
    <row r="68" spans="1:147" ht="25" x14ac:dyDescent="0.25">
      <c r="B68" s="116">
        <f>D67</f>
        <v>44145.797639910808</v>
      </c>
      <c r="C68" s="220">
        <f>D67</f>
        <v>44145.797639910808</v>
      </c>
      <c r="D68" s="220">
        <f>(E68/24)+C68+(G68/24)</f>
        <v>44145.967431577476</v>
      </c>
      <c r="E68" s="219">
        <f>INDEX('[1]Work sheet'!$G$2:$G$240,MATCH(I68,'[1]Work sheet'!$K$2:$K$240,0))+IFERROR(IF(FIND("WASH",J67,1)&gt;0,0,0.267),0.167)</f>
        <v>1.325</v>
      </c>
      <c r="F68" s="218">
        <f>IFERROR(MROUND((L68/((INDEX('[1]Work sheet'!$G$2:$G$239,MATCH(I68,'[1]Work sheet'!$K$2:$K$239,0))*0.68)*60)),0.5),"")</f>
        <v>8</v>
      </c>
      <c r="G68" s="217">
        <v>2.75</v>
      </c>
      <c r="H68" s="175">
        <f>LEN(J68)-LEN(SUBSTITUTE(J68,",",""))</f>
        <v>0</v>
      </c>
      <c r="I68" s="175">
        <f>'[1]Work sheet'!K63</f>
        <v>1974676</v>
      </c>
      <c r="J68" s="174" t="str">
        <f>VLOOKUP(I68,'[1]Work sheet'!$K$2:L684,2,0)</f>
        <v>OR/B-56.97 P1 5UN CTN 2 BAG</v>
      </c>
      <c r="K68" s="173">
        <f>VLOOKUP(I68,'[1]Work sheet'!$K$2:O801,3,0)</f>
        <v>189</v>
      </c>
      <c r="L68" s="173">
        <f>VLOOKUP(I68,'[1]Work sheet'!$K$2:O1196,4,0)</f>
        <v>378</v>
      </c>
      <c r="M68" s="171" t="str">
        <f>VLOOKUP(I68,'[1]Work sheet'!$K$2:T1505,10,0)</f>
        <v>CIT/ASC/656/652</v>
      </c>
      <c r="N68" s="172" t="str">
        <f>IFERROR(VLOOKUP(I68,'[1]PO Numbers'!$R$2:S261,2,0),"TBC")</f>
        <v>106991001</v>
      </c>
      <c r="O68" s="171" t="str">
        <f>IFERROR(VLOOKUP(VALUE(N68),'[1]PO Numbers'!$F$1:$J$400,5,0),"xxx")</f>
        <v>PI01</v>
      </c>
      <c r="P68" s="83" t="str">
        <f>VLOOKUP(I68,'[1]Work sheet'!$K$2:AA1121,13,0)</f>
        <v/>
      </c>
      <c r="Q68" s="170">
        <f>VLOOKUP(I68,'[1]Work sheet'!$K$2:AI801,16,0)</f>
        <v>7.15</v>
      </c>
      <c r="R68" s="168" t="str">
        <f>VLOOKUP(I68,'[1]Work sheet'!$K$2:AA481,17,0)</f>
        <v>3-4Kgs CIT, 1-2Kgs 656, 1-2Kgs 652, 0-1Kgs ASC</v>
      </c>
      <c r="S68" s="169" t="str">
        <f>VLOOKUP(I68,'[1]Work sheet'!$K$2:AL364,28,0)</f>
        <v/>
      </c>
      <c r="T68" s="168" t="str">
        <f>IFERROR(VLOOKUP(I68,[1]Label!$A$1:C1041,3,0),"")</f>
        <v/>
      </c>
      <c r="U68" s="165" t="str">
        <f>IFERROR(IF(OR(VLOOKUP(I68,'[1]Work sheet'!$K$2:U686,11,0)="530",VLOOKUP(I68,'[1]Work sheet'!$K$2:U686,11,0)="526"),"BTO",""),"")</f>
        <v/>
      </c>
      <c r="V68" s="165"/>
      <c r="W68" s="167" t="str">
        <f>IF(COUNTIF('[1]OB Connect'!$F$13:$F$364,N68),"On Openbatch", "No")</f>
        <v>No</v>
      </c>
      <c r="X68" s="166" t="e">
        <f>X67</f>
        <v>#REF!</v>
      </c>
      <c r="Y68" s="274" t="e">
        <f>E68+G68+Y67</f>
        <v>#REF!</v>
      </c>
      <c r="Z68" s="165" t="e">
        <f>IF(Y68&lt;=12,"Shift 1",IF(AND(Y68&gt;12,Y68&lt;=24),"Shift 2",IF(AND(Y68&gt;24,Y68&lt;=36),"Shift 3",IF(AND(Y68&gt;36,Y68&lt;=48),"Shift 4",IF(AND(Y68&gt;48,Y68&lt;=60),"Shift 5",IF(AND(Y68&gt;60,Y68&lt;=72),"Shift 6",IF(AND(Y68&gt;72,Y68&lt;=84),"Shift 7",IF(AND(Y68&gt;84,Y68&lt;=96),IF(AND(Y68&gt;84,Y68&lt;=96),"Shift 8",),"Shift 9"))))))))</f>
        <v>#REF!</v>
      </c>
    </row>
    <row r="69" spans="1:147" s="58" customFormat="1" ht="13" x14ac:dyDescent="0.25">
      <c r="A69" s="118"/>
      <c r="B69" s="126">
        <f>D68</f>
        <v>44145.967431577476</v>
      </c>
      <c r="C69" s="125">
        <f>D68</f>
        <v>44145.967431577476</v>
      </c>
      <c r="D69" s="125">
        <f>(E69/24)+C69+(G69/24)</f>
        <v>44146.00909824414</v>
      </c>
      <c r="E69" s="124">
        <v>1</v>
      </c>
      <c r="F69" s="124"/>
      <c r="G69" s="123"/>
      <c r="H69" s="119"/>
      <c r="I69" s="122"/>
      <c r="J69" s="118" t="s">
        <v>11</v>
      </c>
      <c r="K69" s="121"/>
      <c r="L69" s="120"/>
      <c r="M69" s="118"/>
      <c r="N69" s="118"/>
      <c r="O69" s="118"/>
      <c r="P69" s="117"/>
      <c r="Q69" s="119"/>
      <c r="R69" s="118"/>
      <c r="S69" s="117"/>
      <c r="T69" s="117"/>
      <c r="U69" s="23"/>
      <c r="V69" s="21"/>
      <c r="W69" s="22"/>
      <c r="X69" s="22"/>
      <c r="Y69" s="21"/>
      <c r="Z69" s="20"/>
      <c r="AA69" s="60"/>
      <c r="AB69" s="60"/>
      <c r="AC69" s="60"/>
      <c r="AD69" s="60"/>
      <c r="AE69" s="60"/>
      <c r="AF69" s="60"/>
      <c r="AG69" s="60"/>
      <c r="AH69" s="60"/>
      <c r="AI69" s="60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BN69" s="59"/>
      <c r="BO69" s="59"/>
      <c r="BP69" s="59"/>
      <c r="BQ69" s="59"/>
      <c r="BR69" s="59"/>
      <c r="BS69" s="59"/>
      <c r="BT69" s="59"/>
      <c r="BU69" s="59"/>
      <c r="BV69" s="59"/>
      <c r="BW69" s="59"/>
      <c r="BX69" s="59"/>
      <c r="BY69" s="59"/>
      <c r="BZ69" s="59"/>
      <c r="CA69" s="59"/>
      <c r="CB69" s="59"/>
      <c r="CC69" s="59"/>
      <c r="CD69" s="59"/>
      <c r="CE69" s="59"/>
      <c r="CF69" s="59"/>
      <c r="CG69" s="59"/>
      <c r="CH69" s="59"/>
      <c r="CI69" s="59"/>
      <c r="CJ69" s="59"/>
      <c r="CK69" s="59"/>
      <c r="CL69" s="59"/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A69" s="59"/>
      <c r="DB69" s="59"/>
      <c r="DC69" s="59"/>
      <c r="DD69" s="59"/>
      <c r="DE69" s="59"/>
      <c r="DF69" s="59"/>
      <c r="DG69" s="59"/>
      <c r="DH69" s="59"/>
      <c r="DI69" s="59"/>
      <c r="DJ69" s="59"/>
      <c r="DK69" s="59"/>
      <c r="DL69" s="59"/>
      <c r="DM69" s="59"/>
      <c r="DN69" s="59"/>
      <c r="DO69" s="59"/>
      <c r="DP69" s="59"/>
      <c r="DQ69" s="59"/>
      <c r="DR69" s="59"/>
      <c r="DS69" s="59"/>
      <c r="DT69" s="59"/>
      <c r="DU69" s="59"/>
      <c r="DV69" s="59"/>
      <c r="DW69" s="59"/>
      <c r="DX69" s="59"/>
      <c r="DY69" s="59"/>
      <c r="DZ69" s="59"/>
      <c r="EA69" s="59"/>
      <c r="EB69" s="59"/>
      <c r="EC69" s="59"/>
      <c r="ED69" s="59"/>
      <c r="EE69" s="59"/>
      <c r="EF69" s="59"/>
      <c r="EG69" s="59"/>
      <c r="EH69" s="59"/>
      <c r="EI69" s="59"/>
      <c r="EJ69" s="59"/>
      <c r="EK69" s="59"/>
      <c r="EL69" s="59"/>
      <c r="EM69" s="59"/>
      <c r="EN69" s="59"/>
      <c r="EO69" s="59"/>
      <c r="EP69" s="59"/>
      <c r="EQ69" s="59"/>
    </row>
    <row r="70" spans="1:147" ht="39" x14ac:dyDescent="0.25">
      <c r="B70" s="116">
        <f>D69</f>
        <v>44146.00909824414</v>
      </c>
      <c r="C70" s="220">
        <f>D69</f>
        <v>44146.00909824414</v>
      </c>
      <c r="D70" s="220">
        <f>(E70/24)+C70+(G70/24)</f>
        <v>44146.466056577476</v>
      </c>
      <c r="E70" s="219">
        <f>INDEX('[1]Work sheet'!$G$2:$G$240,MATCH(I70,'[1]Work sheet'!$K$2:$K$240,0))+IFERROR(IF(FIND("WASH",J68,1)&gt;0,0,0.267),0.167)</f>
        <v>10.967000000000001</v>
      </c>
      <c r="F70" s="218">
        <f>IFERROR(MROUND((L70/((INDEX('[1]Work sheet'!$G$2:$G$239,MATCH(I70,'[1]Work sheet'!$K$2:$K$239,0))*0.68)*60)),0.5),"")</f>
        <v>3</v>
      </c>
      <c r="G70" s="217"/>
      <c r="H70" s="175">
        <f>LEN(J70)-LEN(SUBSTITUTE(J70,",",""))</f>
        <v>0</v>
      </c>
      <c r="I70" s="175">
        <f>'[1]Work sheet'!K64</f>
        <v>1875506</v>
      </c>
      <c r="J70" s="174" t="str">
        <f>VLOOKUP(I70,'[1]Work sheet'!$K$2:L685,2,0)</f>
        <v>D-1-5259357 P1C 20KG CTN 1 BAG UR</v>
      </c>
      <c r="K70" s="173">
        <f>VLOOKUP(I70,'[1]Work sheet'!$K$2:O802,3,0)</f>
        <v>1350</v>
      </c>
      <c r="L70" s="173">
        <f>VLOOKUP(I70,'[1]Work sheet'!$K$2:O1197,4,0)</f>
        <v>1350</v>
      </c>
      <c r="M70" s="171" t="str">
        <f>VLOOKUP(I70,'[1]Work sheet'!$K$2:T1506,10,0)</f>
        <v>ASC</v>
      </c>
      <c r="N70" s="172" t="str">
        <f>IFERROR(VLOOKUP(I70,'[1]PO Numbers'!$R$2:S262,2,0),"TBC")</f>
        <v>106990987</v>
      </c>
      <c r="O70" s="171" t="str">
        <f>IFERROR(VLOOKUP(VALUE(N70),'[1]PO Numbers'!$F$1:$J$400,5,0),"xxx")</f>
        <v>PI01</v>
      </c>
      <c r="P70" s="83" t="str">
        <f>VLOOKUP(I70,'[1]Work sheet'!$K$2:AA1122,13,0)</f>
        <v/>
      </c>
      <c r="Q70" s="170">
        <f>VLOOKUP(I70,'[1]Work sheet'!$K$2:AI802,16,0)</f>
        <v>20</v>
      </c>
      <c r="R70" s="168" t="str">
        <f>VLOOKUP(I70,'[1]Work sheet'!$K$2:AA482,17,0)</f>
        <v>19-20Kgs ASC</v>
      </c>
      <c r="S70" s="181" t="s">
        <v>77</v>
      </c>
      <c r="T70" s="168" t="str">
        <f>IFERROR(VLOOKUP(I70,[1]Label!$A$1:C1042,3,0),"")</f>
        <v/>
      </c>
      <c r="U70" s="165" t="str">
        <f>IFERROR(IF(OR(VLOOKUP(I70,'[1]Work sheet'!$K$2:U687,11,0)="530",VLOOKUP(I70,'[1]Work sheet'!$K$2:U687,11,0)="526"),"BTO",""),"")</f>
        <v>BTO</v>
      </c>
      <c r="V70" s="165"/>
      <c r="W70" s="167" t="str">
        <f>IF(COUNTIF('[1]OB Connect'!$F$13:$F$364,N70),"On Openbatch", "No")</f>
        <v>No</v>
      </c>
      <c r="X70" s="166" t="e">
        <f>X68</f>
        <v>#REF!</v>
      </c>
      <c r="Y70" s="274" t="e">
        <f>E70+G70+Y68</f>
        <v>#REF!</v>
      </c>
      <c r="Z70" s="165" t="e">
        <f>IF(Y70&lt;=12,"Shift 1",IF(AND(Y70&gt;12,Y70&lt;=24),"Shift 2",IF(AND(Y70&gt;24,Y70&lt;=36),"Shift 3",IF(AND(Y70&gt;36,Y70&lt;=48),"Shift 4",IF(AND(Y70&gt;48,Y70&lt;=60),"Shift 5",IF(AND(Y70&gt;60,Y70&lt;=72),"Shift 6",IF(AND(Y70&gt;72,Y70&lt;=84),"Shift 7",IF(AND(Y70&gt;84,Y70&lt;=96),IF(AND(Y70&gt;84,Y70&lt;=96),"Shift 8",),"Shift 9"))))))))</f>
        <v>#REF!</v>
      </c>
    </row>
    <row r="71" spans="1:147" ht="13" x14ac:dyDescent="0.25">
      <c r="B71" s="116">
        <f>D70</f>
        <v>44146.466056577476</v>
      </c>
      <c r="C71" s="220">
        <f>D70</f>
        <v>44146.466056577476</v>
      </c>
      <c r="D71" s="220">
        <f>(E71/24)+C71+(G71/24)</f>
        <v>44146.524931577478</v>
      </c>
      <c r="E71" s="219">
        <f>INDEX('[1]Work sheet'!$G$2:$G$240,MATCH(I71,'[1]Work sheet'!$K$2:$K$240,0))+IFERROR(IF(FIND("WASH",J70,1)&gt;0,0,0.267),0.167)</f>
        <v>1.413</v>
      </c>
      <c r="F71" s="218">
        <f>IFERROR(MROUND((L71/((INDEX('[1]Work sheet'!$G$2:$G$239,MATCH(I71,'[1]Work sheet'!$K$2:$K$239,0))*0.68)*60)),0.5),"")</f>
        <v>8.5</v>
      </c>
      <c r="G71" s="217"/>
      <c r="H71" s="175">
        <f>LEN(J71)-LEN(SUBSTITUTE(J71,",",""))</f>
        <v>1</v>
      </c>
      <c r="I71" s="175">
        <f>'[1]Work sheet'!K65</f>
        <v>1129810</v>
      </c>
      <c r="J71" s="174" t="str">
        <f>VLOOKUP(I71,'[1]Work sheet'!$K$2:L686,2,0)</f>
        <v>TE/MN-4.00 P1,1C 4UN CTN 2 BAG</v>
      </c>
      <c r="K71" s="173">
        <f>VLOOKUP(I71,'[1]Work sheet'!$K$2:O803,3,0)</f>
        <v>216</v>
      </c>
      <c r="L71" s="173">
        <f>VLOOKUP(I71,'[1]Work sheet'!$K$2:O1198,4,0)</f>
        <v>432</v>
      </c>
      <c r="M71" s="171" t="str">
        <f>VLOOKUP(I71,'[1]Work sheet'!$K$2:T1507,10,0)</f>
        <v>CIT/ASC</v>
      </c>
      <c r="N71" s="172" t="str">
        <f>IFERROR(VLOOKUP(I71,'[1]PO Numbers'!$R$2:S263,2,0),"TBC")</f>
        <v>106991026</v>
      </c>
      <c r="O71" s="171" t="str">
        <f>IFERROR(VLOOKUP(VALUE(N71),'[1]PO Numbers'!$F$1:$J$400,5,0),"xxx")</f>
        <v>PI01</v>
      </c>
      <c r="P71" s="83" t="str">
        <f>VLOOKUP(I71,'[1]Work sheet'!$K$2:AA1123,13,0)</f>
        <v>2 of 1135003 (TSO)</v>
      </c>
      <c r="Q71" s="170">
        <f>VLOOKUP(I71,'[1]Work sheet'!$K$2:AI803,16,0)</f>
        <v>8.3000000000000007</v>
      </c>
      <c r="R71" s="168" t="str">
        <f>VLOOKUP(I71,'[1]Work sheet'!$K$2:AA483,17,0)</f>
        <v>7-8Kgs CIT, 0-1Kgs ASC</v>
      </c>
      <c r="S71" s="169" t="str">
        <f>VLOOKUP(I71,'[1]Work sheet'!$K$2:AL366,28,0)</f>
        <v/>
      </c>
      <c r="T71" s="168" t="str">
        <f>IFERROR(VLOOKUP(I71,[1]Label!$A$1:C1043,3,0),"")</f>
        <v/>
      </c>
      <c r="U71" s="165" t="str">
        <f>IFERROR(IF(OR(VLOOKUP(I71,'[1]Work sheet'!$K$2:U688,11,0)="530",VLOOKUP(I71,'[1]Work sheet'!$K$2:U688,11,0)="526"),"BTO",""),"")</f>
        <v/>
      </c>
      <c r="V71" s="165"/>
      <c r="W71" s="167" t="str">
        <f>IF(COUNTIF('[1]OB Connect'!$F$13:$F$364,N71),"On Openbatch", "No")</f>
        <v>No</v>
      </c>
      <c r="X71" s="166" t="e">
        <f>X70</f>
        <v>#REF!</v>
      </c>
      <c r="Y71" s="274" t="e">
        <f>E71+G71+Y70</f>
        <v>#REF!</v>
      </c>
      <c r="Z71" s="165" t="e">
        <f>IF(Y71&lt;=12,"Shift 1",IF(AND(Y71&gt;12,Y71&lt;=24),"Shift 2",IF(AND(Y71&gt;24,Y71&lt;=36),"Shift 3",IF(AND(Y71&gt;36,Y71&lt;=48),"Shift 4",IF(AND(Y71&gt;48,Y71&lt;=60),"Shift 5",IF(AND(Y71&gt;60,Y71&lt;=72),"Shift 6",IF(AND(Y71&gt;72,Y71&lt;=84),"Shift 7",IF(AND(Y71&gt;84,Y71&lt;=96),IF(AND(Y71&gt;84,Y71&lt;=96),"Shift 8",),"Shift 9"))))))))</f>
        <v>#REF!</v>
      </c>
    </row>
    <row r="72" spans="1:147" ht="25" x14ac:dyDescent="0.25">
      <c r="A72" s="194"/>
      <c r="B72" s="116">
        <f>D71</f>
        <v>44146.524931577478</v>
      </c>
      <c r="C72" s="220">
        <f>D71</f>
        <v>44146.524931577478</v>
      </c>
      <c r="D72" s="220">
        <f>(E72/24)+C72+(G72/24)</f>
        <v>44146.649931577478</v>
      </c>
      <c r="E72" s="219">
        <f>INDEX('[1]Work sheet'!$G$2:$G$240,MATCH(I72,'[1]Work sheet'!$K$2:$K$240,0))+IFERROR(IF(FIND("WASH",J71,1)&gt;0,0,0.267),0.167)</f>
        <v>0.25</v>
      </c>
      <c r="F72" s="218">
        <f>IFERROR(MROUND((L72/((INDEX('[1]Work sheet'!$G$2:$G$239,MATCH(I72,'[1]Work sheet'!$K$2:$K$239,0))*0.68)*60)),0.5),"")</f>
        <v>8</v>
      </c>
      <c r="G72" s="276">
        <v>2.75</v>
      </c>
      <c r="H72" s="175">
        <f>LEN(J72)-LEN(SUBSTITUTE(J72,",",""))</f>
        <v>3</v>
      </c>
      <c r="I72" s="175">
        <f>'[1]Work sheet'!K66</f>
        <v>1618408</v>
      </c>
      <c r="J72" s="174" t="str">
        <f>VLOOKUP(I72,'[1]Work sheet'!$K$2:L687,2,0)</f>
        <v>MN/KW/V-1.031 P1,1A,1B,3 2UN CTN 1 BAG</v>
      </c>
      <c r="K72" s="173">
        <f>VLOOKUP(I72,'[1]Work sheet'!$K$2:O804,3,0)</f>
        <v>27</v>
      </c>
      <c r="L72" s="173">
        <f>VLOOKUP(I72,'[1]Work sheet'!$K$2:O1199,4,0)</f>
        <v>27</v>
      </c>
      <c r="M72" s="171" t="str">
        <f>VLOOKUP(I72,'[1]Work sheet'!$K$2:T1508,10,0)</f>
        <v>CIT/ASC/8381</v>
      </c>
      <c r="N72" s="172" t="str">
        <f>IFERROR(VLOOKUP(I72,'[1]PO Numbers'!$R$2:S264,2,0),"TBC")</f>
        <v>106990984</v>
      </c>
      <c r="O72" s="171" t="str">
        <f>IFERROR(VLOOKUP(VALUE(N72),'[1]PO Numbers'!$F$1:$J$400,5,0),"xxx")</f>
        <v>PI01</v>
      </c>
      <c r="P72" s="83" t="str">
        <f>VLOOKUP(I72,'[1]Work sheet'!$K$2:AA1124,13,0)</f>
        <v>1 of 1618407 (624/6252/6384.1), 1 of 1096397 (811), 1 of 1059666 (ASP/616/609)</v>
      </c>
      <c r="Q72" s="170">
        <f>VLOOKUP(I72,'[1]Work sheet'!$K$2:AI804,16,0)</f>
        <v>11.726000000000001</v>
      </c>
      <c r="R72" s="168" t="str">
        <f>VLOOKUP(I72,'[1]Work sheet'!$K$2:AA484,17,0)</f>
        <v>9-10Kgs CIT, 1-2Kgs 8381, 0-1Kgs ASC</v>
      </c>
      <c r="S72" s="169" t="str">
        <f>VLOOKUP(I72,'[1]Work sheet'!$K$2:AL367,28,0)</f>
        <v/>
      </c>
      <c r="T72" s="168" t="str">
        <f>IFERROR(VLOOKUP(I72,[1]Label!$A$1:C1044,3,0),"")</f>
        <v/>
      </c>
      <c r="U72" s="165" t="str">
        <f>IFERROR(IF(OR(VLOOKUP(I72,'[1]Work sheet'!$K$2:U689,11,0)="530",VLOOKUP(I72,'[1]Work sheet'!$K$2:U689,11,0)="526"),"BTO",""),"")</f>
        <v/>
      </c>
      <c r="V72" s="165"/>
      <c r="W72" s="167" t="str">
        <f>IF(COUNTIF('[1]OB Connect'!$F$13:$F$364,N72),"On Openbatch", "No")</f>
        <v>No</v>
      </c>
      <c r="X72" s="166" t="e">
        <f>X71</f>
        <v>#REF!</v>
      </c>
      <c r="Y72" s="274" t="e">
        <f>E72+G72+Y71</f>
        <v>#REF!</v>
      </c>
      <c r="Z72" s="165" t="e">
        <f>IF(Y72&lt;=12,"Shift 1",IF(AND(Y72&gt;12,Y72&lt;=24),"Shift 2",IF(AND(Y72&gt;24,Y72&lt;=36),"Shift 3",IF(AND(Y72&gt;36,Y72&lt;=48),"Shift 4",IF(AND(Y72&gt;48,Y72&lt;=60),"Shift 5",IF(AND(Y72&gt;60,Y72&lt;=72),"Shift 6",IF(AND(Y72&gt;72,Y72&lt;=84),"Shift 7",IF(AND(Y72&gt;84,Y72&lt;=96),IF(AND(Y72&gt;84,Y72&lt;=96),"Shift 8",),"Shift 9"))))))))</f>
        <v>#REF!</v>
      </c>
    </row>
    <row r="73" spans="1:147" ht="25" x14ac:dyDescent="0.25">
      <c r="B73" s="116">
        <f>D72</f>
        <v>44146.649931577478</v>
      </c>
      <c r="C73" s="220">
        <f>D72</f>
        <v>44146.649931577478</v>
      </c>
      <c r="D73" s="220">
        <f>(E73/24)+C73+(G73/24)</f>
        <v>44146.767181577481</v>
      </c>
      <c r="E73" s="219">
        <f>INDEX('[1]Work sheet'!$G$2:$G$240,MATCH(I73,'[1]Work sheet'!$K$2:$K$240,0))+IFERROR(IF(FIND("WASH",J72,1)&gt;0,0,0.267),0.167)</f>
        <v>2.8139999999999996</v>
      </c>
      <c r="F73" s="218">
        <f>IFERROR(MROUND((L73/((INDEX('[1]Work sheet'!$G$2:$G$239,MATCH(I73,'[1]Work sheet'!$K$2:$K$239,0))*0.68)*60)),0.5),"")</f>
        <v>8</v>
      </c>
      <c r="G73" s="217"/>
      <c r="H73" s="175">
        <f>LEN(J73)-LEN(SUBSTITUTE(J73,",",""))</f>
        <v>0</v>
      </c>
      <c r="I73" s="175">
        <f>'[1]Work sheet'!K67</f>
        <v>1745898</v>
      </c>
      <c r="J73" s="174" t="str">
        <f>VLOOKUP(I73,'[1]Work sheet'!$K$2:L688,2,0)</f>
        <v>PA/V-204.97 P1K 1UN CTN 1 BAG CQ</v>
      </c>
      <c r="K73" s="173">
        <f>VLOOKUP(I73,'[1]Work sheet'!$K$2:O805,3,0)</f>
        <v>864</v>
      </c>
      <c r="L73" s="173">
        <f>VLOOKUP(I73,'[1]Work sheet'!$K$2:O1200,4,0)</f>
        <v>864</v>
      </c>
      <c r="M73" s="171" t="str">
        <f>VLOOKUP(I73,'[1]Work sheet'!$K$2:T1509,10,0)</f>
        <v>CIT/TSO/8381</v>
      </c>
      <c r="N73" s="172" t="str">
        <f>IFERROR(VLOOKUP(I73,'[1]PO Numbers'!$R$2:S265,2,0),"TBC")</f>
        <v>106990991</v>
      </c>
      <c r="O73" s="171" t="str">
        <f>IFERROR(VLOOKUP(VALUE(N73),'[1]PO Numbers'!$F$1:$J$400,5,0),"xxx")</f>
        <v>PI01</v>
      </c>
      <c r="P73" s="83" t="str">
        <f>VLOOKUP(I73,'[1]Work sheet'!$K$2:AA1125,13,0)</f>
        <v/>
      </c>
      <c r="Q73" s="170">
        <f>VLOOKUP(I73,'[1]Work sheet'!$K$2:AI805,16,0)</f>
        <v>12.185</v>
      </c>
      <c r="R73" s="168" t="str">
        <f>VLOOKUP(I73,'[1]Work sheet'!$K$2:AA485,17,0)</f>
        <v>10-11Kgs CIT, 1-2Kgs TSO, 0-1Kgs 8381</v>
      </c>
      <c r="S73" s="169" t="str">
        <f>VLOOKUP(I73,'[1]Work sheet'!$K$2:AL368,28,0)</f>
        <v/>
      </c>
      <c r="T73" s="168" t="str">
        <f>IFERROR(VLOOKUP(I73,[1]Label!$A$1:C1045,3,0),"")</f>
        <v/>
      </c>
      <c r="U73" s="165" t="str">
        <f>IFERROR(IF(OR(VLOOKUP(I73,'[1]Work sheet'!$K$2:U690,11,0)="530",VLOOKUP(I73,'[1]Work sheet'!$K$2:U690,11,0)="526"),"BTO",""),"")</f>
        <v/>
      </c>
      <c r="V73" s="165"/>
      <c r="W73" s="167" t="str">
        <f>IF(COUNTIF('[1]OB Connect'!$F$13:$F$364,N73),"On Openbatch", "No")</f>
        <v>No</v>
      </c>
      <c r="X73" s="166" t="e">
        <f>X72</f>
        <v>#REF!</v>
      </c>
      <c r="Y73" s="274" t="e">
        <f>E73+G73+Y72</f>
        <v>#REF!</v>
      </c>
      <c r="Z73" s="165" t="e">
        <f>IF(Y73&lt;=12,"Shift 1",IF(AND(Y73&gt;12,Y73&lt;=24),"Shift 2",IF(AND(Y73&gt;24,Y73&lt;=36),"Shift 3",IF(AND(Y73&gt;36,Y73&lt;=48),"Shift 4",IF(AND(Y73&gt;48,Y73&lt;=60),"Shift 5",IF(AND(Y73&gt;60,Y73&lt;=72),"Shift 6",IF(AND(Y73&gt;72,Y73&lt;=84),"Shift 7",IF(AND(Y73&gt;84,Y73&lt;=96),IF(AND(Y73&gt;84,Y73&lt;=96),"Shift 8",),"Shift 9"))))))))</f>
        <v>#REF!</v>
      </c>
    </row>
    <row r="74" spans="1:147" s="58" customFormat="1" ht="13" x14ac:dyDescent="0.25">
      <c r="A74" s="118"/>
      <c r="B74" s="126">
        <f>D73</f>
        <v>44146.767181577481</v>
      </c>
      <c r="C74" s="125">
        <f>D73</f>
        <v>44146.767181577481</v>
      </c>
      <c r="D74" s="125">
        <f>(E74/24)+C74+(G74/24)</f>
        <v>44146.808848244145</v>
      </c>
      <c r="E74" s="124">
        <v>1</v>
      </c>
      <c r="F74" s="124"/>
      <c r="G74" s="123"/>
      <c r="H74" s="119"/>
      <c r="I74" s="122"/>
      <c r="J74" s="118" t="s">
        <v>11</v>
      </c>
      <c r="K74" s="121"/>
      <c r="L74" s="120"/>
      <c r="M74" s="118"/>
      <c r="N74" s="118"/>
      <c r="O74" s="118"/>
      <c r="P74" s="117"/>
      <c r="Q74" s="119"/>
      <c r="R74" s="118"/>
      <c r="S74" s="117"/>
      <c r="T74" s="117"/>
      <c r="U74" s="23"/>
      <c r="V74" s="21"/>
      <c r="W74" s="22"/>
      <c r="X74" s="22"/>
      <c r="Y74" s="21"/>
      <c r="Z74" s="20"/>
      <c r="AA74" s="60"/>
      <c r="AB74" s="60"/>
      <c r="AC74" s="60"/>
      <c r="AD74" s="60"/>
      <c r="AE74" s="60"/>
      <c r="AF74" s="60"/>
      <c r="AG74" s="60"/>
      <c r="AH74" s="60"/>
      <c r="AI74" s="60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BN74" s="59"/>
      <c r="BO74" s="59"/>
      <c r="BP74" s="59"/>
      <c r="BQ74" s="59"/>
      <c r="BR74" s="59"/>
      <c r="BS74" s="59"/>
      <c r="BT74" s="59"/>
      <c r="BU74" s="59"/>
      <c r="BV74" s="59"/>
      <c r="BW74" s="59"/>
      <c r="BX74" s="59"/>
      <c r="BY74" s="59"/>
      <c r="BZ74" s="59"/>
      <c r="CA74" s="59"/>
      <c r="CB74" s="59"/>
      <c r="CC74" s="59"/>
      <c r="CD74" s="59"/>
      <c r="CE74" s="59"/>
      <c r="CF74" s="59"/>
      <c r="CG74" s="59"/>
      <c r="CH74" s="59"/>
      <c r="CI74" s="59"/>
      <c r="CJ74" s="59"/>
      <c r="CK74" s="59"/>
      <c r="CL74" s="59"/>
      <c r="CM74" s="59"/>
      <c r="CN74" s="59"/>
      <c r="CO74" s="59"/>
      <c r="CP74" s="59"/>
      <c r="CQ74" s="59"/>
      <c r="CR74" s="59"/>
      <c r="CS74" s="59"/>
      <c r="CT74" s="59"/>
      <c r="CU74" s="59"/>
      <c r="CV74" s="59"/>
      <c r="CW74" s="59"/>
      <c r="CX74" s="59"/>
      <c r="CY74" s="59"/>
      <c r="CZ74" s="59"/>
      <c r="DA74" s="59"/>
      <c r="DB74" s="59"/>
      <c r="DC74" s="59"/>
      <c r="DD74" s="59"/>
      <c r="DE74" s="59"/>
      <c r="DF74" s="59"/>
      <c r="DG74" s="59"/>
      <c r="DH74" s="59"/>
      <c r="DI74" s="59"/>
      <c r="DJ74" s="59"/>
      <c r="DK74" s="59"/>
      <c r="DL74" s="59"/>
      <c r="DM74" s="59"/>
      <c r="DN74" s="59"/>
      <c r="DO74" s="59"/>
      <c r="DP74" s="59"/>
      <c r="DQ74" s="59"/>
      <c r="DR74" s="59"/>
      <c r="DS74" s="59"/>
      <c r="DT74" s="59"/>
      <c r="DU74" s="59"/>
      <c r="DV74" s="59"/>
      <c r="DW74" s="59"/>
      <c r="DX74" s="59"/>
      <c r="DY74" s="59"/>
      <c r="DZ74" s="59"/>
      <c r="EA74" s="59"/>
      <c r="EB74" s="59"/>
      <c r="EC74" s="59"/>
      <c r="ED74" s="59"/>
      <c r="EE74" s="59"/>
      <c r="EF74" s="59"/>
      <c r="EG74" s="59"/>
      <c r="EH74" s="59"/>
      <c r="EI74" s="59"/>
      <c r="EJ74" s="59"/>
      <c r="EK74" s="59"/>
      <c r="EL74" s="59"/>
      <c r="EM74" s="59"/>
      <c r="EN74" s="59"/>
      <c r="EO74" s="59"/>
      <c r="EP74" s="59"/>
      <c r="EQ74" s="59"/>
    </row>
    <row r="75" spans="1:147" ht="13" x14ac:dyDescent="0.25">
      <c r="B75" s="116">
        <f>D74</f>
        <v>44146.808848244145</v>
      </c>
      <c r="C75" s="220">
        <f>D74</f>
        <v>44146.808848244145</v>
      </c>
      <c r="D75" s="220">
        <f>(E75/24)+C75+(G75/24)</f>
        <v>44146.818380106888</v>
      </c>
      <c r="E75" s="219">
        <f>INDEX('[1]Work sheet'!$G$2:$G$240,MATCH(I75,'[1]Work sheet'!$K$2:$K$240,0))+IFERROR(IF(FIND("WASH",J73,1)&gt;0,0,0.267),0.167)</f>
        <v>0.22876470588235295</v>
      </c>
      <c r="F75" s="218">
        <f>IFERROR(MROUND((L75/((INDEX('[1]Work sheet'!$G$2:$G$239,MATCH(I75,'[1]Work sheet'!$K$2:$K$239,0))*0.68)*60)),0.5),"")</f>
        <v>8.5</v>
      </c>
      <c r="G75" s="276"/>
      <c r="H75" s="175">
        <f>LEN(J75)-LEN(SUBSTITUTE(J75,",",""))</f>
        <v>1</v>
      </c>
      <c r="I75" s="183">
        <f>'[1]Work sheet'!K68</f>
        <v>1762559</v>
      </c>
      <c r="J75" s="216" t="str">
        <f>VLOOKUP(I75,'[1]Work sheet'!$K$2:L689,2,0)</f>
        <v>FP-698.00 P1D,1E 5UN CTN 1BAG</v>
      </c>
      <c r="K75" s="286">
        <f>VLOOKUP(I75,'[1]Work sheet'!$K$2:O806,3,0)</f>
        <v>21</v>
      </c>
      <c r="L75" s="286">
        <f>VLOOKUP(I75,'[1]Work sheet'!$K$2:O1201,4,0)</f>
        <v>21</v>
      </c>
      <c r="M75" s="275" t="str">
        <f>VLOOKUP(I75,'[1]Work sheet'!$K$2:T1510,10,0)</f>
        <v>CIT/838</v>
      </c>
      <c r="N75" s="172">
        <v>107000004</v>
      </c>
      <c r="O75" s="171" t="s">
        <v>17</v>
      </c>
      <c r="P75" s="83" t="str">
        <f>VLOOKUP(I75,'[1]Work sheet'!$K$2:AA1126,13,0)</f>
        <v>1 of 1762556 (635/637/6581)</v>
      </c>
      <c r="Q75" s="170">
        <f>VLOOKUP(I75,'[1]Work sheet'!$K$2:AI806,16,0)</f>
        <v>7.9</v>
      </c>
      <c r="R75" s="168" t="str">
        <f>VLOOKUP(I75,'[1]Work sheet'!$K$2:AA486,17,0)</f>
        <v>6-7Kgs CIT, 1-2Kgs 838</v>
      </c>
      <c r="S75" s="169" t="str">
        <f>VLOOKUP(I75,'[1]Work sheet'!$K$2:AL369,28,0)</f>
        <v/>
      </c>
      <c r="T75" s="168" t="str">
        <f>IFERROR(VLOOKUP(I75,[1]Label!$A$1:C1046,3,0),"")</f>
        <v/>
      </c>
      <c r="U75" s="165" t="str">
        <f>IFERROR(IF(OR(VLOOKUP(I75,'[1]Work sheet'!$K$2:U691,11,0)="530",VLOOKUP(I75,'[1]Work sheet'!$K$2:U691,11,0)="526"),"BTO",""),"")</f>
        <v/>
      </c>
      <c r="V75" s="165"/>
      <c r="W75" s="167" t="str">
        <f>IF(COUNTIF('[1]OB Connect'!$F$13:$F$364,N75),"On Openbatch", "No")</f>
        <v>On Openbatch</v>
      </c>
      <c r="X75" s="166" t="e">
        <f>X73</f>
        <v>#REF!</v>
      </c>
      <c r="Y75" s="274" t="e">
        <f>E75+G75+Y73</f>
        <v>#REF!</v>
      </c>
      <c r="Z75" s="165" t="e">
        <f>IF(Y75&lt;=12,"Shift 1",IF(AND(Y75&gt;12,Y75&lt;=24),"Shift 2",IF(AND(Y75&gt;24,Y75&lt;=36),"Shift 3",IF(AND(Y75&gt;36,Y75&lt;=48),"Shift 4",IF(AND(Y75&gt;48,Y75&lt;=60),"Shift 5",IF(AND(Y75&gt;60,Y75&lt;=72),"Shift 6",IF(AND(Y75&gt;72,Y75&lt;=84),"Shift 7",IF(AND(Y75&gt;84,Y75&lt;=96),IF(AND(Y75&gt;84,Y75&lt;=96),"Shift 8",),"Shift 9"))))))))</f>
        <v>#REF!</v>
      </c>
    </row>
    <row r="76" spans="1:147" ht="25" x14ac:dyDescent="0.25">
      <c r="A76" s="282" t="s">
        <v>64</v>
      </c>
      <c r="B76" s="116">
        <f>D75</f>
        <v>44146.818380106888</v>
      </c>
      <c r="C76" s="220">
        <f>D75</f>
        <v>44146.818380106888</v>
      </c>
      <c r="D76" s="220">
        <f>(E76/24)+C76+(G76/24)</f>
        <v>44146.871255106882</v>
      </c>
      <c r="E76" s="219">
        <f>INDEX('[1]Work sheet'!$G$2:$G$240,MATCH(I76,'[1]Work sheet'!$K$2:$K$240,0))+IFERROR(IF(FIND("WASH",J75,1)&gt;0,0,0.267),0.167)</f>
        <v>0.26900000000000002</v>
      </c>
      <c r="F76" s="218">
        <f>IFERROR(MROUND((L76/((INDEX('[1]Work sheet'!$G$2:$G$239,MATCH(I76,'[1]Work sheet'!$K$2:$K$239,0))*0.68)*60)),0.5),"")</f>
        <v>6.5</v>
      </c>
      <c r="G76" s="276">
        <v>1</v>
      </c>
      <c r="H76" s="175">
        <f>LEN(J76)-LEN(SUBSTITUTE(J76,",",""))</f>
        <v>3</v>
      </c>
      <c r="I76" s="281">
        <f>'[1]Work sheet'!K69</f>
        <v>1774744</v>
      </c>
      <c r="J76" s="174" t="str">
        <f>VLOOKUP(I76,'[1]Work sheet'!$K$2:L690,2,0)</f>
        <v>MN/PF/V-19.001 P1,1A,1B,3 2UN CTN 1 BAG</v>
      </c>
      <c r="K76" s="173">
        <f>VLOOKUP(I76,'[1]Work sheet'!$K$2:O807,3,0)</f>
        <v>27</v>
      </c>
      <c r="L76" s="173">
        <f>VLOOKUP(I76,'[1]Work sheet'!$K$2:O1202,4,0)</f>
        <v>27</v>
      </c>
      <c r="M76" s="171" t="str">
        <f>VLOOKUP(I76,'[1]Work sheet'!$K$2:T1511,10,0)</f>
        <v>CIT/ASC/838</v>
      </c>
      <c r="N76" s="172" t="str">
        <f>IFERROR(VLOOKUP(I76,'[1]PO Numbers'!$R$2:S267,2,0),"TBC")</f>
        <v>106986699</v>
      </c>
      <c r="O76" s="171" t="str">
        <f>IFERROR(VLOOKUP(VALUE(N76),'[1]PO Numbers'!$F$1:$J$400,5,0),"xxx")</f>
        <v>YPI5</v>
      </c>
      <c r="P76" s="83" t="str">
        <f>VLOOKUP(I76,'[1]Work sheet'!$K$2:AA1127,13,0)</f>
        <v>1 of 1618407 (624/6252/6384.1), 1 of 1096397 (811), 1 of 1774741 (616/6171)</v>
      </c>
      <c r="Q76" s="170">
        <f>VLOOKUP(I76,'[1]Work sheet'!$K$2:AI807,16,0)</f>
        <v>11.726000000000001</v>
      </c>
      <c r="R76" s="168" t="str">
        <f>VLOOKUP(I76,'[1]Work sheet'!$K$2:AA487,17,0)</f>
        <v>9-10Kgs CIT, 1-2Kgs 838, 0-1Kgs ASC</v>
      </c>
      <c r="S76" s="280" t="s">
        <v>64</v>
      </c>
      <c r="T76" s="168" t="str">
        <f>IFERROR(VLOOKUP(I76,[1]Label!$A$1:C1047,3,0),"")</f>
        <v/>
      </c>
      <c r="U76" s="165" t="str">
        <f>IFERROR(IF(OR(VLOOKUP(I76,'[1]Work sheet'!$K$2:U692,11,0)="530",VLOOKUP(I76,'[1]Work sheet'!$K$2:U692,11,0)="526"),"BTO",""),"")</f>
        <v/>
      </c>
      <c r="V76" s="165"/>
      <c r="W76" s="167" t="str">
        <f>IF(COUNTIF('[1]OB Connect'!$F$13:$F$364,N76),"On Openbatch", "No")</f>
        <v>On Openbatch</v>
      </c>
      <c r="X76" s="166" t="e">
        <f>X75</f>
        <v>#REF!</v>
      </c>
      <c r="Y76" s="274" t="e">
        <f>E76+G76+Y75</f>
        <v>#REF!</v>
      </c>
      <c r="Z76" s="165" t="e">
        <f>IF(Y76&lt;=12,"Shift 1",IF(AND(Y76&gt;12,Y76&lt;=24),"Shift 2",IF(AND(Y76&gt;24,Y76&lt;=36),"Shift 3",IF(AND(Y76&gt;36,Y76&lt;=48),"Shift 4",IF(AND(Y76&gt;48,Y76&lt;=60),"Shift 5",IF(AND(Y76&gt;60,Y76&lt;=72),"Shift 6",IF(AND(Y76&gt;72,Y76&lt;=84),"Shift 7",IF(AND(Y76&gt;84,Y76&lt;=96),IF(AND(Y76&gt;84,Y76&lt;=96),"Shift 8",),"Shift 9"))))))))</f>
        <v>#REF!</v>
      </c>
    </row>
    <row r="77" spans="1:147" ht="25" x14ac:dyDescent="0.25">
      <c r="B77" s="116">
        <f>D76</f>
        <v>44146.871255106882</v>
      </c>
      <c r="C77" s="220">
        <f>D76</f>
        <v>44146.871255106882</v>
      </c>
      <c r="D77" s="220">
        <f>(E77/24)+C77+(G77/24)</f>
        <v>44146.898705243497</v>
      </c>
      <c r="E77" s="219">
        <f>INDEX('[1]Work sheet'!$G$2:$G$240,MATCH(I77,'[1]Work sheet'!$K$2:$K$240,0))+IFERROR(IF(FIND("WASH",J76,1)&gt;0,0,0.267),0.167)</f>
        <v>0.65880327868852462</v>
      </c>
      <c r="F77" s="218">
        <f>IFERROR(MROUND((L77/((INDEX('[1]Work sheet'!$G$2:$G$239,MATCH(I77,'[1]Work sheet'!$K$2:$K$239,0))*0.68)*60)),0.5),"")</f>
        <v>7.5</v>
      </c>
      <c r="G77" s="217"/>
      <c r="H77" s="175">
        <f>LEN(J77)-LEN(SUBSTITUTE(J77,",",""))</f>
        <v>2</v>
      </c>
      <c r="I77" s="175">
        <f>'[1]Work sheet'!K70</f>
        <v>1617831</v>
      </c>
      <c r="J77" s="174" t="str">
        <f>VLOOKUP(I77,'[1]Work sheet'!$K$2:L691,2,0)</f>
        <v>PA/V-204.161/.221 P1U,1B,1C 4UN CTN 1 BG</v>
      </c>
      <c r="K77" s="173">
        <f>VLOOKUP(I77,'[1]Work sheet'!$K$2:O808,3,0)</f>
        <v>150</v>
      </c>
      <c r="L77" s="173">
        <f>VLOOKUP(I77,'[1]Work sheet'!$K$2:O1203,4,0)</f>
        <v>150</v>
      </c>
      <c r="M77" s="171" t="str">
        <f>VLOOKUP(I77,'[1]Work sheet'!$K$2:T1512,10,0)</f>
        <v>CIT/ASC/TSO/838</v>
      </c>
      <c r="N77" s="172" t="str">
        <f>IFERROR(VLOOKUP(I77,'[1]PO Numbers'!$R$2:S268,2,0),"TBC")</f>
        <v>106990972</v>
      </c>
      <c r="O77" s="171" t="str">
        <f>IFERROR(VLOOKUP(VALUE(N77),'[1]PO Numbers'!$F$1:$J$400,5,0),"xxx")</f>
        <v>PI01</v>
      </c>
      <c r="P77" s="83" t="str">
        <f>VLOOKUP(I77,'[1]Work sheet'!$K$2:AA1128,13,0)</f>
        <v>1 of 1616896 (SBZ/811), 1 of 1616895 (623/624/628/6252)</v>
      </c>
      <c r="Q77" s="170">
        <f>VLOOKUP(I77,'[1]Work sheet'!$K$2:AI808,16,0)</f>
        <v>11.286</v>
      </c>
      <c r="R77" s="168" t="str">
        <f>VLOOKUP(I77,'[1]Work sheet'!$K$2:AA488,17,0)</f>
        <v>4-5Kgs TSO, 3-4Kgs CIT, 2-3Kgs 838, 0-1Kgs ASC</v>
      </c>
      <c r="S77" s="169" t="str">
        <f>VLOOKUP(I77,'[1]Work sheet'!$K$2:AL371,28,0)</f>
        <v/>
      </c>
      <c r="T77" s="168" t="str">
        <f>IFERROR(VLOOKUP(I77,[1]Label!$A$1:C1048,3,0),"")</f>
        <v/>
      </c>
      <c r="U77" s="165" t="str">
        <f>IFERROR(IF(OR(VLOOKUP(I77,'[1]Work sheet'!$K$2:U693,11,0)="530",VLOOKUP(I77,'[1]Work sheet'!$K$2:U693,11,0)="526"),"BTO",""),"")</f>
        <v/>
      </c>
      <c r="V77" s="165"/>
      <c r="W77" s="167" t="str">
        <f>IF(COUNTIF('[1]OB Connect'!$F$13:$F$364,N77),"On Openbatch", "No")</f>
        <v>On Openbatch</v>
      </c>
      <c r="X77" s="297"/>
      <c r="Y77" s="296"/>
      <c r="Z77" s="295"/>
    </row>
    <row r="78" spans="1:147" ht="25" x14ac:dyDescent="0.25">
      <c r="B78" s="116">
        <f>D77</f>
        <v>44146.898705243497</v>
      </c>
      <c r="C78" s="220">
        <f>D77</f>
        <v>44146.898705243497</v>
      </c>
      <c r="D78" s="220">
        <f>(E78/24)+C78+(G78/24)</f>
        <v>44146.933246910165</v>
      </c>
      <c r="E78" s="219">
        <f>INDEX('[1]Work sheet'!$G$2:$G$240,MATCH(I78,'[1]Work sheet'!$K$2:$K$240,0))+IFERROR(IF(FIND("WASH",J77,1)&gt;0,0,0.267),0.167)</f>
        <v>0.82900000000000007</v>
      </c>
      <c r="F78" s="218">
        <f>IFERROR(MROUND((L78/((INDEX('[1]Work sheet'!$G$2:$G$239,MATCH(I78,'[1]Work sheet'!$K$2:$K$239,0))*0.68)*60)),0.5),"")</f>
        <v>6</v>
      </c>
      <c r="G78" s="276"/>
      <c r="H78" s="175">
        <f>LEN(J78)-LEN(SUBSTITUTE(J78,",",""))</f>
        <v>2</v>
      </c>
      <c r="I78" s="175">
        <f>'[1]Work sheet'!K71</f>
        <v>1819196</v>
      </c>
      <c r="J78" s="174" t="str">
        <f>VLOOKUP(I78,'[1]Work sheet'!$K$2:L692,2,0)</f>
        <v>CI-20.601 P1K,1B,1D 1UN CTN 1BAG</v>
      </c>
      <c r="K78" s="173">
        <f>VLOOKUP(I78,'[1]Work sheet'!$K$2:O809,3,0)</f>
        <v>162</v>
      </c>
      <c r="L78" s="173">
        <f>VLOOKUP(I78,'[1]Work sheet'!$K$2:O1204,4,0)</f>
        <v>162</v>
      </c>
      <c r="M78" s="171" t="str">
        <f>VLOOKUP(I78,'[1]Work sheet'!$K$2:T1513,10,0)</f>
        <v>CIT/ASC/TSO/838</v>
      </c>
      <c r="N78" s="172" t="str">
        <f>IFERROR(VLOOKUP(I78,'[1]PO Numbers'!$R$2:S269,2,0),"TBC")</f>
        <v>106990985</v>
      </c>
      <c r="O78" s="171" t="str">
        <f>IFERROR(VLOOKUP(VALUE(N78),'[1]PO Numbers'!$F$1:$J$400,5,0),"xxx")</f>
        <v>PI01</v>
      </c>
      <c r="P78" s="83" t="str">
        <f>VLOOKUP(I78,'[1]Work sheet'!$K$2:AA1129,13,0)</f>
        <v>1 of 1359826 (811), 1 of 1001124 (MFI 7635)</v>
      </c>
      <c r="Q78" s="170">
        <f>VLOOKUP(I78,'[1]Work sheet'!$K$2:AI809,16,0)</f>
        <v>19.809999999999999</v>
      </c>
      <c r="R78" s="168" t="str">
        <f>VLOOKUP(I78,'[1]Work sheet'!$K$2:AA489,17,0)</f>
        <v>16-17Kgs CIT, 1-2Kgs TSO, 1-2Kgs 838, 0-1Kgs ASC</v>
      </c>
      <c r="S78" s="169"/>
      <c r="T78" s="168" t="str">
        <f>IFERROR(VLOOKUP(I78,[1]Label!$A$1:C1049,3,0),"")</f>
        <v/>
      </c>
      <c r="U78" s="165" t="str">
        <f>IFERROR(IF(OR(VLOOKUP(I78,'[1]Work sheet'!$K$2:U694,11,0)="530",VLOOKUP(I78,'[1]Work sheet'!$K$2:U694,11,0)="526"),"BTO",""),"")</f>
        <v/>
      </c>
      <c r="V78" s="165"/>
      <c r="W78" s="167" t="str">
        <f>IF(COUNTIF('[1]OB Connect'!$F$13:$F$364,N78),"On Openbatch", "No")</f>
        <v>On Openbatch</v>
      </c>
      <c r="X78" s="297"/>
      <c r="Y78" s="296"/>
      <c r="Z78" s="295"/>
    </row>
    <row r="79" spans="1:147" ht="25" x14ac:dyDescent="0.25">
      <c r="B79" s="116">
        <f>D78</f>
        <v>44146.933246910165</v>
      </c>
      <c r="C79" s="220">
        <f>D78</f>
        <v>44146.933246910165</v>
      </c>
      <c r="D79" s="220">
        <f>(E79/24)+C79+(G79/24)</f>
        <v>44147.076830243503</v>
      </c>
      <c r="E79" s="219">
        <f>INDEX('[1]Work sheet'!$G$2:$G$240,MATCH(I79,'[1]Work sheet'!$K$2:$K$240,0))+IFERROR(IF(FIND("WASH",J78,1)&gt;0,0,0.267),0.167)</f>
        <v>0.69600000000000006</v>
      </c>
      <c r="F79" s="218">
        <f>IFERROR(MROUND((L79/((INDEX('[1]Work sheet'!$G$2:$G$239,MATCH(I79,'[1]Work sheet'!$K$2:$K$239,0))*0.68)*60)),0.5),"")</f>
        <v>7.5</v>
      </c>
      <c r="G79" s="217">
        <v>2.75</v>
      </c>
      <c r="H79" s="175">
        <f>LEN(J79)-LEN(SUBSTITUTE(J79,",",""))</f>
        <v>0</v>
      </c>
      <c r="I79" s="175">
        <f>'[1]Work sheet'!K72</f>
        <v>1365934</v>
      </c>
      <c r="J79" s="174" t="str">
        <f>VLOOKUP(I79,'[1]Work sheet'!$K$2:L693,2,0)</f>
        <v>PA/V-176.60 P1K 6UN CTN 3 BAGS</v>
      </c>
      <c r="K79" s="173">
        <f>VLOOKUP(I79,'[1]Work sheet'!$K$2:O810,3,0)</f>
        <v>54</v>
      </c>
      <c r="L79" s="173">
        <f>VLOOKUP(I79,'[1]Work sheet'!$K$2:O1205,4,0)</f>
        <v>162</v>
      </c>
      <c r="M79" s="171" t="str">
        <f>VLOOKUP(I79,'[1]Work sheet'!$K$2:T1514,10,0)</f>
        <v>CIT/ASC/TSO/838</v>
      </c>
      <c r="N79" s="172" t="str">
        <f>IFERROR(VLOOKUP(I79,'[1]PO Numbers'!$R$2:S270,2,0),"TBC")</f>
        <v>106991033</v>
      </c>
      <c r="O79" s="171" t="str">
        <f>IFERROR(VLOOKUP(VALUE(N79),'[1]PO Numbers'!$F$1:$J$400,5,0),"xxx")</f>
        <v>PI01</v>
      </c>
      <c r="P79" s="168" t="str">
        <f>VLOOKUP(I79,'[1]Work sheet'!$K$2:AA1130,13,0)</f>
        <v/>
      </c>
      <c r="Q79" s="170">
        <f>VLOOKUP(I79,'[1]Work sheet'!$K$2:AI810,16,0)</f>
        <v>4.9800000000000004</v>
      </c>
      <c r="R79" s="168" t="str">
        <f>VLOOKUP(I79,'[1]Work sheet'!$K$2:AA490,17,0)</f>
        <v>2-3Kgs TSO, 1-2Kgs CIT, 0-1Kgs 838, 0-1Kgs ASC</v>
      </c>
      <c r="S79" s="169" t="str">
        <f>VLOOKUP(I79,'[1]Work sheet'!$K$2:AL373,28,0)</f>
        <v/>
      </c>
      <c r="T79" s="168" t="str">
        <f>IFERROR(VLOOKUP(I79,[1]Label!$A$1:C1050,3,0),"")</f>
        <v/>
      </c>
      <c r="U79" s="165" t="str">
        <f>IFERROR(IF(OR(VLOOKUP(I79,'[1]Work sheet'!$K$2:U695,11,0)="530",VLOOKUP(I79,'[1]Work sheet'!$K$2:U695,11,0)="526"),"BTO",""),"")</f>
        <v/>
      </c>
      <c r="V79" s="165"/>
      <c r="W79" s="167" t="str">
        <f>IF(COUNTIF('[1]OB Connect'!$F$13:$F$364,N79),"On Openbatch", "No")</f>
        <v>On Openbatch</v>
      </c>
      <c r="X79" s="297"/>
      <c r="Y79" s="296"/>
      <c r="Z79" s="295"/>
    </row>
    <row r="80" spans="1:147" ht="19.5" customHeight="1" x14ac:dyDescent="0.25">
      <c r="A80" s="4"/>
      <c r="B80" s="163">
        <f>D79</f>
        <v>44147.076830243503</v>
      </c>
      <c r="C80" s="162">
        <f>D79</f>
        <v>44147.076830243503</v>
      </c>
      <c r="D80" s="162">
        <f>(E80/24)+C80+(G80/24)</f>
        <v>44147.201830243503</v>
      </c>
      <c r="E80" s="64">
        <v>3</v>
      </c>
      <c r="F80" s="64"/>
      <c r="G80" s="161"/>
      <c r="H80" s="271"/>
      <c r="I80" s="271"/>
      <c r="J80" s="273" t="s">
        <v>76</v>
      </c>
      <c r="K80" s="272"/>
      <c r="L80" s="272"/>
      <c r="M80" s="271"/>
      <c r="N80" s="155"/>
      <c r="O80" s="155"/>
      <c r="P80" s="153"/>
      <c r="Q80" s="154"/>
      <c r="R80" s="153"/>
      <c r="S80" s="153"/>
      <c r="T80" s="152"/>
      <c r="U80" s="23"/>
      <c r="V80" s="61"/>
      <c r="W80" s="61"/>
      <c r="X80" s="61"/>
      <c r="Y80" s="61"/>
      <c r="Z80" s="131"/>
    </row>
    <row r="81" spans="1:147" ht="13" x14ac:dyDescent="0.25">
      <c r="A81" s="57"/>
      <c r="B81" s="270"/>
      <c r="C81" s="269"/>
      <c r="D81" s="269"/>
      <c r="E81" s="268">
        <f>COUNT(I2:I79)</f>
        <v>71</v>
      </c>
      <c r="F81" s="268"/>
      <c r="G81" s="267">
        <f>SUM(G2:G80)</f>
        <v>25.75</v>
      </c>
      <c r="H81" s="259"/>
      <c r="I81" s="259"/>
      <c r="J81" s="266"/>
      <c r="K81" s="265">
        <f>SUM(K2:K79)</f>
        <v>13506</v>
      </c>
      <c r="L81" s="265">
        <f>SUM(L2:L79)</f>
        <v>17238</v>
      </c>
      <c r="M81" s="264"/>
      <c r="N81" s="201"/>
      <c r="O81" s="201"/>
      <c r="P81" s="199"/>
      <c r="Q81" s="200" t="s">
        <v>14</v>
      </c>
      <c r="R81" s="199"/>
      <c r="S81" s="253"/>
      <c r="T81" s="199"/>
      <c r="U81" s="23"/>
      <c r="V81" s="61"/>
      <c r="W81" s="61"/>
      <c r="X81" s="61"/>
      <c r="Y81" s="61"/>
      <c r="Z81" s="131"/>
    </row>
    <row r="82" spans="1:147" ht="13" x14ac:dyDescent="0.25">
      <c r="A82" s="57"/>
      <c r="B82" s="294"/>
      <c r="C82" s="269"/>
      <c r="D82" s="269"/>
      <c r="E82" s="178"/>
      <c r="F82" s="178"/>
      <c r="G82" s="177"/>
      <c r="H82" s="259"/>
      <c r="I82" s="259"/>
      <c r="J82" s="258"/>
      <c r="K82" s="257"/>
      <c r="L82" s="256" t="s">
        <v>60</v>
      </c>
      <c r="M82" s="255">
        <f>L81/8.5</f>
        <v>2028</v>
      </c>
      <c r="N82" s="201"/>
      <c r="O82" s="201"/>
      <c r="P82" s="199"/>
      <c r="Q82" s="254"/>
      <c r="R82" s="199"/>
      <c r="S82" s="253"/>
      <c r="T82" s="252"/>
      <c r="U82" s="23"/>
      <c r="V82" s="61"/>
      <c r="W82" s="61"/>
      <c r="X82" s="61"/>
      <c r="Y82" s="61"/>
      <c r="Z82" s="131"/>
    </row>
    <row r="83" spans="1:147" s="149" customFormat="1" ht="39" x14ac:dyDescent="0.25">
      <c r="B83" s="293" t="s">
        <v>75</v>
      </c>
      <c r="C83" s="184" t="s">
        <v>74</v>
      </c>
      <c r="D83" s="292" t="s">
        <v>73</v>
      </c>
      <c r="E83" s="184" t="s">
        <v>72</v>
      </c>
      <c r="F83" s="181" t="s">
        <v>71</v>
      </c>
      <c r="G83" s="291" t="s">
        <v>70</v>
      </c>
      <c r="H83" s="186" t="s">
        <v>30</v>
      </c>
      <c r="I83" s="189" t="s">
        <v>29</v>
      </c>
      <c r="J83" s="189" t="s">
        <v>28</v>
      </c>
      <c r="K83" s="188" t="s">
        <v>27</v>
      </c>
      <c r="L83" s="188" t="s">
        <v>26</v>
      </c>
      <c r="M83" s="187" t="s">
        <v>25</v>
      </c>
      <c r="N83" s="186" t="s">
        <v>24</v>
      </c>
      <c r="O83" s="184" t="s">
        <v>23</v>
      </c>
      <c r="P83" s="184" t="s">
        <v>22</v>
      </c>
      <c r="Q83" s="185" t="s">
        <v>21</v>
      </c>
      <c r="R83" s="184" t="s">
        <v>20</v>
      </c>
      <c r="S83" s="184" t="s">
        <v>19</v>
      </c>
      <c r="T83" s="184" t="s">
        <v>69</v>
      </c>
      <c r="U83" s="23"/>
      <c r="V83" s="61"/>
      <c r="W83" s="61"/>
      <c r="X83" s="61"/>
      <c r="Y83" s="61"/>
      <c r="Z83" s="131"/>
      <c r="AA83" s="3"/>
      <c r="AB83" s="3"/>
      <c r="AC83" s="151"/>
      <c r="AD83" s="151"/>
      <c r="AE83" s="151"/>
      <c r="AF83" s="151"/>
      <c r="AG83" s="151"/>
      <c r="AH83" s="151"/>
      <c r="AI83" s="151"/>
      <c r="AJ83" s="150"/>
      <c r="AK83" s="150"/>
      <c r="AL83" s="150"/>
      <c r="AM83" s="150"/>
      <c r="AN83" s="150"/>
      <c r="AO83" s="150"/>
      <c r="AP83" s="150"/>
      <c r="AQ83" s="150"/>
      <c r="AR83" s="150"/>
      <c r="AS83" s="150"/>
      <c r="AT83" s="150"/>
      <c r="AU83" s="150"/>
      <c r="AV83" s="150"/>
      <c r="AW83" s="150"/>
      <c r="AX83" s="150"/>
      <c r="AY83" s="150"/>
      <c r="AZ83" s="150"/>
      <c r="BA83" s="150"/>
      <c r="BB83" s="150"/>
      <c r="BC83" s="150"/>
      <c r="BD83" s="150"/>
      <c r="BE83" s="150"/>
      <c r="BF83" s="150"/>
      <c r="BG83" s="150"/>
      <c r="BH83" s="150"/>
      <c r="BI83" s="150"/>
      <c r="BJ83" s="150"/>
      <c r="BK83" s="150"/>
      <c r="BL83" s="150"/>
      <c r="BM83" s="150"/>
      <c r="BN83" s="150"/>
      <c r="BO83" s="150"/>
      <c r="BP83" s="150"/>
      <c r="BQ83" s="150"/>
      <c r="BR83" s="150"/>
      <c r="BS83" s="150"/>
      <c r="BT83" s="150"/>
      <c r="BU83" s="150"/>
      <c r="BV83" s="150"/>
      <c r="BW83" s="150"/>
      <c r="BX83" s="150"/>
      <c r="BY83" s="150"/>
      <c r="BZ83" s="150"/>
      <c r="CA83" s="150"/>
      <c r="CB83" s="150"/>
      <c r="CC83" s="150"/>
      <c r="CD83" s="150"/>
      <c r="CE83" s="150"/>
      <c r="CF83" s="150"/>
      <c r="CG83" s="150"/>
      <c r="CH83" s="150"/>
      <c r="CI83" s="150"/>
      <c r="CJ83" s="150"/>
      <c r="CK83" s="150"/>
      <c r="CL83" s="150"/>
      <c r="CM83" s="150"/>
      <c r="CN83" s="150"/>
      <c r="CO83" s="150"/>
      <c r="CP83" s="150"/>
      <c r="CQ83" s="150"/>
      <c r="CR83" s="150"/>
      <c r="CS83" s="150"/>
      <c r="CT83" s="150"/>
      <c r="CU83" s="150"/>
      <c r="CV83" s="150"/>
      <c r="CW83" s="150"/>
      <c r="CX83" s="150"/>
      <c r="CY83" s="150"/>
      <c r="CZ83" s="150"/>
      <c r="DA83" s="150"/>
      <c r="DB83" s="150"/>
      <c r="DC83" s="150"/>
      <c r="DD83" s="150"/>
      <c r="DE83" s="150"/>
      <c r="DF83" s="150"/>
      <c r="DG83" s="150"/>
      <c r="DH83" s="150"/>
      <c r="DI83" s="150"/>
      <c r="DJ83" s="150"/>
      <c r="DK83" s="150"/>
      <c r="DL83" s="150"/>
      <c r="DM83" s="150"/>
      <c r="DN83" s="150"/>
      <c r="DO83" s="150"/>
      <c r="DP83" s="150"/>
      <c r="DQ83" s="150"/>
      <c r="DR83" s="150"/>
      <c r="DS83" s="150"/>
      <c r="DT83" s="150"/>
      <c r="DU83" s="150"/>
      <c r="DV83" s="150"/>
      <c r="DW83" s="150"/>
      <c r="DX83" s="150"/>
      <c r="DY83" s="150"/>
      <c r="DZ83" s="150"/>
      <c r="EA83" s="150"/>
      <c r="EB83" s="150"/>
      <c r="EC83" s="150"/>
      <c r="ED83" s="150"/>
      <c r="EE83" s="150"/>
      <c r="EF83" s="150"/>
      <c r="EG83" s="150"/>
      <c r="EH83" s="150"/>
      <c r="EI83" s="150"/>
      <c r="EJ83" s="150"/>
      <c r="EK83" s="150"/>
      <c r="EL83" s="150"/>
      <c r="EM83" s="150"/>
      <c r="EN83" s="150"/>
      <c r="EO83" s="150"/>
      <c r="EP83" s="150"/>
      <c r="EQ83" s="150"/>
    </row>
    <row r="84" spans="1:147" ht="13" x14ac:dyDescent="0.25">
      <c r="B84" s="226">
        <v>44142.333333333336</v>
      </c>
      <c r="C84" s="220">
        <f>B84</f>
        <v>44142.333333333336</v>
      </c>
      <c r="D84" s="220">
        <f>C84+(E84+G84)*(1/24)</f>
        <v>44142.372083333335</v>
      </c>
      <c r="E84" s="219">
        <f>INDEX('[1]Work sheet'!$G$2:$G$240,MATCH(I84,'[1]Work sheet'!$K$2:$K$240,0))+IFERROR(IF(FIND("WASH",J83,1)&gt;0,0,0.35),0.2)</f>
        <v>0.92999999999999994</v>
      </c>
      <c r="F84" s="218">
        <f>IFERROR(MROUND((L84/((INDEX('[1]Work sheet'!$G$2:$G$239,MATCH(I84,'[1]Work sheet'!$K$2:$K$239,0))*0.58)*60)),0.5),"")</f>
        <v>8.5</v>
      </c>
      <c r="G84" s="217"/>
      <c r="H84" s="175">
        <f>LEN(J84)-LEN(SUBSTITUTE(J84,",",""))</f>
        <v>0</v>
      </c>
      <c r="I84" s="183">
        <f>'[1]Work sheet'!K73</f>
        <v>1243142</v>
      </c>
      <c r="J84" s="216" t="str">
        <f>VLOOKUP(I84,'[1]Work sheet'!$K$2:L675,2,0)</f>
        <v>WIP PART 1B 0.336KG 1UN BAG</v>
      </c>
      <c r="K84" s="286">
        <f>VLOOKUP(I84,'[1]Work sheet'!$K$2:O792,3,0)</f>
        <v>216</v>
      </c>
      <c r="L84" s="286">
        <f>VLOOKUP(I84,'[1]Work sheet'!$K$2:O1187,4,0)</f>
        <v>216</v>
      </c>
      <c r="M84" s="275" t="str">
        <f>VLOOKUP(I84,'[1]Work sheet'!$K$2:T1496,10,0)</f>
        <v>SBZ</v>
      </c>
      <c r="N84" s="172" t="str">
        <f>IFERROR(VLOOKUP(I84,'[1]PO Numbers'!$R$2:S261,2,0),"TBC")</f>
        <v>106991180</v>
      </c>
      <c r="O84" s="171" t="str">
        <f>IFERROR(VLOOKUP(VALUE(N84),'[1]PO Numbers'!$F$1:$J$400,5,0),"xxx")</f>
        <v>PI01</v>
      </c>
      <c r="P84" s="168" t="str">
        <f>VLOOKUP(I84,'[1]Work sheet'!$K$2:AA1112,13,0)</f>
        <v/>
      </c>
      <c r="Q84" s="170">
        <f>VLOOKUP(I84,'[1]Work sheet'!$K$2:AI798,16,0)</f>
        <v>0.3</v>
      </c>
      <c r="R84" s="168" t="str">
        <f>VLOOKUP(I84,'[1]Work sheet'!$K$2:AA472,17,0)</f>
        <v>0-1Kgs SBZ</v>
      </c>
      <c r="S84" s="169" t="str">
        <f>VLOOKUP(I84,'[1]Work sheet'!$K$2:AL355,28,0)</f>
        <v/>
      </c>
      <c r="T84" s="168" t="str">
        <f>IFERROR(VLOOKUP(I84,[1]Label!$A$1:C1035,3,0),"")</f>
        <v/>
      </c>
      <c r="U84" s="165" t="str">
        <f>IFERROR(IF(OR(VLOOKUP(I84,'[1]Work sheet'!$K$2:U680,11,0)="530",VLOOKUP(I84,'[1]Work sheet'!$K$2:U680,11,0)="526"),"BTO",""),"")</f>
        <v/>
      </c>
      <c r="V84" s="165"/>
      <c r="W84" s="167" t="str">
        <f>IF(COUNTIF('[1]OB Connect'!$F$13:$F$364,N84),"On Openbatch", "No")</f>
        <v>No</v>
      </c>
      <c r="X84" s="290" t="s">
        <v>68</v>
      </c>
      <c r="Y84" s="289">
        <f>1+E84+G84</f>
        <v>1.93</v>
      </c>
      <c r="Z84" s="165" t="str">
        <f>IF(Y84&lt;=12,"Shift 1",IF(AND(Y84&gt;12,Y84&lt;=24),"Shift 2",IF(AND(Y84&gt;24,Y84&lt;=36),"Shift 3",IF(AND(Y84&gt;36,Y84&lt;=48),"Shift 4",IF(AND(Y84&gt;48,Y84&lt;=60),"Shift 5",IF(AND(Y84&gt;60,Y84&lt;=72),"Shift 6",IF(AND(Y84&gt;72,Y84&lt;=84),"Shift 7",IF(AND(Y84&gt;84,Y84&lt;=96),IF(AND(Y84&gt;84,Y84&lt;=96),"Shift 8",),"Shift 9"))))))))</f>
        <v>Shift 1</v>
      </c>
    </row>
    <row r="85" spans="1:147" ht="13" x14ac:dyDescent="0.25">
      <c r="B85" s="116">
        <f>D84</f>
        <v>44142.372083333335</v>
      </c>
      <c r="C85" s="220">
        <f>D84</f>
        <v>44142.372083333335</v>
      </c>
      <c r="D85" s="220">
        <f>(E85/24)+C85+(G85/24)</f>
        <v>44142.399416666667</v>
      </c>
      <c r="E85" s="219">
        <f>INDEX('[1]Work sheet'!$G$2:$G$240,MATCH(I85,'[1]Work sheet'!$K$2:$K$240,0))+IFERROR(IF(FIND("WASH",J84,1)&gt;0,0,0.35),0.2)</f>
        <v>0.65600000000000003</v>
      </c>
      <c r="F85" s="218">
        <f>IFERROR(MROUND((L85/((INDEX('[1]Work sheet'!$G$2:$G$239,MATCH(I85,'[1]Work sheet'!$K$2:$K$239,0))*0.58)*60)),0.5),"")</f>
        <v>8.5</v>
      </c>
      <c r="G85" s="217"/>
      <c r="H85" s="175">
        <f>LEN(J85)-LEN(SUBSTITUTE(J85,",",""))</f>
        <v>0</v>
      </c>
      <c r="I85" s="183">
        <f>'[1]Work sheet'!K74</f>
        <v>1001474</v>
      </c>
      <c r="J85" s="174" t="str">
        <f>VLOOKUP(I85,'[1]Work sheet'!$K$2:L676,2,0)</f>
        <v>WIP PART 1B 1.360KG 4UN BAG (813)</v>
      </c>
      <c r="K85" s="173">
        <f>VLOOKUP(I85,'[1]Work sheet'!$K$2:O793,3,0)</f>
        <v>135</v>
      </c>
      <c r="L85" s="173">
        <f>VLOOKUP(I85,'[1]Work sheet'!$K$2:O1188,4,0)</f>
        <v>135</v>
      </c>
      <c r="M85" s="171" t="str">
        <f>VLOOKUP(I85,'[1]Work sheet'!$K$2:T1497,10,0)</f>
        <v>SBZ</v>
      </c>
      <c r="N85" s="172" t="str">
        <f>IFERROR(VLOOKUP(I85,'[1]PO Numbers'!$R$2:S262,2,0),"TBC")</f>
        <v>106991181</v>
      </c>
      <c r="O85" s="171" t="str">
        <f>IFERROR(VLOOKUP(VALUE(N85),'[1]PO Numbers'!$F$1:$J$400,5,0),"xxx")</f>
        <v>PI01</v>
      </c>
      <c r="P85" s="168" t="str">
        <f>VLOOKUP(I85,'[1]Work sheet'!$K$2:AA1113,13,0)</f>
        <v/>
      </c>
      <c r="Q85" s="170">
        <f>VLOOKUP(I85,'[1]Work sheet'!$K$2:AI799,16,0)</f>
        <v>1.4</v>
      </c>
      <c r="R85" s="168" t="str">
        <f>VLOOKUP(I85,'[1]Work sheet'!$K$2:AA473,17,0)</f>
        <v>1-2Kgs SBZ</v>
      </c>
      <c r="S85" s="169" t="str">
        <f>VLOOKUP(I85,'[1]Work sheet'!$K$2:AL356,28,0)</f>
        <v/>
      </c>
      <c r="T85" s="168" t="str">
        <f>IFERROR(VLOOKUP(I85,[1]Label!$A$1:C1036,3,0),"")</f>
        <v/>
      </c>
      <c r="U85" s="165" t="str">
        <f>IFERROR(IF(OR(VLOOKUP(I85,'[1]Work sheet'!$K$2:U681,11,0)="530",VLOOKUP(I85,'[1]Work sheet'!$K$2:U681,11,0)="526"),"BTO",""),"")</f>
        <v/>
      </c>
      <c r="V85" s="165"/>
      <c r="W85" s="167" t="str">
        <f>IF(COUNTIF('[1]OB Connect'!$F$13:$F$364,N85),"On Openbatch", "No")</f>
        <v>No</v>
      </c>
      <c r="X85" s="166" t="str">
        <f>X84</f>
        <v>F_D4B</v>
      </c>
      <c r="Y85" s="274">
        <f>E85+G85+Y84</f>
        <v>2.5859999999999999</v>
      </c>
      <c r="Z85" s="165" t="str">
        <f>IF(Y85&lt;=12,"Shift 1",IF(AND(Y85&gt;12,Y85&lt;=24),"Shift 2",IF(AND(Y85&gt;24,Y85&lt;=36),"Shift 3",IF(AND(Y85&gt;36,Y85&lt;=48),"Shift 4",IF(AND(Y85&gt;48,Y85&lt;=60),"Shift 5",IF(AND(Y85&gt;60,Y85&lt;=72),"Shift 6",IF(AND(Y85&gt;72,Y85&lt;=84),"Shift 7",IF(AND(Y85&gt;84,Y85&lt;=96),IF(AND(Y85&gt;84,Y85&lt;=96),"Shift 8",),"Shift 9"))))))))</f>
        <v>Shift 1</v>
      </c>
    </row>
    <row r="86" spans="1:147" ht="13" x14ac:dyDescent="0.25">
      <c r="B86" s="116">
        <f>D85</f>
        <v>44142.399416666667</v>
      </c>
      <c r="C86" s="220">
        <f>D85</f>
        <v>44142.399416666667</v>
      </c>
      <c r="D86" s="220">
        <f>(E86/24)+C86+(G86/24)</f>
        <v>44142.657791666672</v>
      </c>
      <c r="E86" s="219">
        <f>INDEX('[1]Work sheet'!$G$2:$G$240,MATCH(I86,'[1]Work sheet'!$K$2:$K$240,0))+IFERROR(IF(FIND("WASH",J85,1)&gt;0,0,0.35),0.2)</f>
        <v>3.4510000000000001</v>
      </c>
      <c r="F86" s="218">
        <f>IFERROR(MROUND((L86/((INDEX('[1]Work sheet'!$G$2:$G$239,MATCH(I86,'[1]Work sheet'!$K$2:$K$239,0))*0.58)*60)),0.5),"")</f>
        <v>8</v>
      </c>
      <c r="G86" s="217">
        <v>2.75</v>
      </c>
      <c r="H86" s="175">
        <f>LEN(J86)-LEN(SUBSTITUTE(J86,",",""))</f>
        <v>0</v>
      </c>
      <c r="I86" s="183">
        <f>'[1]Work sheet'!K75</f>
        <v>1812532</v>
      </c>
      <c r="J86" s="174" t="str">
        <f>VLOOKUP(I86,'[1]Work sheet'!$K$2:L677,2,0)</f>
        <v>WIP PART 1B 2.720 KG 8UN BAG (813) L2</v>
      </c>
      <c r="K86" s="173">
        <f>VLOOKUP(I86,'[1]Work sheet'!$K$2:O794,3,0)</f>
        <v>905</v>
      </c>
      <c r="L86" s="173">
        <f>VLOOKUP(I86,'[1]Work sheet'!$K$2:O1189,4,0)</f>
        <v>905</v>
      </c>
      <c r="M86" s="171" t="str">
        <f>VLOOKUP(I86,'[1]Work sheet'!$K$2:T1498,10,0)</f>
        <v>SBZ</v>
      </c>
      <c r="N86" s="172" t="str">
        <f>IFERROR(VLOOKUP(I86,'[1]PO Numbers'!$R$2:S263,2,0),"TBC")</f>
        <v>106991182</v>
      </c>
      <c r="O86" s="171" t="str">
        <f>IFERROR(VLOOKUP(VALUE(N86),'[1]PO Numbers'!$F$1:$J$400,5,0),"xxx")</f>
        <v>PI01</v>
      </c>
      <c r="P86" s="168" t="str">
        <f>VLOOKUP(I86,'[1]Work sheet'!$K$2:AA1114,13,0)</f>
        <v/>
      </c>
      <c r="Q86" s="170">
        <f>VLOOKUP(I86,'[1]Work sheet'!$K$2:AI800,16,0)</f>
        <v>2.72</v>
      </c>
      <c r="R86" s="168" t="str">
        <f>VLOOKUP(I86,'[1]Work sheet'!$K$2:AA474,17,0)</f>
        <v>2-3Kgs SBZ</v>
      </c>
      <c r="S86" s="169" t="str">
        <f>VLOOKUP(I86,'[1]Work sheet'!$K$2:AL357,28,0)</f>
        <v/>
      </c>
      <c r="T86" s="168" t="str">
        <f>IFERROR(VLOOKUP(I86,[1]Label!$A$1:C1037,3,0),"")</f>
        <v/>
      </c>
      <c r="U86" s="165" t="str">
        <f>IFERROR(IF(OR(VLOOKUP(I86,'[1]Work sheet'!$K$2:U682,11,0)="530",VLOOKUP(I86,'[1]Work sheet'!$K$2:U682,11,0)="526"),"BTO",""),"")</f>
        <v/>
      </c>
      <c r="V86" s="165"/>
      <c r="W86" s="167" t="str">
        <f>IF(COUNTIF('[1]OB Connect'!$F$13:$F$364,N86),"On Openbatch", "No")</f>
        <v>No</v>
      </c>
      <c r="X86" s="166" t="str">
        <f>X85</f>
        <v>F_D4B</v>
      </c>
      <c r="Y86" s="274">
        <f>E86+G86+Y85</f>
        <v>8.7870000000000008</v>
      </c>
      <c r="Z86" s="165" t="str">
        <f>IF(Y86&lt;=12,"Shift 1",IF(AND(Y86&gt;12,Y86&lt;=24),"Shift 2",IF(AND(Y86&gt;24,Y86&lt;=36),"Shift 3",IF(AND(Y86&gt;36,Y86&lt;=48),"Shift 4",IF(AND(Y86&gt;48,Y86&lt;=60),"Shift 5",IF(AND(Y86&gt;60,Y86&lt;=72),"Shift 6",IF(AND(Y86&gt;72,Y86&lt;=84),"Shift 7",IF(AND(Y86&gt;84,Y86&lt;=96),IF(AND(Y86&gt;84,Y86&lt;=96),"Shift 8",),"Shift 9"))))))))</f>
        <v>Shift 1</v>
      </c>
    </row>
    <row r="87" spans="1:147" ht="13" x14ac:dyDescent="0.25">
      <c r="B87" s="116">
        <f>D86</f>
        <v>44142.657791666672</v>
      </c>
      <c r="C87" s="220">
        <f>D86</f>
        <v>44142.657791666672</v>
      </c>
      <c r="D87" s="220">
        <f>(E87/24)+C87+(G87/24)</f>
        <v>44142.70416666667</v>
      </c>
      <c r="E87" s="219">
        <f>INDEX('[1]Work sheet'!$G$2:$G$240,MATCH(I87,'[1]Work sheet'!$K$2:$K$240,0))+IFERROR(IF(FIND("WASH",J86,1)&gt;0,0,0.35),0.2)</f>
        <v>1.113</v>
      </c>
      <c r="F87" s="218">
        <f>IFERROR(MROUND((L87/((INDEX('[1]Work sheet'!$G$2:$G$239,MATCH(I87,'[1]Work sheet'!$K$2:$K$239,0))*0.58)*60)),0.5),"")</f>
        <v>8.5</v>
      </c>
      <c r="G87" s="217"/>
      <c r="H87" s="175">
        <f>LEN(J87)-LEN(SUBSTITUTE(J87,",",""))</f>
        <v>0</v>
      </c>
      <c r="I87" s="183">
        <f>'[1]Work sheet'!K76</f>
        <v>1953065</v>
      </c>
      <c r="J87" s="174" t="str">
        <f>VLOOKUP(I87,'[1]Work sheet'!$K$2:L678,2,0)</f>
        <v>WIP OR/B-1699.101 P1B 1UN BAG</v>
      </c>
      <c r="K87" s="173">
        <f>VLOOKUP(I87,'[1]Work sheet'!$K$2:O795,3,0)</f>
        <v>270</v>
      </c>
      <c r="L87" s="173">
        <f>VLOOKUP(I87,'[1]Work sheet'!$K$2:O1190,4,0)</f>
        <v>270</v>
      </c>
      <c r="M87" s="171" t="str">
        <f>VLOOKUP(I87,'[1]Work sheet'!$K$2:T1499,10,0)</f>
        <v>SBZ/811</v>
      </c>
      <c r="N87" s="172" t="str">
        <f>IFERROR(VLOOKUP(I87,'[1]PO Numbers'!$R$2:S264,2,0),"TBC")</f>
        <v>106991184</v>
      </c>
      <c r="O87" s="171" t="str">
        <f>IFERROR(VLOOKUP(VALUE(N87),'[1]PO Numbers'!$F$1:$J$400,5,0),"xxx")</f>
        <v>PI01</v>
      </c>
      <c r="P87" s="168" t="str">
        <f>VLOOKUP(I87,'[1]Work sheet'!$K$2:AA1115,13,0)</f>
        <v/>
      </c>
      <c r="Q87" s="170">
        <f>VLOOKUP(I87,'[1]Work sheet'!$K$2:AI801,16,0)</f>
        <v>0.37</v>
      </c>
      <c r="R87" s="168" t="str">
        <f>VLOOKUP(I87,'[1]Work sheet'!$K$2:AA475,17,0)</f>
        <v>0-1Kgs 811, 0-1Kgs SBZ</v>
      </c>
      <c r="S87" s="169" t="str">
        <f>VLOOKUP(I87,'[1]Work sheet'!$K$2:AL358,28,0)</f>
        <v/>
      </c>
      <c r="T87" s="168" t="str">
        <f>IFERROR(VLOOKUP(I87,[1]Label!$A$1:C1038,3,0),"")</f>
        <v/>
      </c>
      <c r="U87" s="165" t="str">
        <f>IFERROR(IF(OR(VLOOKUP(I87,'[1]Work sheet'!$K$2:U683,11,0)="530",VLOOKUP(I87,'[1]Work sheet'!$K$2:U683,11,0)="526"),"BTO",""),"")</f>
        <v/>
      </c>
      <c r="V87" s="165"/>
      <c r="W87" s="167" t="str">
        <f>IF(COUNTIF('[1]OB Connect'!$F$13:$F$364,N87),"On Openbatch", "No")</f>
        <v>No</v>
      </c>
      <c r="X87" s="166" t="str">
        <f>X86</f>
        <v>F_D4B</v>
      </c>
      <c r="Y87" s="274">
        <f>E87+G87+Y86</f>
        <v>9.9</v>
      </c>
      <c r="Z87" s="165" t="str">
        <f>IF(Y87&lt;=12,"Shift 1",IF(AND(Y87&gt;12,Y87&lt;=24),"Shift 2",IF(AND(Y87&gt;24,Y87&lt;=36),"Shift 3",IF(AND(Y87&gt;36,Y87&lt;=48),"Shift 4",IF(AND(Y87&gt;48,Y87&lt;=60),"Shift 5",IF(AND(Y87&gt;60,Y87&lt;=72),"Shift 6",IF(AND(Y87&gt;72,Y87&lt;=84),"Shift 7",IF(AND(Y87&gt;84,Y87&lt;=96),IF(AND(Y87&gt;84,Y87&lt;=96),"Shift 8",),"Shift 9"))))))))</f>
        <v>Shift 1</v>
      </c>
    </row>
    <row r="88" spans="1:147" ht="13" x14ac:dyDescent="0.25">
      <c r="B88" s="116">
        <f>D87</f>
        <v>44142.70416666667</v>
      </c>
      <c r="C88" s="220">
        <f>D87</f>
        <v>44142.70416666667</v>
      </c>
      <c r="D88" s="220">
        <f>(E88/24)+C88+(G88/24)</f>
        <v>44142.731500000002</v>
      </c>
      <c r="E88" s="219">
        <f>INDEX('[1]Work sheet'!$G$2:$G$240,MATCH(I88,'[1]Work sheet'!$K$2:$K$240,0))+IFERROR(IF(FIND("WASH",J87,1)&gt;0,0,0.35),0.2)</f>
        <v>0.65600000000000003</v>
      </c>
      <c r="F88" s="218">
        <f>IFERROR(MROUND((L88/((INDEX('[1]Work sheet'!$G$2:$G$239,MATCH(I88,'[1]Work sheet'!$K$2:$K$239,0))*0.58)*60)),0.5),"")</f>
        <v>8.5</v>
      </c>
      <c r="G88" s="217"/>
      <c r="H88" s="175">
        <f>LEN(J88)-LEN(SUBSTITUTE(J88,",",""))</f>
        <v>0</v>
      </c>
      <c r="I88" s="183">
        <f>'[1]Work sheet'!K77</f>
        <v>1554926</v>
      </c>
      <c r="J88" s="174" t="str">
        <f>VLOOKUP(I88,'[1]Work sheet'!$K$2:L700,2,0)</f>
        <v>WIP PART 1B 1.11KG 3UN BAG</v>
      </c>
      <c r="K88" s="173">
        <f>VLOOKUP(I88,'[1]Work sheet'!$K$2:O817,3,0)</f>
        <v>135</v>
      </c>
      <c r="L88" s="173">
        <f>VLOOKUP(I88,'[1]Work sheet'!$K$2:O1191,4,0)</f>
        <v>135</v>
      </c>
      <c r="M88" s="171" t="str">
        <f>VLOOKUP(I88,'[1]Work sheet'!$K$2:T1521,10,0)</f>
        <v>SBZ/811</v>
      </c>
      <c r="N88" s="172" t="str">
        <f>IFERROR(VLOOKUP(I88,'[1]PO Numbers'!$R$2:S265,2,0),"TBC")</f>
        <v>106991185</v>
      </c>
      <c r="O88" s="171" t="str">
        <f>IFERROR(VLOOKUP(VALUE(N88),'[1]PO Numbers'!$F$1:$J$400,5,0),"xxx")</f>
        <v>PI01</v>
      </c>
      <c r="P88" s="168" t="str">
        <f>VLOOKUP(I88,'[1]Work sheet'!$K$2:AA1137,13,0)</f>
        <v/>
      </c>
      <c r="Q88" s="170">
        <f>VLOOKUP(I88,'[1]Work sheet'!$K$2:AI802,16,0)</f>
        <v>1.1100000000000001</v>
      </c>
      <c r="R88" s="168" t="str">
        <f>VLOOKUP(I88,'[1]Work sheet'!$K$2:AA497,17,0)</f>
        <v>0-1Kgs 811, 0-1Kgs SBZ</v>
      </c>
      <c r="S88" s="169" t="str">
        <f>VLOOKUP(I88,'[1]Work sheet'!$K$2:AL380,28,0)</f>
        <v/>
      </c>
      <c r="T88" s="168" t="str">
        <f>IFERROR(VLOOKUP(I88,[1]Label!$A$1:C1039,3,0),"")</f>
        <v/>
      </c>
      <c r="U88" s="165" t="str">
        <f>IFERROR(IF(OR(VLOOKUP(I88,'[1]Work sheet'!$K$2:U684,11,0)="530",VLOOKUP(I88,'[1]Work sheet'!$K$2:U684,11,0)="526"),"BTO",""),"")</f>
        <v/>
      </c>
      <c r="V88" s="165"/>
      <c r="W88" s="167" t="str">
        <f>IF(COUNTIF('[1]OB Connect'!$F$13:$F$364,N88),"On Openbatch", "No")</f>
        <v>No</v>
      </c>
      <c r="X88" s="166" t="str">
        <f>X87</f>
        <v>F_D4B</v>
      </c>
      <c r="Y88" s="274">
        <f>E88+G88+Y87</f>
        <v>10.556000000000001</v>
      </c>
      <c r="Z88" s="165" t="str">
        <f>IF(Y88&lt;=12,"Shift 1",IF(AND(Y88&gt;12,Y88&lt;=24),"Shift 2",IF(AND(Y88&gt;24,Y88&lt;=36),"Shift 3",IF(AND(Y88&gt;36,Y88&lt;=48),"Shift 4",IF(AND(Y88&gt;48,Y88&lt;=60),"Shift 5",IF(AND(Y88&gt;60,Y88&lt;=72),"Shift 6",IF(AND(Y88&gt;72,Y88&lt;=84),"Shift 7",IF(AND(Y88&gt;84,Y88&lt;=96),IF(AND(Y88&gt;84,Y88&lt;=96),"Shift 8",),"Shift 9"))))))))</f>
        <v>Shift 1</v>
      </c>
    </row>
    <row r="89" spans="1:147" ht="13" x14ac:dyDescent="0.25">
      <c r="B89" s="116">
        <f>D88</f>
        <v>44142.731500000002</v>
      </c>
      <c r="C89" s="220">
        <f>D88</f>
        <v>44142.731500000002</v>
      </c>
      <c r="D89" s="220">
        <f>(E89/24)+C89+(G89/24)</f>
        <v>44142.747458333331</v>
      </c>
      <c r="E89" s="219">
        <f>INDEX('[1]Work sheet'!$G$2:$G$240,MATCH(I89,'[1]Work sheet'!$K$2:$K$240,0))+IFERROR(IF(FIND("WASH",J88,1)&gt;0,0,0.35),0.2)</f>
        <v>0.38300000000000001</v>
      </c>
      <c r="F89" s="218">
        <f>IFERROR(MROUND((L89/((INDEX('[1]Work sheet'!$G$2:$G$239,MATCH(I89,'[1]Work sheet'!$K$2:$K$239,0))*0.58)*60)),0.5),"")</f>
        <v>8.5</v>
      </c>
      <c r="G89" s="217"/>
      <c r="H89" s="175">
        <f>LEN(J89)-LEN(SUBSTITUTE(J89,",",""))</f>
        <v>0</v>
      </c>
      <c r="I89" s="183">
        <f>'[1]Work sheet'!K78</f>
        <v>1336301</v>
      </c>
      <c r="J89" s="174" t="str">
        <f>VLOOKUP(I89,'[1]Work sheet'!$K$2:L701,2,0)</f>
        <v>WIP PART 1B 1.11 KG 3UN BLEND (813/811)</v>
      </c>
      <c r="K89" s="173">
        <f>VLOOKUP(I89,'[1]Work sheet'!$K$2:O818,3,0)</f>
        <v>54</v>
      </c>
      <c r="L89" s="173">
        <f>VLOOKUP(I89,'[1]Work sheet'!$K$2:O1192,4,0)</f>
        <v>54</v>
      </c>
      <c r="M89" s="171" t="str">
        <f>VLOOKUP(I89,'[1]Work sheet'!$K$2:T1522,10,0)</f>
        <v>SBZ/811</v>
      </c>
      <c r="N89" s="172" t="str">
        <f>IFERROR(VLOOKUP(I89,'[1]PO Numbers'!$R$2:S266,2,0),"TBC")</f>
        <v>106991186</v>
      </c>
      <c r="O89" s="171" t="str">
        <f>IFERROR(VLOOKUP(VALUE(N89),'[1]PO Numbers'!$F$1:$J$400,5,0),"xxx")</f>
        <v>PI01</v>
      </c>
      <c r="P89" s="168" t="str">
        <f>VLOOKUP(I89,'[1]Work sheet'!$K$2:AA1138,13,0)</f>
        <v/>
      </c>
      <c r="Q89" s="170">
        <f>VLOOKUP(I89,'[1]Work sheet'!$K$2:AI803,16,0)</f>
        <v>1.1100000000000001</v>
      </c>
      <c r="R89" s="168" t="str">
        <f>VLOOKUP(I89,'[1]Work sheet'!$K$2:AA498,17,0)</f>
        <v>0-1Kgs 811, 0-1Kgs SBZ</v>
      </c>
      <c r="S89" s="169" t="str">
        <f>VLOOKUP(I89,'[1]Work sheet'!$K$2:AL381,28,0)</f>
        <v/>
      </c>
      <c r="T89" s="168" t="str">
        <f>IFERROR(VLOOKUP(I89,[1]Label!$A$1:C1040,3,0),"")</f>
        <v/>
      </c>
      <c r="U89" s="165" t="str">
        <f>IFERROR(IF(OR(VLOOKUP(I89,'[1]Work sheet'!$K$2:U685,11,0)="530",VLOOKUP(I89,'[1]Work sheet'!$K$2:U685,11,0)="526"),"BTO",""),"")</f>
        <v/>
      </c>
      <c r="V89" s="165"/>
      <c r="W89" s="167" t="str">
        <f>IF(COUNTIF('[1]OB Connect'!$F$13:$F$364,N89),"On Openbatch", "No")</f>
        <v>No</v>
      </c>
      <c r="X89" s="166" t="str">
        <f>X88</f>
        <v>F_D4B</v>
      </c>
      <c r="Y89" s="274">
        <f>E89+G89+Y88</f>
        <v>10.939</v>
      </c>
      <c r="Z89" s="165" t="str">
        <f>IF(Y89&lt;=12,"Shift 1",IF(AND(Y89&gt;12,Y89&lt;=24),"Shift 2",IF(AND(Y89&gt;24,Y89&lt;=36),"Shift 3",IF(AND(Y89&gt;36,Y89&lt;=48),"Shift 4",IF(AND(Y89&gt;48,Y89&lt;=60),"Shift 5",IF(AND(Y89&gt;60,Y89&lt;=72),"Shift 6",IF(AND(Y89&gt;72,Y89&lt;=84),"Shift 7",IF(AND(Y89&gt;84,Y89&lt;=96),IF(AND(Y89&gt;84,Y89&lt;=96),"Shift 8",),"Shift 9"))))))))</f>
        <v>Shift 1</v>
      </c>
    </row>
    <row r="90" spans="1:147" ht="13" x14ac:dyDescent="0.25">
      <c r="B90" s="116">
        <f>D89</f>
        <v>44142.747458333331</v>
      </c>
      <c r="C90" s="220">
        <f>D89</f>
        <v>44142.747458333331</v>
      </c>
      <c r="D90" s="220">
        <f>(E90/24)+C90+(G90/24)</f>
        <v>44142.763416666661</v>
      </c>
      <c r="E90" s="219">
        <f>INDEX('[1]Work sheet'!$G$2:$G$240,MATCH(I90,'[1]Work sheet'!$K$2:$K$240,0))+IFERROR(IF(FIND("WASH",J89,1)&gt;0,0,0.35),0.2)</f>
        <v>0.38300000000000001</v>
      </c>
      <c r="F90" s="218">
        <f>IFERROR(MROUND((L90/((INDEX('[1]Work sheet'!$G$2:$G$239,MATCH(I90,'[1]Work sheet'!$K$2:$K$239,0))*0.58)*60)),0.5),"")</f>
        <v>8.5</v>
      </c>
      <c r="G90" s="217"/>
      <c r="H90" s="175">
        <f>LEN(J90)-LEN(SUBSTITUTE(J90,",",""))</f>
        <v>0</v>
      </c>
      <c r="I90" s="183">
        <f>'[1]Work sheet'!K79</f>
        <v>1408496</v>
      </c>
      <c r="J90" s="174" t="str">
        <f>VLOOKUP(I90,'[1]Work sheet'!$K$2:L702,2,0)</f>
        <v>WIP PART P1B 1.85KG 5UN BAG (813&amp;811)</v>
      </c>
      <c r="K90" s="173">
        <f>VLOOKUP(I90,'[1]Work sheet'!$K$2:O819,3,0)</f>
        <v>54</v>
      </c>
      <c r="L90" s="173">
        <f>VLOOKUP(I90,'[1]Work sheet'!$K$2:O1193,4,0)</f>
        <v>54</v>
      </c>
      <c r="M90" s="171" t="str">
        <f>VLOOKUP(I90,'[1]Work sheet'!$K$2:T1523,10,0)</f>
        <v>SBZ/811</v>
      </c>
      <c r="N90" s="172" t="str">
        <f>IFERROR(VLOOKUP(I90,'[1]PO Numbers'!$R$2:S267,2,0),"TBC")</f>
        <v>106991187</v>
      </c>
      <c r="O90" s="171" t="str">
        <f>IFERROR(VLOOKUP(VALUE(N90),'[1]PO Numbers'!$F$1:$J$400,5,0),"xxx")</f>
        <v>PI01</v>
      </c>
      <c r="P90" s="168" t="str">
        <f>VLOOKUP(I90,'[1]Work sheet'!$K$2:AA1139,13,0)</f>
        <v/>
      </c>
      <c r="Q90" s="170">
        <f>VLOOKUP(I90,'[1]Work sheet'!$K$2:AI804,16,0)</f>
        <v>1.85</v>
      </c>
      <c r="R90" s="168" t="str">
        <f>VLOOKUP(I90,'[1]Work sheet'!$K$2:AA499,17,0)</f>
        <v>0-1Kgs 811, 0-1Kgs SBZ</v>
      </c>
      <c r="S90" s="169" t="str">
        <f>VLOOKUP(I90,'[1]Work sheet'!$K$2:AL382,28,0)</f>
        <v/>
      </c>
      <c r="T90" s="168" t="str">
        <f>IFERROR(VLOOKUP(I90,[1]Label!$A$1:C1041,3,0),"")</f>
        <v/>
      </c>
      <c r="U90" s="165" t="str">
        <f>IFERROR(IF(OR(VLOOKUP(I90,'[1]Work sheet'!$K$2:U686,11,0)="530",VLOOKUP(I90,'[1]Work sheet'!$K$2:U686,11,0)="526"),"BTO",""),"")</f>
        <v/>
      </c>
      <c r="V90" s="165"/>
      <c r="W90" s="167" t="str">
        <f>IF(COUNTIF('[1]OB Connect'!$F$13:$F$364,N90),"On Openbatch", "No")</f>
        <v>No</v>
      </c>
      <c r="X90" s="166" t="str">
        <f>X89</f>
        <v>F_D4B</v>
      </c>
      <c r="Y90" s="274">
        <f>E90+G90+Y89</f>
        <v>11.321999999999999</v>
      </c>
      <c r="Z90" s="165" t="str">
        <f>IF(Y90&lt;=12,"Shift 1",IF(AND(Y90&gt;12,Y90&lt;=24),"Shift 2",IF(AND(Y90&gt;24,Y90&lt;=36),"Shift 3",IF(AND(Y90&gt;36,Y90&lt;=48),"Shift 4",IF(AND(Y90&gt;48,Y90&lt;=60),"Shift 5",IF(AND(Y90&gt;60,Y90&lt;=72),"Shift 6",IF(AND(Y90&gt;72,Y90&lt;=84),"Shift 7",IF(AND(Y90&gt;84,Y90&lt;=96),IF(AND(Y90&gt;84,Y90&lt;=96),"Shift 8",),"Shift 9"))))))))</f>
        <v>Shift 1</v>
      </c>
    </row>
    <row r="91" spans="1:147" ht="13" x14ac:dyDescent="0.25">
      <c r="B91" s="116">
        <f>D90</f>
        <v>44142.763416666661</v>
      </c>
      <c r="C91" s="220">
        <f>D90</f>
        <v>44142.763416666661</v>
      </c>
      <c r="D91" s="220">
        <f>(E91/24)+C91+(G91/24)</f>
        <v>44142.786833333324</v>
      </c>
      <c r="E91" s="219">
        <f>INDEX('[1]Work sheet'!$G$2:$G$240,MATCH(I91,'[1]Work sheet'!$K$2:$K$240,0))+IFERROR(IF(FIND("WASH",J90,1)&gt;0,0,0.35),0.2)</f>
        <v>0.56200000000000006</v>
      </c>
      <c r="F91" s="218">
        <f>IFERROR(MROUND((L91/((INDEX('[1]Work sheet'!$G$2:$G$239,MATCH(I91,'[1]Work sheet'!$K$2:$K$239,0))*0.58)*60)),0.5),"")</f>
        <v>8.5</v>
      </c>
      <c r="G91" s="217"/>
      <c r="H91" s="175">
        <f>LEN(J91)-LEN(SUBSTITUTE(J91,",",""))</f>
        <v>0</v>
      </c>
      <c r="I91" s="183">
        <f>'[1]Work sheet'!K80</f>
        <v>1498545</v>
      </c>
      <c r="J91" s="174" t="str">
        <f>VLOOKUP(I91,'[1]Work sheet'!$K$2:L703,2,0)</f>
        <v>WIP PART 1B (S-811/S-813) 2.675KG 5UN</v>
      </c>
      <c r="K91" s="173">
        <f>VLOOKUP(I91,'[1]Work sheet'!$K$2:O820,3,0)</f>
        <v>107</v>
      </c>
      <c r="L91" s="173">
        <f>VLOOKUP(I91,'[1]Work sheet'!$K$2:O1215,4,0)</f>
        <v>107</v>
      </c>
      <c r="M91" s="171" t="str">
        <f>VLOOKUP(I91,'[1]Work sheet'!$K$2:T1524,10,0)</f>
        <v>SBZ/811</v>
      </c>
      <c r="N91" s="172" t="str">
        <f>IFERROR(VLOOKUP(I91,'[1]PO Numbers'!$R$2:S268,2,0),"TBC")</f>
        <v>106991188</v>
      </c>
      <c r="O91" s="171" t="str">
        <f>IFERROR(VLOOKUP(VALUE(N91),'[1]PO Numbers'!$F$1:$J$400,5,0),"xxx")</f>
        <v>PI01</v>
      </c>
      <c r="P91" s="168" t="str">
        <f>VLOOKUP(I91,'[1]Work sheet'!$K$2:AA1140,13,0)</f>
        <v/>
      </c>
      <c r="Q91" s="170">
        <f>VLOOKUP(I91,'[1]Work sheet'!$K$2:AI805,16,0)</f>
        <v>2.6749999999999998</v>
      </c>
      <c r="R91" s="168" t="str">
        <f>VLOOKUP(I91,'[1]Work sheet'!$K$2:AA500,17,0)</f>
        <v>2-3Kgs 811, 0-1Kgs SBZ</v>
      </c>
      <c r="S91" s="288" t="s">
        <v>67</v>
      </c>
      <c r="T91" s="168" t="str">
        <f>IFERROR(VLOOKUP(I91,[1]Label!$A$1:C1042,3,0),"")</f>
        <v/>
      </c>
      <c r="U91" s="165" t="str">
        <f>IFERROR(IF(OR(VLOOKUP(I91,'[1]Work sheet'!$K$2:U687,11,0)="530",VLOOKUP(I91,'[1]Work sheet'!$K$2:U687,11,0)="526"),"BTO",""),"")</f>
        <v/>
      </c>
      <c r="V91" s="165"/>
      <c r="W91" s="167" t="str">
        <f>IF(COUNTIF('[1]OB Connect'!$F$13:$F$364,N91),"On Openbatch", "No")</f>
        <v>No</v>
      </c>
      <c r="X91" s="166" t="str">
        <f>X90</f>
        <v>F_D4B</v>
      </c>
      <c r="Y91" s="274">
        <f>E91+G91+Y90</f>
        <v>11.883999999999999</v>
      </c>
      <c r="Z91" s="165" t="str">
        <f>IF(Y91&lt;=12,"Shift 1",IF(AND(Y91&gt;12,Y91&lt;=24),"Shift 2",IF(AND(Y91&gt;24,Y91&lt;=36),"Shift 3",IF(AND(Y91&gt;36,Y91&lt;=48),"Shift 4",IF(AND(Y91&gt;48,Y91&lt;=60),"Shift 5",IF(AND(Y91&gt;60,Y91&lt;=72),"Shift 6",IF(AND(Y91&gt;72,Y91&lt;=84),"Shift 7",IF(AND(Y91&gt;84,Y91&lt;=96),IF(AND(Y91&gt;84,Y91&lt;=96),"Shift 8",),"Shift 9"))))))))</f>
        <v>Shift 1</v>
      </c>
    </row>
    <row r="92" spans="1:147" s="58" customFormat="1" ht="13" x14ac:dyDescent="0.25">
      <c r="A92" s="118"/>
      <c r="B92" s="126">
        <f>D91</f>
        <v>44142.786833333324</v>
      </c>
      <c r="C92" s="125">
        <f>D91</f>
        <v>44142.786833333324</v>
      </c>
      <c r="D92" s="125">
        <f>(E92/24)+C92+(G92/24)</f>
        <v>44144.328499999989</v>
      </c>
      <c r="E92" s="124"/>
      <c r="F92" s="124"/>
      <c r="G92" s="287">
        <v>37</v>
      </c>
      <c r="H92" s="119"/>
      <c r="I92" s="223"/>
      <c r="J92" s="222" t="s">
        <v>66</v>
      </c>
      <c r="K92" s="221"/>
      <c r="L92" s="120"/>
      <c r="M92" s="118"/>
      <c r="N92" s="118"/>
      <c r="O92" s="118"/>
      <c r="P92" s="117"/>
      <c r="Q92" s="119"/>
      <c r="R92" s="118"/>
      <c r="S92" s="117"/>
      <c r="T92" s="117"/>
      <c r="U92" s="23"/>
      <c r="V92" s="21"/>
      <c r="W92" s="22"/>
      <c r="X92" s="22"/>
      <c r="Y92" s="21"/>
      <c r="Z92" s="20"/>
      <c r="AA92" s="60"/>
      <c r="AB92" s="60"/>
      <c r="AC92" s="60"/>
      <c r="AD92" s="60"/>
      <c r="AE92" s="60"/>
      <c r="AF92" s="60"/>
      <c r="AG92" s="60"/>
      <c r="AH92" s="60"/>
      <c r="AI92" s="60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  <c r="BD92" s="59"/>
      <c r="BE92" s="59"/>
      <c r="BF92" s="59"/>
      <c r="BG92" s="59"/>
      <c r="BH92" s="59"/>
      <c r="BI92" s="59"/>
      <c r="BJ92" s="59"/>
      <c r="BK92" s="59"/>
      <c r="BL92" s="59"/>
      <c r="BM92" s="59"/>
      <c r="BN92" s="59"/>
      <c r="BO92" s="59"/>
      <c r="BP92" s="59"/>
      <c r="BQ92" s="59"/>
      <c r="BR92" s="59"/>
      <c r="BS92" s="59"/>
      <c r="BT92" s="59"/>
      <c r="BU92" s="59"/>
      <c r="BV92" s="59"/>
      <c r="BW92" s="59"/>
      <c r="BX92" s="59"/>
      <c r="BY92" s="59"/>
      <c r="BZ92" s="59"/>
      <c r="CA92" s="59"/>
      <c r="CB92" s="59"/>
      <c r="CC92" s="59"/>
      <c r="CD92" s="59"/>
      <c r="CE92" s="59"/>
      <c r="CF92" s="59"/>
      <c r="CG92" s="59"/>
      <c r="CH92" s="59"/>
      <c r="CI92" s="59"/>
      <c r="CJ92" s="59"/>
      <c r="CK92" s="59"/>
      <c r="CL92" s="59"/>
      <c r="CM92" s="59"/>
      <c r="CN92" s="59"/>
      <c r="CO92" s="59"/>
      <c r="CP92" s="59"/>
      <c r="CQ92" s="59"/>
      <c r="CR92" s="59"/>
      <c r="CS92" s="59"/>
      <c r="CT92" s="59"/>
      <c r="CU92" s="59"/>
      <c r="CV92" s="59"/>
      <c r="CW92" s="59"/>
      <c r="CX92" s="59"/>
      <c r="CY92" s="59"/>
      <c r="CZ92" s="59"/>
      <c r="DA92" s="59"/>
      <c r="DB92" s="59"/>
      <c r="DC92" s="59"/>
      <c r="DD92" s="59"/>
      <c r="DE92" s="59"/>
      <c r="DF92" s="59"/>
      <c r="DG92" s="59"/>
      <c r="DH92" s="59"/>
      <c r="DI92" s="59"/>
      <c r="DJ92" s="59"/>
      <c r="DK92" s="59"/>
      <c r="DL92" s="59"/>
      <c r="DM92" s="59"/>
      <c r="DN92" s="59"/>
      <c r="DO92" s="59"/>
      <c r="DP92" s="59"/>
      <c r="DQ92" s="59"/>
      <c r="DR92" s="59"/>
      <c r="DS92" s="59"/>
      <c r="DT92" s="59"/>
      <c r="DU92" s="59"/>
      <c r="DV92" s="59"/>
      <c r="DW92" s="59"/>
      <c r="DX92" s="59"/>
      <c r="DY92" s="59"/>
      <c r="DZ92" s="59"/>
      <c r="EA92" s="59"/>
      <c r="EB92" s="59"/>
      <c r="EC92" s="59"/>
      <c r="ED92" s="59"/>
      <c r="EE92" s="59"/>
      <c r="EF92" s="59"/>
      <c r="EG92" s="59"/>
      <c r="EH92" s="59"/>
      <c r="EI92" s="59"/>
      <c r="EJ92" s="59"/>
      <c r="EK92" s="59"/>
      <c r="EL92" s="59"/>
      <c r="EM92" s="59"/>
      <c r="EN92" s="59"/>
      <c r="EO92" s="59"/>
      <c r="EP92" s="59"/>
      <c r="EQ92" s="59"/>
    </row>
    <row r="93" spans="1:147" ht="13" x14ac:dyDescent="0.25">
      <c r="B93" s="116">
        <f>D92</f>
        <v>44144.328499999989</v>
      </c>
      <c r="C93" s="115">
        <f>D92</f>
        <v>44144.328499999989</v>
      </c>
      <c r="D93" s="115">
        <f>(E93/24)+C93+(G93/24)</f>
        <v>44144.374874999987</v>
      </c>
      <c r="E93" s="114">
        <f>INDEX('[1]Work sheet'!$G$2:$G$240,MATCH(I93,'[1]Work sheet'!$K$2:$K$240,0))+IFERROR(IF(FIND("WASH",J91,1)&gt;0,0,0.35),0.2)</f>
        <v>1.113</v>
      </c>
      <c r="F93" s="218">
        <f>IFERROR(MROUND((L93/((INDEX('[1]Work sheet'!$G$2:$G$239,MATCH(I93,'[1]Work sheet'!$K$2:$K$239,0))*0.58)*60)),0.5),"")</f>
        <v>8.5</v>
      </c>
      <c r="G93" s="113"/>
      <c r="H93" s="183">
        <f>LEN(J93)-LEN(SUBSTITUTE(J93,",",""))</f>
        <v>0</v>
      </c>
      <c r="I93" s="183">
        <f>'[1]Work sheet'!K81</f>
        <v>1306533</v>
      </c>
      <c r="J93" s="216" t="str">
        <f>VLOOKUP(I93,'[1]Work sheet'!$K$2:L704,2,0)</f>
        <v>WIP PART 1B 2.96KG 8UN BAG (811/813)</v>
      </c>
      <c r="K93" s="286">
        <f>VLOOKUP(I93,'[1]Work sheet'!$K$2:O821,3,0)</f>
        <v>270</v>
      </c>
      <c r="L93" s="286">
        <f>VLOOKUP(I93,'[1]Work sheet'!$K$2:O1216,4,0)</f>
        <v>270</v>
      </c>
      <c r="M93" s="275" t="str">
        <f>VLOOKUP(I93,'[1]Work sheet'!$K$2:T1525,10,0)</f>
        <v>SBZ/811</v>
      </c>
      <c r="N93" s="172" t="str">
        <f>IFERROR(VLOOKUP(I93,'[1]PO Numbers'!$R$2:S269,2,0),"TBC")</f>
        <v>106991189</v>
      </c>
      <c r="O93" s="275" t="str">
        <f>IFERROR(VLOOKUP(VALUE(N93),'[1]PO Numbers'!$F$1:$J$400,5,0),"xxx")</f>
        <v>PI01</v>
      </c>
      <c r="P93" s="83" t="str">
        <f>VLOOKUP(I93,'[1]Work sheet'!$K$2:AA1141,13,0)</f>
        <v/>
      </c>
      <c r="Q93" s="285">
        <f>VLOOKUP(I93,'[1]Work sheet'!$K$2:AI806,16,0)</f>
        <v>2.96</v>
      </c>
      <c r="R93" s="83" t="str">
        <f>VLOOKUP(I93,'[1]Work sheet'!$K$2:AA501,17,0)</f>
        <v>1-2Kgs 811, 1-2Kgs SBZ</v>
      </c>
      <c r="S93" s="284" t="str">
        <f>VLOOKUP(I93,'[1]Work sheet'!$K$2:AL384,28,0)</f>
        <v/>
      </c>
      <c r="T93" s="83" t="str">
        <f>IFERROR(VLOOKUP(I93,[1]Label!$A$1:C1043,3,0),"")</f>
        <v/>
      </c>
      <c r="U93" s="1" t="str">
        <f>IFERROR(IF(OR(VLOOKUP(I93,'[1]Work sheet'!$K$2:U688,11,0)="530",VLOOKUP(I93,'[1]Work sheet'!$K$2:U688,11,0)="526"),"BTO",""),"")</f>
        <v/>
      </c>
      <c r="W93" s="167" t="str">
        <f>IF(COUNTIF('[1]OB Connect'!$F$13:$F$364,N93),"On Openbatch", "No")</f>
        <v>No</v>
      </c>
      <c r="X93" s="194" t="str">
        <f>X91</f>
        <v>F_D4B</v>
      </c>
      <c r="Y93" s="283">
        <f>E93+G93+Y91</f>
        <v>12.996999999999998</v>
      </c>
      <c r="Z93" s="1" t="str">
        <f>IF(Y93&lt;=12,"Shift 1",IF(AND(Y93&gt;12,Y93&lt;=24),"Shift 2",IF(AND(Y93&gt;24,Y93&lt;=36),"Shift 3",IF(AND(Y93&gt;36,Y93&lt;=48),"Shift 4",IF(AND(Y93&gt;48,Y93&lt;=60),"Shift 5",IF(AND(Y93&gt;60,Y93&lt;=72),"Shift 6",IF(AND(Y93&gt;72,Y93&lt;=84),"Shift 7",IF(AND(Y93&gt;84,Y93&lt;=96),IF(AND(Y93&gt;84,Y93&lt;=96),"Shift 8",),"Shift 9"))))))))</f>
        <v>Shift 2</v>
      </c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</row>
    <row r="94" spans="1:147" ht="13" x14ac:dyDescent="0.25">
      <c r="B94" s="116">
        <f>D93</f>
        <v>44144.374874999987</v>
      </c>
      <c r="C94" s="220">
        <f>D93</f>
        <v>44144.374874999987</v>
      </c>
      <c r="D94" s="220">
        <f>(E94/24)+C94+(G94/24)</f>
        <v>44144.406041666654</v>
      </c>
      <c r="E94" s="219">
        <f>INDEX('[1]Work sheet'!$G$2:$G$240,MATCH(I94,'[1]Work sheet'!$K$2:$K$240,0))+IFERROR(IF(FIND("WASH",J93,1)&gt;0,0,0.35),0.2)</f>
        <v>0.748</v>
      </c>
      <c r="F94" s="218">
        <f>IFERROR(MROUND((L94/((INDEX('[1]Work sheet'!$G$2:$G$239,MATCH(I94,'[1]Work sheet'!$K$2:$K$239,0))*0.58)*60)),0.5),"")</f>
        <v>8.5</v>
      </c>
      <c r="G94" s="217"/>
      <c r="H94" s="175">
        <f>LEN(J94)-LEN(SUBSTITUTE(J94,",",""))</f>
        <v>0</v>
      </c>
      <c r="I94" s="183">
        <f>'[1]Work sheet'!K82</f>
        <v>1616896</v>
      </c>
      <c r="J94" s="174" t="str">
        <f>VLOOKUP(I94,'[1]Work sheet'!$K$2:L705,2,0)</f>
        <v>WIP PART 1B 3.888KG 4UN BAG</v>
      </c>
      <c r="K94" s="173">
        <f>VLOOKUP(I94,'[1]Work sheet'!$K$2:O822,3,0)</f>
        <v>162</v>
      </c>
      <c r="L94" s="173">
        <f>VLOOKUP(I94,'[1]Work sheet'!$K$2:O1217,4,0)</f>
        <v>162</v>
      </c>
      <c r="M94" s="171" t="str">
        <f>VLOOKUP(I94,'[1]Work sheet'!$K$2:T1526,10,0)</f>
        <v>SBZ/811</v>
      </c>
      <c r="N94" s="172" t="str">
        <f>IFERROR(VLOOKUP(I94,'[1]PO Numbers'!$R$2:S270,2,0),"TBC")</f>
        <v>106991190</v>
      </c>
      <c r="O94" s="171" t="str">
        <f>IFERROR(VLOOKUP(VALUE(N94),'[1]PO Numbers'!$F$1:$J$400,5,0),"xxx")</f>
        <v>PI01</v>
      </c>
      <c r="P94" s="168" t="str">
        <f>VLOOKUP(I94,'[1]Work sheet'!$K$2:AA1142,13,0)</f>
        <v/>
      </c>
      <c r="Q94" s="170">
        <f>VLOOKUP(I94,'[1]Work sheet'!$K$2:AI807,16,0)</f>
        <v>3.8879999999999999</v>
      </c>
      <c r="R94" s="168" t="str">
        <f>VLOOKUP(I94,'[1]Work sheet'!$K$2:AA502,17,0)</f>
        <v>2-3Kgs 811, 1-2Kgs SBZ</v>
      </c>
      <c r="S94" s="169" t="str">
        <f>VLOOKUP(I94,'[1]Work sheet'!$K$2:AL385,28,0)</f>
        <v/>
      </c>
      <c r="T94" s="168" t="str">
        <f>IFERROR(VLOOKUP(I94,[1]Label!$A$1:C1044,3,0),"")</f>
        <v/>
      </c>
      <c r="U94" s="165" t="str">
        <f>IFERROR(IF(OR(VLOOKUP(I94,'[1]Work sheet'!$K$2:U689,11,0)="530",VLOOKUP(I94,'[1]Work sheet'!$K$2:U689,11,0)="526"),"BTO",""),"")</f>
        <v/>
      </c>
      <c r="V94" s="165"/>
      <c r="W94" s="167" t="str">
        <f>IF(COUNTIF('[1]OB Connect'!$F$13:$F$364,N94),"On Openbatch", "No")</f>
        <v>No</v>
      </c>
      <c r="X94" s="166" t="str">
        <f>X93</f>
        <v>F_D4B</v>
      </c>
      <c r="Y94" s="274">
        <f>E94+G94+Y93</f>
        <v>13.744999999999997</v>
      </c>
      <c r="Z94" s="165" t="str">
        <f>IF(Y94&lt;=12,"Shift 1",IF(AND(Y94&gt;12,Y94&lt;=24),"Shift 2",IF(AND(Y94&gt;24,Y94&lt;=36),"Shift 3",IF(AND(Y94&gt;36,Y94&lt;=48),"Shift 4",IF(AND(Y94&gt;48,Y94&lt;=60),"Shift 5",IF(AND(Y94&gt;60,Y94&lt;=72),"Shift 6",IF(AND(Y94&gt;72,Y94&lt;=84),"Shift 7",IF(AND(Y94&gt;84,Y94&lt;=96),IF(AND(Y94&gt;84,Y94&lt;=96),"Shift 8",),"Shift 9"))))))))</f>
        <v>Shift 2</v>
      </c>
    </row>
    <row r="95" spans="1:147" ht="13" x14ac:dyDescent="0.25">
      <c r="B95" s="116">
        <f>D94</f>
        <v>44144.406041666654</v>
      </c>
      <c r="C95" s="220">
        <f>D94</f>
        <v>44144.406041666654</v>
      </c>
      <c r="D95" s="220">
        <f>(E95/24)+C95+(G95/24)</f>
        <v>44144.437208333322</v>
      </c>
      <c r="E95" s="219">
        <f>INDEX('[1]Work sheet'!$G$2:$G$240,MATCH(I95,'[1]Work sheet'!$K$2:$K$240,0))+IFERROR(IF(FIND("WASH",J94,1)&gt;0,0,0.35),0.2)</f>
        <v>0.748</v>
      </c>
      <c r="F95" s="218">
        <f>IFERROR(MROUND((L95/((INDEX('[1]Work sheet'!$G$2:$G$239,MATCH(I95,'[1]Work sheet'!$K$2:$K$239,0))*0.58)*60)),0.5),"")</f>
        <v>8.5</v>
      </c>
      <c r="G95" s="217"/>
      <c r="H95" s="175">
        <f>LEN(J95)-LEN(SUBSTITUTE(J95,",",""))</f>
        <v>0</v>
      </c>
      <c r="I95" s="183">
        <f>'[1]Work sheet'!K83</f>
        <v>1871825</v>
      </c>
      <c r="J95" s="174" t="str">
        <f>VLOOKUP(I95,'[1]Work sheet'!$K$2:L706,2,0)</f>
        <v>WIP PO-20.001 P1B 3UN BAG CQ</v>
      </c>
      <c r="K95" s="173">
        <f>VLOOKUP(I95,'[1]Work sheet'!$K$2:O823,3,0)</f>
        <v>162</v>
      </c>
      <c r="L95" s="173">
        <f>VLOOKUP(I95,'[1]Work sheet'!$K$2:O1218,4,0)</f>
        <v>162</v>
      </c>
      <c r="M95" s="171" t="str">
        <f>VLOOKUP(I95,'[1]Work sheet'!$K$2:T1527,10,0)</f>
        <v>SBZ/811</v>
      </c>
      <c r="N95" s="172" t="str">
        <f>IFERROR(VLOOKUP(I95,'[1]PO Numbers'!$R$2:S271,2,0),"TBC")</f>
        <v>106991191</v>
      </c>
      <c r="O95" s="171" t="str">
        <f>IFERROR(VLOOKUP(VALUE(N95),'[1]PO Numbers'!$F$1:$J$400,5,0),"xxx")</f>
        <v>PI01</v>
      </c>
      <c r="P95" s="168" t="str">
        <f>VLOOKUP(I95,'[1]Work sheet'!$K$2:AA1143,13,0)</f>
        <v/>
      </c>
      <c r="Q95" s="170">
        <f>VLOOKUP(I95,'[1]Work sheet'!$K$2:AI808,16,0)</f>
        <v>2.6739999999999999</v>
      </c>
      <c r="R95" s="168" t="str">
        <f>VLOOKUP(I95,'[1]Work sheet'!$K$2:AA503,17,0)</f>
        <v>1-2Kgs 811, 0-1Kgs SBZ</v>
      </c>
      <c r="S95" s="169" t="str">
        <f>VLOOKUP(I95,'[1]Work sheet'!$K$2:AL386,28,0)</f>
        <v/>
      </c>
      <c r="T95" s="168" t="str">
        <f>IFERROR(VLOOKUP(I95,[1]Label!$A$1:C1045,3,0),"")</f>
        <v/>
      </c>
      <c r="U95" s="165" t="str">
        <f>IFERROR(IF(OR(VLOOKUP(I95,'[1]Work sheet'!$K$2:U690,11,0)="530",VLOOKUP(I95,'[1]Work sheet'!$K$2:U690,11,0)="526"),"BTO",""),"")</f>
        <v/>
      </c>
      <c r="V95" s="165"/>
      <c r="W95" s="167" t="str">
        <f>IF(COUNTIF('[1]OB Connect'!$F$13:$F$364,N95),"On Openbatch", "No")</f>
        <v>No</v>
      </c>
      <c r="X95" s="166" t="str">
        <f>X94</f>
        <v>F_D4B</v>
      </c>
      <c r="Y95" s="274">
        <f>E95+G95+Y94</f>
        <v>14.492999999999997</v>
      </c>
      <c r="Z95" s="165" t="str">
        <f>IF(Y95&lt;=12,"Shift 1",IF(AND(Y95&gt;12,Y95&lt;=24),"Shift 2",IF(AND(Y95&gt;24,Y95&lt;=36),"Shift 3",IF(AND(Y95&gt;36,Y95&lt;=48),"Shift 4",IF(AND(Y95&gt;48,Y95&lt;=60),"Shift 5",IF(AND(Y95&gt;60,Y95&lt;=72),"Shift 6",IF(AND(Y95&gt;72,Y95&lt;=84),"Shift 7",IF(AND(Y95&gt;84,Y95&lt;=96),IF(AND(Y95&gt;84,Y95&lt;=96),"Shift 8",),"Shift 9"))))))))</f>
        <v>Shift 2</v>
      </c>
    </row>
    <row r="96" spans="1:147" ht="13" x14ac:dyDescent="0.25">
      <c r="B96" s="116">
        <f>D95</f>
        <v>44144.437208333322</v>
      </c>
      <c r="C96" s="220">
        <f>D95</f>
        <v>44144.437208333322</v>
      </c>
      <c r="D96" s="220">
        <f>(E96/24)+C96+(G96/24)</f>
        <v>44144.450626412421</v>
      </c>
      <c r="E96" s="219">
        <f>INDEX('[1]Work sheet'!$G$2:$G$240,MATCH(I96,'[1]Work sheet'!$K$2:$K$240,0))+IFERROR(IF(FIND("WASH",J95,1)&gt;0,0,0.35),0.2)</f>
        <v>0.32203389830508478</v>
      </c>
      <c r="F96" s="218">
        <f>IFERROR(MROUND((L96/((INDEX('[1]Work sheet'!$G$2:$G$239,MATCH(I96,'[1]Work sheet'!$K$2:$K$239,0))*0.58)*60)),0.5),"")</f>
        <v>8.5</v>
      </c>
      <c r="G96" s="217"/>
      <c r="H96" s="175">
        <f>LEN(J96)-LEN(SUBSTITUTE(J96,",",""))</f>
        <v>0</v>
      </c>
      <c r="I96" s="183">
        <f>'[1]Work sheet'!K84</f>
        <v>1997435</v>
      </c>
      <c r="J96" s="174" t="str">
        <f>VLOOKUP(I96,'[1]Work sheet'!$K$2:L707,2,0)</f>
        <v>TE/PE/B-35.301 P1B 24UN CTN 4BAG</v>
      </c>
      <c r="K96" s="173">
        <f>VLOOKUP(I96,'[1]Work sheet'!$K$2:O824,3,0)</f>
        <v>9</v>
      </c>
      <c r="L96" s="173">
        <f>VLOOKUP(I96,'[1]Work sheet'!$K$2:O1219,4,0)</f>
        <v>36</v>
      </c>
      <c r="M96" s="171" t="str">
        <f>VLOOKUP(I96,'[1]Work sheet'!$K$2:T1528,10,0)</f>
        <v>SBZ/811</v>
      </c>
      <c r="N96" s="172" t="str">
        <f>IFERROR(VLOOKUP(I96,'[1]PO Numbers'!$R$2:S272,2,0),"TBC")</f>
        <v>106991192</v>
      </c>
      <c r="O96" s="171" t="str">
        <f>IFERROR(VLOOKUP(VALUE(N96),'[1]PO Numbers'!$F$1:$J$400,5,0),"xxx")</f>
        <v>PI01</v>
      </c>
      <c r="P96" s="168" t="str">
        <f>VLOOKUP(I96,'[1]Work sheet'!$K$2:AA1144,13,0)</f>
        <v/>
      </c>
      <c r="Q96" s="170">
        <f>VLOOKUP(I96,'[1]Work sheet'!$K$2:AI809,16,0)</f>
        <v>3.06</v>
      </c>
      <c r="R96" s="168" t="str">
        <f>VLOOKUP(I96,'[1]Work sheet'!$K$2:AA504,17,0)</f>
        <v>1-2Kgs SBZ, 1-2Kgs 811</v>
      </c>
      <c r="S96" s="169" t="str">
        <f>VLOOKUP(I96,'[1]Work sheet'!$K$2:AL387,28,0)</f>
        <v/>
      </c>
      <c r="T96" s="168" t="str">
        <f>IFERROR(VLOOKUP(I96,[1]Label!$A$1:C1046,3,0),"")</f>
        <v/>
      </c>
      <c r="U96" s="165" t="str">
        <f>IFERROR(IF(OR(VLOOKUP(I96,'[1]Work sheet'!$K$2:U691,11,0)="530",VLOOKUP(I96,'[1]Work sheet'!$K$2:U691,11,0)="526"),"BTO",""),"")</f>
        <v/>
      </c>
      <c r="V96" s="165"/>
      <c r="W96" s="167" t="str">
        <f>IF(COUNTIF('[1]OB Connect'!$F$13:$F$364,N96),"On Openbatch", "No")</f>
        <v>No</v>
      </c>
      <c r="X96" s="166" t="str">
        <f>X95</f>
        <v>F_D4B</v>
      </c>
      <c r="Y96" s="274">
        <f>E96+G96+Y95</f>
        <v>14.815033898305082</v>
      </c>
      <c r="Z96" s="165" t="str">
        <f>IF(Y96&lt;=12,"Shift 1",IF(AND(Y96&gt;12,Y96&lt;=24),"Shift 2",IF(AND(Y96&gt;24,Y96&lt;=36),"Shift 3",IF(AND(Y96&gt;36,Y96&lt;=48),"Shift 4",IF(AND(Y96&gt;48,Y96&lt;=60),"Shift 5",IF(AND(Y96&gt;60,Y96&lt;=72),"Shift 6",IF(AND(Y96&gt;72,Y96&lt;=84),"Shift 7",IF(AND(Y96&gt;84,Y96&lt;=96),IF(AND(Y96&gt;84,Y96&lt;=96),"Shift 8",),"Shift 9"))))))))</f>
        <v>Shift 2</v>
      </c>
    </row>
    <row r="97" spans="1:147" ht="13" x14ac:dyDescent="0.25">
      <c r="B97" s="116">
        <f>D96</f>
        <v>44144.450626412421</v>
      </c>
      <c r="C97" s="220">
        <f>D96</f>
        <v>44144.450626412421</v>
      </c>
      <c r="D97" s="220">
        <f>(E97/24)+C97+(G97/24)</f>
        <v>44144.462751412422</v>
      </c>
      <c r="E97" s="219">
        <f>INDEX('[1]Work sheet'!$G$2:$G$240,MATCH(I97,'[1]Work sheet'!$K$2:$K$240,0))+IFERROR(IF(FIND("WASH",J96,1)&gt;0,0,0.35),0.2)</f>
        <v>0.29100000000000004</v>
      </c>
      <c r="F97" s="218">
        <f>IFERROR(MROUND((L97/((INDEX('[1]Work sheet'!$G$2:$G$239,MATCH(I97,'[1]Work sheet'!$K$2:$K$239,0))*0.58)*60)),0.5),"")</f>
        <v>8.5</v>
      </c>
      <c r="G97" s="217"/>
      <c r="H97" s="175">
        <f>LEN(J97)-LEN(SUBSTITUTE(J97,",",""))</f>
        <v>0</v>
      </c>
      <c r="I97" s="183">
        <f>'[1]Work sheet'!K85</f>
        <v>1668657</v>
      </c>
      <c r="J97" s="174" t="str">
        <f>VLOOKUP(I97,'[1]Work sheet'!$K$2:L708,2,0)</f>
        <v>OR-1444.011 P1B 12UN CTN 1 BAG</v>
      </c>
      <c r="K97" s="173">
        <f>VLOOKUP(I97,'[1]Work sheet'!$K$2:O825,3,0)</f>
        <v>27</v>
      </c>
      <c r="L97" s="173">
        <f>VLOOKUP(I97,'[1]Work sheet'!$K$2:O1220,4,0)</f>
        <v>27</v>
      </c>
      <c r="M97" s="171" t="str">
        <f>VLOOKUP(I97,'[1]Work sheet'!$K$2:T1529,10,0)</f>
        <v>SBZ/811</v>
      </c>
      <c r="N97" s="172" t="str">
        <f>IFERROR(VLOOKUP(I97,'[1]PO Numbers'!$R$2:S273,2,0),"TBC")</f>
        <v>106991174</v>
      </c>
      <c r="O97" s="171" t="str">
        <f>IFERROR(VLOOKUP(VALUE(N97),'[1]PO Numbers'!$F$1:$J$400,5,0),"xxx")</f>
        <v>PI01</v>
      </c>
      <c r="P97" s="168" t="str">
        <f>VLOOKUP(I97,'[1]Work sheet'!$K$2:AA1145,13,0)</f>
        <v/>
      </c>
      <c r="Q97" s="170">
        <f>VLOOKUP(I97,'[1]Work sheet'!$K$2:AI810,16,0)</f>
        <v>4.4400000000000004</v>
      </c>
      <c r="R97" s="168" t="str">
        <f>VLOOKUP(I97,'[1]Work sheet'!$K$2:AA505,17,0)</f>
        <v>2-3Kgs 811, 2-3Kgs SBZ</v>
      </c>
      <c r="S97" s="169" t="str">
        <f>VLOOKUP(I97,'[1]Work sheet'!$K$2:AL388,28,0)</f>
        <v/>
      </c>
      <c r="T97" s="168" t="str">
        <f>IFERROR(VLOOKUP(I97,[1]Label!$A$1:C1047,3,0),"")</f>
        <v/>
      </c>
      <c r="U97" s="165" t="str">
        <f>IFERROR(IF(OR(VLOOKUP(I97,'[1]Work sheet'!$K$2:U692,11,0)="530",VLOOKUP(I97,'[1]Work sheet'!$K$2:U692,11,0)="526"),"BTO",""),"")</f>
        <v/>
      </c>
      <c r="V97" s="165"/>
      <c r="W97" s="167" t="str">
        <f>IF(COUNTIF('[1]OB Connect'!$F$13:$F$364,N97),"On Openbatch", "No")</f>
        <v>No</v>
      </c>
      <c r="X97" s="166" t="str">
        <f>X96</f>
        <v>F_D4B</v>
      </c>
      <c r="Y97" s="274">
        <f>E97+G97+Y96</f>
        <v>15.106033898305082</v>
      </c>
      <c r="Z97" s="165" t="str">
        <f>IF(Y97&lt;=12,"Shift 1",IF(AND(Y97&gt;12,Y97&lt;=24),"Shift 2",IF(AND(Y97&gt;24,Y97&lt;=36),"Shift 3",IF(AND(Y97&gt;36,Y97&lt;=48),"Shift 4",IF(AND(Y97&gt;48,Y97&lt;=60),"Shift 5",IF(AND(Y97&gt;60,Y97&lt;=72),"Shift 6",IF(AND(Y97&gt;72,Y97&lt;=84),"Shift 7",IF(AND(Y97&gt;84,Y97&lt;=96),IF(AND(Y97&gt;84,Y97&lt;=96),"Shift 8",),"Shift 9"))))))))</f>
        <v>Shift 2</v>
      </c>
    </row>
    <row r="98" spans="1:147" ht="13" x14ac:dyDescent="0.25">
      <c r="B98" s="116">
        <f>D97</f>
        <v>44144.462751412422</v>
      </c>
      <c r="C98" s="220">
        <f>D97</f>
        <v>44144.462751412422</v>
      </c>
      <c r="D98" s="220">
        <f>(E98/24)+C98+(G98/24)</f>
        <v>44144.475293079086</v>
      </c>
      <c r="E98" s="219">
        <f>INDEX('[1]Work sheet'!$G$2:$G$240,MATCH(I98,'[1]Work sheet'!$K$2:$K$240,0))+IFERROR(IF(FIND("WASH",J97,1)&gt;0,0,0.35),0.2)</f>
        <v>0.30100000000000005</v>
      </c>
      <c r="F98" s="218">
        <f>IFERROR(MROUND((L98/((INDEX('[1]Work sheet'!$G$2:$G$239,MATCH(I98,'[1]Work sheet'!$K$2:$K$239,0))*0.58)*60)),0.5),"")</f>
        <v>8.5</v>
      </c>
      <c r="G98" s="217"/>
      <c r="H98" s="175">
        <f>LEN(J98)-LEN(SUBSTITUTE(J98,",",""))</f>
        <v>0</v>
      </c>
      <c r="I98" s="183">
        <f>'[1]Work sheet'!K86</f>
        <v>1950395</v>
      </c>
      <c r="J98" s="174" t="str">
        <f>VLOOKUP(I98,'[1]Work sheet'!$K$2:L709,2,0)</f>
        <v>TE/LE/D-124.501 P1B 24UN CTN 3 BAG</v>
      </c>
      <c r="K98" s="173">
        <f>VLOOKUP(I98,'[1]Work sheet'!$K$2:O826,3,0)</f>
        <v>10</v>
      </c>
      <c r="L98" s="173">
        <f>VLOOKUP(I98,'[1]Work sheet'!$K$2:O1221,4,0)</f>
        <v>30</v>
      </c>
      <c r="M98" s="171" t="str">
        <f>VLOOKUP(I98,'[1]Work sheet'!$K$2:T1530,10,0)</f>
        <v>SBZ/811</v>
      </c>
      <c r="N98" s="172" t="str">
        <f>IFERROR(VLOOKUP(I98,'[1]PO Numbers'!$R$2:S274,2,0),"TBC")</f>
        <v>106990351</v>
      </c>
      <c r="O98" s="171" t="str">
        <f>IFERROR(VLOOKUP(VALUE(N98),'[1]PO Numbers'!$F$1:$J$400,5,0),"xxx")</f>
        <v>PI01</v>
      </c>
      <c r="P98" s="168" t="str">
        <f>VLOOKUP(I98,'[1]Work sheet'!$K$2:AA1146,13,0)</f>
        <v/>
      </c>
      <c r="Q98" s="170">
        <f>VLOOKUP(I98,'[1]Work sheet'!$K$2:AI811,16,0)</f>
        <v>4.96</v>
      </c>
      <c r="R98" s="168" t="str">
        <f>VLOOKUP(I98,'[1]Work sheet'!$K$2:AA506,17,0)</f>
        <v>2-3Kgs SBZ, 2-3Kgs 811</v>
      </c>
      <c r="S98" s="169" t="str">
        <f>VLOOKUP(I98,'[1]Work sheet'!$K$2:AL389,28,0)</f>
        <v/>
      </c>
      <c r="T98" s="168" t="str">
        <f>IFERROR(VLOOKUP(I98,[1]Label!$A$1:C1048,3,0),"")</f>
        <v/>
      </c>
      <c r="U98" s="165" t="str">
        <f>IFERROR(IF(OR(VLOOKUP(I98,'[1]Work sheet'!$K$2:U693,11,0)="530",VLOOKUP(I98,'[1]Work sheet'!$K$2:U693,11,0)="526"),"BTO",""),"")</f>
        <v/>
      </c>
      <c r="V98" s="165"/>
      <c r="W98" s="167" t="str">
        <f>IF(COUNTIF('[1]OB Connect'!$F$13:$F$364,N98),"On Openbatch", "No")</f>
        <v>No</v>
      </c>
      <c r="X98" s="166" t="str">
        <f>X97</f>
        <v>F_D4B</v>
      </c>
      <c r="Y98" s="274">
        <f>E98+G98+Y97</f>
        <v>15.407033898305082</v>
      </c>
      <c r="Z98" s="165" t="str">
        <f>IF(Y98&lt;=12,"Shift 1",IF(AND(Y98&gt;12,Y98&lt;=24),"Shift 2",IF(AND(Y98&gt;24,Y98&lt;=36),"Shift 3",IF(AND(Y98&gt;36,Y98&lt;=48),"Shift 4",IF(AND(Y98&gt;48,Y98&lt;=60),"Shift 5",IF(AND(Y98&gt;60,Y98&lt;=72),"Shift 6",IF(AND(Y98&gt;72,Y98&lt;=84),"Shift 7",IF(AND(Y98&gt;84,Y98&lt;=96),IF(AND(Y98&gt;84,Y98&lt;=96),"Shift 8",),"Shift 9"))))))))</f>
        <v>Shift 2</v>
      </c>
    </row>
    <row r="99" spans="1:147" s="58" customFormat="1" ht="13" x14ac:dyDescent="0.25">
      <c r="A99" s="118"/>
      <c r="B99" s="126">
        <f>D98</f>
        <v>44144.475293079086</v>
      </c>
      <c r="C99" s="125">
        <f>D98</f>
        <v>44144.475293079086</v>
      </c>
      <c r="D99" s="125">
        <f>(E99/24)+C99+(G99/24)</f>
        <v>44144.483626412417</v>
      </c>
      <c r="E99" s="124">
        <v>0.2</v>
      </c>
      <c r="F99" s="124"/>
      <c r="G99" s="123"/>
      <c r="H99" s="119"/>
      <c r="I99" s="122"/>
      <c r="J99" s="118" t="s">
        <v>12</v>
      </c>
      <c r="K99" s="121"/>
      <c r="L99" s="120"/>
      <c r="M99" s="118"/>
      <c r="N99" s="118"/>
      <c r="O99" s="118"/>
      <c r="P99" s="117"/>
      <c r="Q99" s="119"/>
      <c r="R99" s="118"/>
      <c r="S99" s="117"/>
      <c r="T99" s="117"/>
      <c r="U99" s="23"/>
      <c r="V99" s="21"/>
      <c r="W99" s="22"/>
      <c r="X99" s="22"/>
      <c r="Y99" s="21"/>
      <c r="Z99" s="20"/>
      <c r="AA99" s="60"/>
      <c r="AB99" s="60"/>
      <c r="AC99" s="60"/>
      <c r="AD99" s="60"/>
      <c r="AE99" s="60"/>
      <c r="AF99" s="60"/>
      <c r="AG99" s="60"/>
      <c r="AH99" s="60"/>
      <c r="AI99" s="60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  <c r="BD99" s="59"/>
      <c r="BE99" s="59"/>
      <c r="BF99" s="59"/>
      <c r="BG99" s="59"/>
      <c r="BH99" s="59"/>
      <c r="BI99" s="59"/>
      <c r="BJ99" s="59"/>
      <c r="BK99" s="59"/>
      <c r="BL99" s="59"/>
      <c r="BM99" s="59"/>
      <c r="BN99" s="59"/>
      <c r="BO99" s="59"/>
      <c r="BP99" s="59"/>
      <c r="BQ99" s="59"/>
      <c r="BR99" s="59"/>
      <c r="BS99" s="59"/>
      <c r="BT99" s="59"/>
      <c r="BU99" s="59"/>
      <c r="BV99" s="59"/>
      <c r="BW99" s="59"/>
      <c r="BX99" s="59"/>
      <c r="BY99" s="59"/>
      <c r="BZ99" s="59"/>
      <c r="CA99" s="59"/>
      <c r="CB99" s="59"/>
      <c r="CC99" s="59"/>
      <c r="CD99" s="59"/>
      <c r="CE99" s="59"/>
      <c r="CF99" s="59"/>
      <c r="CG99" s="59"/>
      <c r="CH99" s="59"/>
      <c r="CI99" s="59"/>
      <c r="CJ99" s="59"/>
      <c r="CK99" s="59"/>
      <c r="CL99" s="59"/>
      <c r="CM99" s="59"/>
      <c r="CN99" s="59"/>
      <c r="CO99" s="59"/>
      <c r="CP99" s="59"/>
      <c r="CQ99" s="59"/>
      <c r="CR99" s="59"/>
      <c r="CS99" s="59"/>
      <c r="CT99" s="59"/>
      <c r="CU99" s="59"/>
      <c r="CV99" s="59"/>
      <c r="CW99" s="59"/>
      <c r="CX99" s="59"/>
      <c r="CY99" s="59"/>
      <c r="CZ99" s="59"/>
      <c r="DA99" s="59"/>
      <c r="DB99" s="59"/>
      <c r="DC99" s="59"/>
      <c r="DD99" s="59"/>
      <c r="DE99" s="59"/>
      <c r="DF99" s="59"/>
      <c r="DG99" s="59"/>
      <c r="DH99" s="59"/>
      <c r="DI99" s="59"/>
      <c r="DJ99" s="59"/>
      <c r="DK99" s="59"/>
      <c r="DL99" s="59"/>
      <c r="DM99" s="59"/>
      <c r="DN99" s="59"/>
      <c r="DO99" s="59"/>
      <c r="DP99" s="59"/>
      <c r="DQ99" s="59"/>
      <c r="DR99" s="59"/>
      <c r="DS99" s="59"/>
      <c r="DT99" s="59"/>
      <c r="DU99" s="59"/>
      <c r="DV99" s="59"/>
      <c r="DW99" s="59"/>
      <c r="DX99" s="59"/>
      <c r="DY99" s="59"/>
      <c r="DZ99" s="59"/>
      <c r="EA99" s="59"/>
      <c r="EB99" s="59"/>
      <c r="EC99" s="59"/>
      <c r="ED99" s="59"/>
      <c r="EE99" s="59"/>
      <c r="EF99" s="59"/>
      <c r="EG99" s="59"/>
      <c r="EH99" s="59"/>
      <c r="EI99" s="59"/>
      <c r="EJ99" s="59"/>
      <c r="EK99" s="59"/>
      <c r="EL99" s="59"/>
      <c r="EM99" s="59"/>
      <c r="EN99" s="59"/>
      <c r="EO99" s="59"/>
      <c r="EP99" s="59"/>
      <c r="EQ99" s="59"/>
    </row>
    <row r="100" spans="1:147" ht="13" x14ac:dyDescent="0.25">
      <c r="B100" s="116">
        <f>D99</f>
        <v>44144.483626412417</v>
      </c>
      <c r="C100" s="220">
        <f>D99</f>
        <v>44144.483626412417</v>
      </c>
      <c r="D100" s="220">
        <f>(E100/24)+C100+(G100/24)</f>
        <v>44144.499834745751</v>
      </c>
      <c r="E100" s="219">
        <f>INDEX('[1]Work sheet'!$G$2:$G$240,MATCH(I100,'[1]Work sheet'!$K$2:$K$240,0))+IFERROR(IF(FIND("WASH",#REF!,1)&gt;0,0,0.35),0.2)</f>
        <v>0.38900000000000001</v>
      </c>
      <c r="F100" s="218">
        <f>IFERROR(MROUND((L100/((INDEX('[1]Work sheet'!$G$2:$G$239,MATCH(I100,'[1]Work sheet'!$K$2:$K$239,0))*0.58)*60)),0.5),"")</f>
        <v>8.5</v>
      </c>
      <c r="G100" s="217"/>
      <c r="H100" s="175">
        <f>LEN(J100)-LEN(SUBSTITUTE(J100,",",""))</f>
        <v>0</v>
      </c>
      <c r="I100" s="183">
        <f>'[1]Work sheet'!K87</f>
        <v>1880107</v>
      </c>
      <c r="J100" s="174" t="str">
        <f>VLOOKUP(I100,'[1]Work sheet'!$K$2:L711,2,0)</f>
        <v>MA/6-156.001 P1B 25UN CTN 2BAG</v>
      </c>
      <c r="K100" s="173">
        <f>VLOOKUP(I100,'[1]Work sheet'!$K$2:O828,3,0)</f>
        <v>28</v>
      </c>
      <c r="L100" s="173">
        <f>VLOOKUP(I100,'[1]Work sheet'!$K$2:O1223,4,0)</f>
        <v>56</v>
      </c>
      <c r="M100" s="171">
        <f>VLOOKUP(I100,'[1]Work sheet'!$K$2:T1532,10,0)</f>
        <v>811</v>
      </c>
      <c r="N100" s="172" t="str">
        <f>IFERROR(VLOOKUP(I100,'[1]PO Numbers'!$R$2:S276,2,0),"TBC")</f>
        <v>106991183</v>
      </c>
      <c r="O100" s="171" t="str">
        <f>IFERROR(VLOOKUP(VALUE(N100),'[1]PO Numbers'!$F$1:$J$400,5,0),"xxx")</f>
        <v>PI01</v>
      </c>
      <c r="P100" s="168" t="str">
        <f>VLOOKUP(I100,'[1]Work sheet'!$K$2:AA1148,13,0)</f>
        <v/>
      </c>
      <c r="Q100" s="170">
        <f>VLOOKUP(I100,'[1]Work sheet'!$K$2:AI813,16,0)</f>
        <v>3.9470000000000001</v>
      </c>
      <c r="R100" s="168" t="str">
        <f>VLOOKUP(I100,'[1]Work sheet'!$K$2:AA508,17,0)</f>
        <v>3-4Kgs 811</v>
      </c>
      <c r="S100" s="169" t="str">
        <f>VLOOKUP(I100,'[1]Work sheet'!$K$2:AL391,28,0)</f>
        <v/>
      </c>
      <c r="T100" s="168" t="str">
        <f>IFERROR(VLOOKUP(I100,[1]Label!$A$1:C1050,3,0),"")</f>
        <v/>
      </c>
      <c r="U100" s="165" t="str">
        <f>IFERROR(IF(OR(VLOOKUP(I100,'[1]Work sheet'!$K$2:U695,11,0)="530",VLOOKUP(I100,'[1]Work sheet'!$K$2:U695,11,0)="526"),"BTO",""),"")</f>
        <v/>
      </c>
      <c r="V100" s="165"/>
      <c r="W100" s="167" t="str">
        <f>IF(COUNTIF('[1]OB Connect'!$F$13:$F$364,N100),"On Openbatch", "No")</f>
        <v>No</v>
      </c>
      <c r="X100" s="166" t="e">
        <f>#REF!</f>
        <v>#REF!</v>
      </c>
      <c r="Y100" s="274" t="e">
        <f>E100+G100+#REF!</f>
        <v>#REF!</v>
      </c>
      <c r="Z100" s="165" t="e">
        <f>IF(Y100&lt;=12,"Shift 1",IF(AND(Y100&gt;12,Y100&lt;=24),"Shift 2",IF(AND(Y100&gt;24,Y100&lt;=36),"Shift 3",IF(AND(Y100&gt;36,Y100&lt;=48),"Shift 4",IF(AND(Y100&gt;48,Y100&lt;=60),"Shift 5",IF(AND(Y100&gt;60,Y100&lt;=72),"Shift 6",IF(AND(Y100&gt;72,Y100&lt;=84),"Shift 7",IF(AND(Y100&gt;84,Y100&lt;=96),IF(AND(Y100&gt;84,Y100&lt;=96),"Shift 8",),"Shift 9"))))))))</f>
        <v>#REF!</v>
      </c>
    </row>
    <row r="101" spans="1:147" ht="13" x14ac:dyDescent="0.25">
      <c r="B101" s="116">
        <f>D100</f>
        <v>44144.499834745751</v>
      </c>
      <c r="C101" s="220">
        <f>D100</f>
        <v>44144.499834745751</v>
      </c>
      <c r="D101" s="220">
        <f>(E101/24)+C101+(G101/24)</f>
        <v>44144.636626412423</v>
      </c>
      <c r="E101" s="219">
        <f>INDEX('[1]Work sheet'!$G$2:$G$240,MATCH(I101,'[1]Work sheet'!$K$2:$K$240,0))+IFERROR(IF(FIND("WASH",J100,1)&gt;0,0,0.35),0.2)</f>
        <v>0.53300000000000003</v>
      </c>
      <c r="F101" s="218">
        <f>IFERROR(MROUND((L101/((INDEX('[1]Work sheet'!$G$2:$G$239,MATCH(I101,'[1]Work sheet'!$K$2:$K$239,0))*0.58)*60)),0.5),"")</f>
        <v>7</v>
      </c>
      <c r="G101" s="217">
        <v>2.75</v>
      </c>
      <c r="H101" s="175">
        <f>LEN(J101)-LEN(SUBSTITUTE(J101,",",""))</f>
        <v>0</v>
      </c>
      <c r="I101" s="183">
        <f>'[1]Work sheet'!K88</f>
        <v>1735260</v>
      </c>
      <c r="J101" s="174" t="str">
        <f>VLOOKUP(I101,'[1]Work sheet'!$K$2:L712,2,0)</f>
        <v>FP/B-426.201 P1B 22.5UN CTN 1 BAG</v>
      </c>
      <c r="K101" s="173">
        <f>VLOOKUP(I101,'[1]Work sheet'!$K$2:O829,3,0)</f>
        <v>81</v>
      </c>
      <c r="L101" s="173">
        <f>VLOOKUP(I101,'[1]Work sheet'!$K$2:O1224,4,0)</f>
        <v>81</v>
      </c>
      <c r="M101" s="171">
        <f>VLOOKUP(I101,'[1]Work sheet'!$K$2:T1533,10,0)</f>
        <v>811</v>
      </c>
      <c r="N101" s="172" t="str">
        <f>IFERROR(VLOOKUP(I101,'[1]PO Numbers'!$R$2:S277,2,0),"TBC")</f>
        <v>106990344</v>
      </c>
      <c r="O101" s="171" t="str">
        <f>IFERROR(VLOOKUP(VALUE(N101),'[1]PO Numbers'!$F$1:$J$400,5,0),"xxx")</f>
        <v>PI01</v>
      </c>
      <c r="P101" s="168" t="str">
        <f>VLOOKUP(I101,'[1]Work sheet'!$K$2:AA1149,13,0)</f>
        <v/>
      </c>
      <c r="Q101" s="170">
        <f>VLOOKUP(I101,'[1]Work sheet'!$K$2:AI814,16,0)</f>
        <v>10.125</v>
      </c>
      <c r="R101" s="168" t="str">
        <f>VLOOKUP(I101,'[1]Work sheet'!$K$2:AA509,17,0)</f>
        <v>10-11Kgs 811</v>
      </c>
      <c r="S101" s="169" t="str">
        <f>VLOOKUP(I101,'[1]Work sheet'!$K$2:AL392,28,0)</f>
        <v/>
      </c>
      <c r="T101" s="168" t="str">
        <f>IFERROR(VLOOKUP(I101,[1]Label!$A$1:C1051,3,0),"")</f>
        <v/>
      </c>
      <c r="U101" s="165" t="str">
        <f>IFERROR(IF(OR(VLOOKUP(I101,'[1]Work sheet'!$K$2:U696,11,0)="530",VLOOKUP(I101,'[1]Work sheet'!$K$2:U696,11,0)="526"),"BTO",""),"")</f>
        <v/>
      </c>
      <c r="V101" s="165"/>
      <c r="W101" s="167" t="str">
        <f>IF(COUNTIF('[1]OB Connect'!$F$13:$F$364,N101),"On Openbatch", "No")</f>
        <v>No</v>
      </c>
      <c r="X101" s="166" t="e">
        <f>X100</f>
        <v>#REF!</v>
      </c>
      <c r="Y101" s="274" t="e">
        <f>E101+G101+Y100</f>
        <v>#REF!</v>
      </c>
      <c r="Z101" s="165" t="e">
        <f>IF(Y101&lt;=12,"Shift 1",IF(AND(Y101&gt;12,Y101&lt;=24),"Shift 2",IF(AND(Y101&gt;24,Y101&lt;=36),"Shift 3",IF(AND(Y101&gt;36,Y101&lt;=48),"Shift 4",IF(AND(Y101&gt;48,Y101&lt;=60),"Shift 5",IF(AND(Y101&gt;60,Y101&lt;=72),"Shift 6",IF(AND(Y101&gt;72,Y101&lt;=84),"Shift 7",IF(AND(Y101&gt;84,Y101&lt;=96),IF(AND(Y101&gt;84,Y101&lt;=96),"Shift 8",),"Shift 9"))))))))</f>
        <v>#REF!</v>
      </c>
    </row>
    <row r="102" spans="1:147" ht="13" x14ac:dyDescent="0.25">
      <c r="B102" s="116">
        <f>D101</f>
        <v>44144.636626412423</v>
      </c>
      <c r="C102" s="220">
        <f>D101</f>
        <v>44144.636626412423</v>
      </c>
      <c r="D102" s="220">
        <f>(E102/24)+C102+(G102/24)</f>
        <v>44144.649584745755</v>
      </c>
      <c r="E102" s="219">
        <f>INDEX('[1]Work sheet'!$G$2:$G$240,MATCH(I102,'[1]Work sheet'!$K$2:$K$240,0))+IFERROR(IF(FIND("WASH",J101,1)&gt;0,0,0.35),0.2)</f>
        <v>0.311</v>
      </c>
      <c r="F102" s="218">
        <f>IFERROR(MROUND((L102/((INDEX('[1]Work sheet'!$G$2:$G$239,MATCH(I102,'[1]Work sheet'!$K$2:$K$239,0))*0.58)*60)),0.5),"")</f>
        <v>7</v>
      </c>
      <c r="G102" s="217"/>
      <c r="H102" s="175">
        <f>LEN(J102)-LEN(SUBSTITUTE(J102,",",""))</f>
        <v>0</v>
      </c>
      <c r="I102" s="183">
        <f>'[1]Work sheet'!K89</f>
        <v>1648708</v>
      </c>
      <c r="J102" s="174" t="str">
        <f>VLOOKUP(I102,'[1]Work sheet'!$K$2:L713,2,0)</f>
        <v>AP/N-526.001 P1B 16UN CTN 1 BAG</v>
      </c>
      <c r="K102" s="173">
        <f>VLOOKUP(I102,'[1]Work sheet'!$K$2:O830,3,0)</f>
        <v>27</v>
      </c>
      <c r="L102" s="173">
        <f>VLOOKUP(I102,'[1]Work sheet'!$K$2:O1225,4,0)</f>
        <v>27</v>
      </c>
      <c r="M102" s="171">
        <f>VLOOKUP(I102,'[1]Work sheet'!$K$2:T1534,10,0)</f>
        <v>811</v>
      </c>
      <c r="N102" s="172" t="str">
        <f>IFERROR(VLOOKUP(I102,'[1]PO Numbers'!$R$2:S278,2,0),"TBC")</f>
        <v>106991179</v>
      </c>
      <c r="O102" s="171" t="str">
        <f>IFERROR(VLOOKUP(VALUE(N102),'[1]PO Numbers'!$F$1:$J$400,5,0),"xxx")</f>
        <v>PI01</v>
      </c>
      <c r="P102" s="168" t="str">
        <f>VLOOKUP(I102,'[1]Work sheet'!$K$2:AA1150,13,0)</f>
        <v/>
      </c>
      <c r="Q102" s="170">
        <f>VLOOKUP(I102,'[1]Work sheet'!$K$2:AI815,16,0)</f>
        <v>10.895</v>
      </c>
      <c r="R102" s="168" t="str">
        <f>VLOOKUP(I102,'[1]Work sheet'!$K$2:AA510,17,0)</f>
        <v>10-11Kgs 811</v>
      </c>
      <c r="S102" s="169" t="str">
        <f>VLOOKUP(I102,'[1]Work sheet'!$K$2:AL393,28,0)</f>
        <v/>
      </c>
      <c r="T102" s="168">
        <f>IFERROR(VLOOKUP(I102,[1]Label!$A$1:C1052,3,0),"")</f>
        <v>1561894</v>
      </c>
      <c r="U102" s="165" t="str">
        <f>IFERROR(IF(OR(VLOOKUP(I102,'[1]Work sheet'!$K$2:U697,11,0)="530",VLOOKUP(I102,'[1]Work sheet'!$K$2:U697,11,0)="526"),"BTO",""),"")</f>
        <v/>
      </c>
      <c r="V102" s="165"/>
      <c r="W102" s="167" t="str">
        <f>IF(COUNTIF('[1]OB Connect'!$F$13:$F$364,N102),"On Openbatch", "No")</f>
        <v>No</v>
      </c>
      <c r="X102" s="166" t="e">
        <f>X101</f>
        <v>#REF!</v>
      </c>
      <c r="Y102" s="274" t="e">
        <f>E102+G102+Y101</f>
        <v>#REF!</v>
      </c>
      <c r="Z102" s="165" t="e">
        <f>IF(Y102&lt;=12,"Shift 1",IF(AND(Y102&gt;12,Y102&lt;=24),"Shift 2",IF(AND(Y102&gt;24,Y102&lt;=36),"Shift 3",IF(AND(Y102&gt;36,Y102&lt;=48),"Shift 4",IF(AND(Y102&gt;48,Y102&lt;=60),"Shift 5",IF(AND(Y102&gt;60,Y102&lt;=72),"Shift 6",IF(AND(Y102&gt;72,Y102&lt;=84),"Shift 7",IF(AND(Y102&gt;84,Y102&lt;=96),IF(AND(Y102&gt;84,Y102&lt;=96),"Shift 8",),"Shift 9"))))))))</f>
        <v>#REF!</v>
      </c>
    </row>
    <row r="103" spans="1:147" ht="13" x14ac:dyDescent="0.25">
      <c r="B103" s="116">
        <f>D102</f>
        <v>44144.649584745755</v>
      </c>
      <c r="C103" s="220">
        <f>D102</f>
        <v>44144.649584745755</v>
      </c>
      <c r="D103" s="220">
        <f>(E103/24)+C103+(G103/24)</f>
        <v>44144.715376412423</v>
      </c>
      <c r="E103" s="219">
        <f>INDEX('[1]Work sheet'!$G$2:$G$240,MATCH(I103,'[1]Work sheet'!$K$2:$K$240,0))+IFERROR(IF(FIND("WASH",J102,1)&gt;0,0,0.35),0.2)</f>
        <v>1.579</v>
      </c>
      <c r="F103" s="218">
        <f>IFERROR(MROUND((L103/((INDEX('[1]Work sheet'!$G$2:$G$239,MATCH(I103,'[1]Work sheet'!$K$2:$K$239,0))*0.58)*60)),0.5),"")</f>
        <v>4.5</v>
      </c>
      <c r="G103" s="217"/>
      <c r="H103" s="175">
        <f>LEN(J103)-LEN(SUBSTITUTE(J103,",",""))</f>
        <v>0</v>
      </c>
      <c r="I103" s="183">
        <f>'[1]Work sheet'!K90</f>
        <v>1960407</v>
      </c>
      <c r="J103" s="174" t="str">
        <f>VLOOKUP(I103,'[1]Work sheet'!$K$2:L714,2,0)</f>
        <v>OR/A/B-1704.001 P1B 30UN CTN 1BAG</v>
      </c>
      <c r="K103" s="173">
        <f>VLOOKUP(I103,'[1]Work sheet'!$K$2:O831,3,0)</f>
        <v>216</v>
      </c>
      <c r="L103" s="173">
        <f>VLOOKUP(I103,'[1]Work sheet'!$K$2:O1226,4,0)</f>
        <v>216</v>
      </c>
      <c r="M103" s="171">
        <f>VLOOKUP(I103,'[1]Work sheet'!$K$2:T1535,10,0)</f>
        <v>811</v>
      </c>
      <c r="N103" s="172" t="str">
        <f>IFERROR(VLOOKUP(I103,'[1]PO Numbers'!$R$2:S279,2,0),"TBC")</f>
        <v>106990349</v>
      </c>
      <c r="O103" s="171" t="str">
        <f>IFERROR(VLOOKUP(VALUE(N103),'[1]PO Numbers'!$F$1:$J$400,5,0),"xxx")</f>
        <v>PI01</v>
      </c>
      <c r="P103" s="168" t="str">
        <f>VLOOKUP(I103,'[1]Work sheet'!$K$2:AA1151,13,0)</f>
        <v/>
      </c>
      <c r="Q103" s="170">
        <f>VLOOKUP(I103,'[1]Work sheet'!$K$2:AI816,16,0)</f>
        <v>13.5</v>
      </c>
      <c r="R103" s="168" t="str">
        <f>VLOOKUP(I103,'[1]Work sheet'!$K$2:AA511,17,0)</f>
        <v>13-14Kgs 811</v>
      </c>
      <c r="S103" s="169" t="str">
        <f>VLOOKUP(I103,'[1]Work sheet'!$K$2:AL394,28,0)</f>
        <v/>
      </c>
      <c r="T103" s="168" t="str">
        <f>IFERROR(VLOOKUP(I103,[1]Label!$A$1:C1053,3,0),"")</f>
        <v/>
      </c>
      <c r="U103" s="165" t="str">
        <f>IFERROR(IF(OR(VLOOKUP(I103,'[1]Work sheet'!$K$2:U698,11,0)="530",VLOOKUP(I103,'[1]Work sheet'!$K$2:U698,11,0)="526"),"BTO",""),"")</f>
        <v/>
      </c>
      <c r="V103" s="165"/>
      <c r="W103" s="167" t="str">
        <f>IF(COUNTIF('[1]OB Connect'!$F$13:$F$364,N103),"On Openbatch", "No")</f>
        <v>No</v>
      </c>
      <c r="X103" s="166" t="e">
        <f>X102</f>
        <v>#REF!</v>
      </c>
      <c r="Y103" s="274" t="e">
        <f>E103+G103+Y102</f>
        <v>#REF!</v>
      </c>
      <c r="Z103" s="165" t="e">
        <f>IF(Y103&lt;=12,"Shift 1",IF(AND(Y103&gt;12,Y103&lt;=24),"Shift 2",IF(AND(Y103&gt;24,Y103&lt;=36),"Shift 3",IF(AND(Y103&gt;36,Y103&lt;=48),"Shift 4",IF(AND(Y103&gt;48,Y103&lt;=60),"Shift 5",IF(AND(Y103&gt;60,Y103&lt;=72),"Shift 6",IF(AND(Y103&gt;72,Y103&lt;=84),"Shift 7",IF(AND(Y103&gt;84,Y103&lt;=96),IF(AND(Y103&gt;84,Y103&lt;=96),"Shift 8",),"Shift 9"))))))))</f>
        <v>#REF!</v>
      </c>
    </row>
    <row r="104" spans="1:147" s="58" customFormat="1" ht="13" x14ac:dyDescent="0.25">
      <c r="A104" s="118"/>
      <c r="B104" s="126">
        <f>D103</f>
        <v>44144.715376412423</v>
      </c>
      <c r="C104" s="125">
        <f>D103</f>
        <v>44144.715376412423</v>
      </c>
      <c r="D104" s="125">
        <f>(E104/24)+C104+(G104/24)</f>
        <v>44144.757043079087</v>
      </c>
      <c r="E104" s="124">
        <v>1</v>
      </c>
      <c r="F104" s="124"/>
      <c r="G104" s="123"/>
      <c r="H104" s="119"/>
      <c r="I104" s="122"/>
      <c r="J104" s="118" t="s">
        <v>65</v>
      </c>
      <c r="K104" s="121"/>
      <c r="L104" s="120"/>
      <c r="M104" s="118"/>
      <c r="N104" s="118"/>
      <c r="O104" s="118"/>
      <c r="P104" s="117"/>
      <c r="Q104" s="119"/>
      <c r="R104" s="118"/>
      <c r="S104" s="117"/>
      <c r="T104" s="117"/>
      <c r="U104" s="23"/>
      <c r="V104" s="21"/>
      <c r="W104" s="22"/>
      <c r="X104" s="22"/>
      <c r="Y104" s="21"/>
      <c r="Z104" s="20"/>
      <c r="AA104" s="60"/>
      <c r="AB104" s="60"/>
      <c r="AC104" s="60"/>
      <c r="AD104" s="60"/>
      <c r="AE104" s="60"/>
      <c r="AF104" s="60"/>
      <c r="AG104" s="60"/>
      <c r="AH104" s="60"/>
      <c r="AI104" s="60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9"/>
      <c r="BD104" s="59"/>
      <c r="BE104" s="59"/>
      <c r="BF104" s="59"/>
      <c r="BG104" s="59"/>
      <c r="BH104" s="59"/>
      <c r="BI104" s="59"/>
      <c r="BJ104" s="59"/>
      <c r="BK104" s="59"/>
      <c r="BL104" s="59"/>
      <c r="BM104" s="59"/>
      <c r="BN104" s="59"/>
      <c r="BO104" s="59"/>
      <c r="BP104" s="59"/>
      <c r="BQ104" s="59"/>
      <c r="BR104" s="59"/>
      <c r="BS104" s="59"/>
      <c r="BT104" s="59"/>
      <c r="BU104" s="59"/>
      <c r="BV104" s="59"/>
      <c r="BW104" s="59"/>
      <c r="BX104" s="59"/>
      <c r="BY104" s="59"/>
      <c r="BZ104" s="59"/>
      <c r="CA104" s="59"/>
      <c r="CB104" s="59"/>
      <c r="CC104" s="59"/>
      <c r="CD104" s="59"/>
      <c r="CE104" s="59"/>
      <c r="CF104" s="59"/>
      <c r="CG104" s="59"/>
      <c r="CH104" s="59"/>
      <c r="CI104" s="59"/>
      <c r="CJ104" s="59"/>
      <c r="CK104" s="59"/>
      <c r="CL104" s="59"/>
      <c r="CM104" s="59"/>
      <c r="CN104" s="59"/>
      <c r="CO104" s="59"/>
      <c r="CP104" s="59"/>
      <c r="CQ104" s="59"/>
      <c r="CR104" s="59"/>
      <c r="CS104" s="59"/>
      <c r="CT104" s="59"/>
      <c r="CU104" s="59"/>
      <c r="CV104" s="59"/>
      <c r="CW104" s="59"/>
      <c r="CX104" s="59"/>
      <c r="CY104" s="59"/>
      <c r="CZ104" s="59"/>
      <c r="DA104" s="59"/>
      <c r="DB104" s="59"/>
      <c r="DC104" s="59"/>
      <c r="DD104" s="59"/>
      <c r="DE104" s="59"/>
      <c r="DF104" s="59"/>
      <c r="DG104" s="59"/>
      <c r="DH104" s="59"/>
      <c r="DI104" s="59"/>
      <c r="DJ104" s="59"/>
      <c r="DK104" s="59"/>
      <c r="DL104" s="59"/>
      <c r="DM104" s="59"/>
      <c r="DN104" s="59"/>
      <c r="DO104" s="59"/>
      <c r="DP104" s="59"/>
      <c r="DQ104" s="59"/>
      <c r="DR104" s="59"/>
      <c r="DS104" s="59"/>
      <c r="DT104" s="59"/>
      <c r="DU104" s="59"/>
      <c r="DV104" s="59"/>
      <c r="DW104" s="59"/>
      <c r="DX104" s="59"/>
      <c r="DY104" s="59"/>
      <c r="DZ104" s="59"/>
      <c r="EA104" s="59"/>
      <c r="EB104" s="59"/>
      <c r="EC104" s="59"/>
      <c r="ED104" s="59"/>
      <c r="EE104" s="59"/>
      <c r="EF104" s="59"/>
      <c r="EG104" s="59"/>
      <c r="EH104" s="59"/>
      <c r="EI104" s="59"/>
      <c r="EJ104" s="59"/>
      <c r="EK104" s="59"/>
      <c r="EL104" s="59"/>
      <c r="EM104" s="59"/>
      <c r="EN104" s="59"/>
      <c r="EO104" s="59"/>
      <c r="EP104" s="59"/>
      <c r="EQ104" s="59"/>
    </row>
    <row r="105" spans="1:147" ht="13" x14ac:dyDescent="0.25">
      <c r="B105" s="116">
        <f>D104</f>
        <v>44144.757043079087</v>
      </c>
      <c r="C105" s="220">
        <f>D104</f>
        <v>44144.757043079087</v>
      </c>
      <c r="D105" s="220">
        <f>(E105/24)+C105+(G105/24)</f>
        <v>44144.826209745755</v>
      </c>
      <c r="E105" s="219">
        <f>INDEX('[1]Work sheet'!$G$2:$G$240,MATCH(I105,'[1]Work sheet'!$K$2:$K$240,0))+IFERROR(IF(FIND("WASH",#REF!,1)&gt;0,0,0.35),0.2)</f>
        <v>1.66</v>
      </c>
      <c r="F105" s="218">
        <f>IFERROR(MROUND((L105/((INDEX('[1]Work sheet'!$G$2:$G$239,MATCH(I105,'[1]Work sheet'!$K$2:$K$239,0))*0.58)*60)),0.5),"")</f>
        <v>8.5</v>
      </c>
      <c r="G105" s="217"/>
      <c r="H105" s="175">
        <f>LEN(J105)-LEN(SUBSTITUTE(J105,",",""))</f>
        <v>0</v>
      </c>
      <c r="I105" s="183">
        <f>'[1]Work sheet'!K91</f>
        <v>1875898</v>
      </c>
      <c r="J105" s="174" t="str">
        <f>VLOOKUP(I105,'[1]Work sheet'!$K$2:L716,2,0)</f>
        <v>SP/D-74.92 P3 16UN CTN 4 BAGS</v>
      </c>
      <c r="K105" s="173">
        <f>VLOOKUP(I105,'[1]Work sheet'!$K$2:O833,3,0)</f>
        <v>108</v>
      </c>
      <c r="L105" s="173">
        <f>VLOOKUP(I105,'[1]Work sheet'!$K$2:O1228,4,0)</f>
        <v>432</v>
      </c>
      <c r="M105" s="171" t="str">
        <f>VLOOKUP(I105,'[1]Work sheet'!$K$2:T1537,10,0)</f>
        <v>ASP/616</v>
      </c>
      <c r="N105" s="172" t="str">
        <f>IFERROR(VLOOKUP(I105,'[1]PO Numbers'!$R$2:S281,2,0),"TBC")</f>
        <v>106990346</v>
      </c>
      <c r="O105" s="171" t="str">
        <f>IFERROR(VLOOKUP(VALUE(N105),'[1]PO Numbers'!$F$1:$J$400,5,0),"xxx")</f>
        <v>PI01</v>
      </c>
      <c r="P105" s="83" t="str">
        <f>VLOOKUP(I105,'[1]Work sheet'!$K$2:AA1153,13,0)</f>
        <v/>
      </c>
      <c r="Q105" s="170">
        <f>VLOOKUP(I105,'[1]Work sheet'!$K$2:AI818,16,0)</f>
        <v>2.1120000000000001</v>
      </c>
      <c r="R105" s="168" t="str">
        <f>VLOOKUP(I105,'[1]Work sheet'!$K$2:AA513,17,0)</f>
        <v xml:space="preserve"> 0-1Kgs ASP, 1-2Kgs 616</v>
      </c>
      <c r="S105" s="169" t="str">
        <f>VLOOKUP(I105,'[1]Work sheet'!$K$2:AL396,28,0)</f>
        <v/>
      </c>
      <c r="T105" s="168" t="str">
        <f>IFERROR(VLOOKUP(I105,[1]Label!$A$1:C1055,3,0),"")</f>
        <v/>
      </c>
      <c r="U105" s="165" t="str">
        <f>IFERROR(IF(OR(VLOOKUP(I105,'[1]Work sheet'!$K$2:U700,11,0)="530",VLOOKUP(I105,'[1]Work sheet'!$K$2:U700,11,0)="526"),"BTO",""),"")</f>
        <v/>
      </c>
      <c r="V105" s="165"/>
      <c r="W105" s="167" t="str">
        <f>IF(COUNTIF('[1]OB Connect'!$F$13:$F$364,N105),"On Openbatch", "No")</f>
        <v>No</v>
      </c>
      <c r="X105" s="166" t="e">
        <f>#REF!</f>
        <v>#REF!</v>
      </c>
      <c r="Y105" s="274" t="e">
        <f>E105+G105+#REF!</f>
        <v>#REF!</v>
      </c>
      <c r="Z105" s="165" t="e">
        <f>IF(Y105&lt;=12,"Shift 1",IF(AND(Y105&gt;12,Y105&lt;=24),"Shift 2",IF(AND(Y105&gt;24,Y105&lt;=36),"Shift 3",IF(AND(Y105&gt;36,Y105&lt;=48),"Shift 4",IF(AND(Y105&gt;48,Y105&lt;=60),"Shift 5",IF(AND(Y105&gt;60,Y105&lt;=72),"Shift 6",IF(AND(Y105&gt;72,Y105&lt;=84),"Shift 7",IF(AND(Y105&gt;84,Y105&lt;=96),IF(AND(Y105&gt;84,Y105&lt;=96),"Shift 8",),"Shift 9"))))))))</f>
        <v>#REF!</v>
      </c>
    </row>
    <row r="106" spans="1:147" ht="13" x14ac:dyDescent="0.25">
      <c r="A106" s="282" t="s">
        <v>64</v>
      </c>
      <c r="B106" s="116">
        <f>D105</f>
        <v>44144.826209745755</v>
      </c>
      <c r="C106" s="220">
        <f>D105</f>
        <v>44144.826209745755</v>
      </c>
      <c r="D106" s="220">
        <f>(E106/24)+C106+(G106/24)</f>
        <v>44144.845959745755</v>
      </c>
      <c r="E106" s="219">
        <f>INDEX('[1]Work sheet'!$G$2:$G$240,MATCH(I106,'[1]Work sheet'!$K$2:$K$240,0))+IFERROR(IF(FIND("WASH",#REF!,1)&gt;0,0,0.35),0.2)</f>
        <v>0.47400000000000003</v>
      </c>
      <c r="F106" s="218">
        <f>IFERROR(MROUND((L106/((INDEX('[1]Work sheet'!$G$2:$G$239,MATCH(I106,'[1]Work sheet'!$K$2:$K$239,0))*0.58)*60)),0.5),"")</f>
        <v>8.5</v>
      </c>
      <c r="G106" s="217"/>
      <c r="H106" s="175">
        <f>LEN(J106)-LEN(SUBSTITUTE(J106,",",""))</f>
        <v>1</v>
      </c>
      <c r="I106" s="281">
        <f>'[1]Work sheet'!K92</f>
        <v>1958029</v>
      </c>
      <c r="J106" s="174" t="str">
        <f>VLOOKUP(I106,'[1]Work sheet'!$K$2:L718,2,0)</f>
        <v>SP/B-175.00 P3,1C 24UN CTN 3BAG</v>
      </c>
      <c r="K106" s="173">
        <f>VLOOKUP(I106,'[1]Work sheet'!$K$2:O835,3,0)</f>
        <v>27</v>
      </c>
      <c r="L106" s="173">
        <f>VLOOKUP(I106,'[1]Work sheet'!$K$2:O1230,4,0)</f>
        <v>81</v>
      </c>
      <c r="M106" s="171" t="str">
        <f>VLOOKUP(I106,'[1]Work sheet'!$K$2:T1539,10,0)</f>
        <v>ASP/616</v>
      </c>
      <c r="N106" s="172" t="str">
        <f>IFERROR(VLOOKUP(I106,'[1]PO Numbers'!$R$2:S283,2,0),"TBC")</f>
        <v>106986697</v>
      </c>
      <c r="O106" s="171" t="str">
        <f>IFERROR(VLOOKUP(VALUE(N106),'[1]PO Numbers'!$F$1:$J$400,5,0),"xxx")</f>
        <v>YPI5</v>
      </c>
      <c r="P106" s="83" t="str">
        <f>VLOOKUP(I106,'[1]Work sheet'!$K$2:AA1155,13,0)</f>
        <v>3 of 1958027 (TSO)</v>
      </c>
      <c r="Q106" s="170">
        <f>VLOOKUP(I106,'[1]Work sheet'!$K$2:AI820,16,0)</f>
        <v>4.2240000000000002</v>
      </c>
      <c r="R106" s="168" t="str">
        <f>VLOOKUP(I106,'[1]Work sheet'!$K$2:AA515,17,0)</f>
        <v>1-2Kgs ASP, 2-3Kgs 616</v>
      </c>
      <c r="S106" s="280" t="s">
        <v>64</v>
      </c>
      <c r="T106" s="168" t="str">
        <f>IFERROR(VLOOKUP(I106,[1]Label!$A$1:C1057,3,0),"")</f>
        <v/>
      </c>
      <c r="U106" s="165" t="str">
        <f>IFERROR(IF(OR(VLOOKUP(I106,'[1]Work sheet'!$K$2:U702,11,0)="530",VLOOKUP(I106,'[1]Work sheet'!$K$2:U702,11,0)="526"),"BTO",""),"")</f>
        <v/>
      </c>
      <c r="V106" s="165"/>
      <c r="W106" s="167" t="str">
        <f>IF(COUNTIF('[1]OB Connect'!$F$13:$F$364,N106),"On Openbatch", "No")</f>
        <v>No</v>
      </c>
      <c r="X106" s="166" t="e">
        <f>#REF!</f>
        <v>#REF!</v>
      </c>
      <c r="Y106" s="274" t="e">
        <f>E106+G106+#REF!</f>
        <v>#REF!</v>
      </c>
      <c r="Z106" s="165" t="e">
        <f>IF(Y106&lt;=12,"Shift 1",IF(AND(Y106&gt;12,Y106&lt;=24),"Shift 2",IF(AND(Y106&gt;24,Y106&lt;=36),"Shift 3",IF(AND(Y106&gt;36,Y106&lt;=48),"Shift 4",IF(AND(Y106&gt;48,Y106&lt;=60),"Shift 5",IF(AND(Y106&gt;60,Y106&lt;=72),"Shift 6",IF(AND(Y106&gt;72,Y106&lt;=84),"Shift 7",IF(AND(Y106&gt;84,Y106&lt;=96),IF(AND(Y106&gt;84,Y106&lt;=96),"Shift 8",),"Shift 9"))))))))</f>
        <v>#REF!</v>
      </c>
    </row>
    <row r="107" spans="1:147" ht="13" x14ac:dyDescent="0.25">
      <c r="B107" s="116">
        <f>D106</f>
        <v>44144.845959745755</v>
      </c>
      <c r="C107" s="220">
        <f>D106</f>
        <v>44144.845959745755</v>
      </c>
      <c r="D107" s="220">
        <f>(E107/24)+C107+(G107/24)</f>
        <v>44144.901918079086</v>
      </c>
      <c r="E107" s="219">
        <f>INDEX('[1]Work sheet'!$G$2:$G$240,MATCH(I107,'[1]Work sheet'!$K$2:$K$240,0))+IFERROR(IF(FIND("WASH",J106,1)&gt;0,0,0.35),0.2)</f>
        <v>1.343</v>
      </c>
      <c r="F107" s="218">
        <f>IFERROR(MROUND((L107/((INDEX('[1]Work sheet'!$G$2:$G$239,MATCH(I107,'[1]Work sheet'!$K$2:$K$239,0))*0.58)*60)),0.5),"")</f>
        <v>8.5</v>
      </c>
      <c r="G107" s="217"/>
      <c r="H107" s="175">
        <f>LEN(J107)-LEN(SUBSTITUTE(J107,",",""))</f>
        <v>1</v>
      </c>
      <c r="I107" s="183">
        <f>'[1]Work sheet'!K93</f>
        <v>1969312</v>
      </c>
      <c r="J107" s="174" t="str">
        <f>VLOOKUP(I107,'[1]Work sheet'!$K$2:L719,2,0)</f>
        <v>SP/B-92.351 P3,1B 16UN CTN 2BAGS</v>
      </c>
      <c r="K107" s="173">
        <f>VLOOKUP(I107,'[1]Work sheet'!$K$2:O836,3,0)</f>
        <v>169</v>
      </c>
      <c r="L107" s="173">
        <f>VLOOKUP(I107,'[1]Work sheet'!$K$2:O1231,4,0)</f>
        <v>338</v>
      </c>
      <c r="M107" s="171" t="str">
        <f>VLOOKUP(I107,'[1]Work sheet'!$K$2:T1540,10,0)</f>
        <v>ASP/616</v>
      </c>
      <c r="N107" s="172" t="str">
        <f>IFERROR(VLOOKUP(I107,'[1]PO Numbers'!$R$2:S284,2,0),"TBC")</f>
        <v>106990354</v>
      </c>
      <c r="O107" s="171" t="str">
        <f>IFERROR(VLOOKUP(VALUE(N107),'[1]PO Numbers'!$F$1:$J$400,5,0),"xxx")</f>
        <v>PI01</v>
      </c>
      <c r="P107" s="83" t="str">
        <f>VLOOKUP(I107,'[1]Work sheet'!$K$2:AA1156,13,0)</f>
        <v>2 of 1812532 (SBZ)</v>
      </c>
      <c r="Q107" s="170">
        <f>VLOOKUP(I107,'[1]Work sheet'!$K$2:AI821,16,0)</f>
        <v>4.2240000000000002</v>
      </c>
      <c r="R107" s="168" t="str">
        <f>VLOOKUP(I107,'[1]Work sheet'!$K$2:AA516,17,0)</f>
        <v>1-2Kgs ASP, 2-3Kgs 616</v>
      </c>
      <c r="S107" s="169" t="str">
        <f>VLOOKUP(I107,'[1]Work sheet'!$K$2:AL399,28,0)</f>
        <v/>
      </c>
      <c r="T107" s="168" t="str">
        <f>IFERROR(VLOOKUP(I107,[1]Label!$A$1:C1058,3,0),"")</f>
        <v/>
      </c>
      <c r="U107" s="165" t="str">
        <f>IFERROR(IF(OR(VLOOKUP(I107,'[1]Work sheet'!$K$2:U703,11,0)="530",VLOOKUP(I107,'[1]Work sheet'!$K$2:U703,11,0)="526"),"BTO",""),"")</f>
        <v/>
      </c>
      <c r="V107" s="165"/>
      <c r="W107" s="167" t="str">
        <f>IF(COUNTIF('[1]OB Connect'!$F$13:$F$364,N107),"On Openbatch", "No")</f>
        <v>No</v>
      </c>
      <c r="X107" s="166" t="e">
        <f>X106</f>
        <v>#REF!</v>
      </c>
      <c r="Y107" s="274" t="e">
        <f>E107+G107+Y106</f>
        <v>#REF!</v>
      </c>
      <c r="Z107" s="165" t="e">
        <f>IF(Y107&lt;=12,"Shift 1",IF(AND(Y107&gt;12,Y107&lt;=24),"Shift 2",IF(AND(Y107&gt;24,Y107&lt;=36),"Shift 3",IF(AND(Y107&gt;36,Y107&lt;=48),"Shift 4",IF(AND(Y107&gt;48,Y107&lt;=60),"Shift 5",IF(AND(Y107&gt;60,Y107&lt;=72),"Shift 6",IF(AND(Y107&gt;72,Y107&lt;=84),"Shift 7",IF(AND(Y107&gt;84,Y107&lt;=96),IF(AND(Y107&gt;84,Y107&lt;=96),"Shift 8",),"Shift 9"))))))))</f>
        <v>#REF!</v>
      </c>
    </row>
    <row r="108" spans="1:147" ht="13" x14ac:dyDescent="0.25">
      <c r="B108" s="116">
        <f>D107</f>
        <v>44144.901918079086</v>
      </c>
      <c r="C108" s="220">
        <f>D107</f>
        <v>44144.901918079086</v>
      </c>
      <c r="D108" s="220">
        <f>(E108/24)+C108+(G108/24)</f>
        <v>44145.127626412424</v>
      </c>
      <c r="E108" s="219">
        <f>INDEX('[1]Work sheet'!$G$2:$G$240,MATCH(I108,'[1]Work sheet'!$K$2:$K$240,0))+IFERROR(IF(FIND("WASH",J107,1)&gt;0,0,0.35),0.2)</f>
        <v>2.6670000000000003</v>
      </c>
      <c r="F108" s="218">
        <f>IFERROR(MROUND((L108/((INDEX('[1]Work sheet'!$G$2:$G$239,MATCH(I108,'[1]Work sheet'!$K$2:$K$239,0))*0.58)*60)),0.5),"")</f>
        <v>8.5</v>
      </c>
      <c r="G108" s="217">
        <v>2.75</v>
      </c>
      <c r="H108" s="175">
        <f>LEN(J108)-LEN(SUBSTITUTE(J108,",",""))</f>
        <v>0</v>
      </c>
      <c r="I108" s="183">
        <f>'[1]Work sheet'!K94</f>
        <v>1399943</v>
      </c>
      <c r="J108" s="174" t="str">
        <f>VLOOKUP(I108,'[1]Work sheet'!$K$2:L720,2,0)</f>
        <v>DC-39.69 P3 15UN CTN 3 BAG</v>
      </c>
      <c r="K108" s="173">
        <f>VLOOKUP(I108,'[1]Work sheet'!$K$2:O837,3,0)</f>
        <v>243</v>
      </c>
      <c r="L108" s="173">
        <f>VLOOKUP(I108,'[1]Work sheet'!$K$2:O1232,4,0)</f>
        <v>729</v>
      </c>
      <c r="M108" s="171" t="str">
        <f>VLOOKUP(I108,'[1]Work sheet'!$K$2:T1541,10,0)</f>
        <v>ASP/616</v>
      </c>
      <c r="N108" s="172" t="str">
        <f>IFERROR(VLOOKUP(I108,'[1]PO Numbers'!$R$2:S285,2,0),"TBC")</f>
        <v>106991178</v>
      </c>
      <c r="O108" s="171" t="str">
        <f>IFERROR(VLOOKUP(VALUE(N108),'[1]PO Numbers'!$F$1:$J$400,5,0),"xxx")</f>
        <v>PI01</v>
      </c>
      <c r="P108" s="83" t="str">
        <f>VLOOKUP(I108,'[1]Work sheet'!$K$2:AA1157,13,0)</f>
        <v/>
      </c>
      <c r="Q108" s="170">
        <f>VLOOKUP(I108,'[1]Work sheet'!$K$2:AI822,16,0)</f>
        <v>4.2320000000000002</v>
      </c>
      <c r="R108" s="168" t="str">
        <f>VLOOKUP(I108,'[1]Work sheet'!$K$2:AA517,17,0)</f>
        <v>3-4Kgs ASP, 0-1Kgs 616</v>
      </c>
      <c r="S108" s="169" t="str">
        <f>VLOOKUP(I108,'[1]Work sheet'!$K$2:AL400,28,0)</f>
        <v/>
      </c>
      <c r="T108" s="168" t="str">
        <f>IFERROR(VLOOKUP(I108,[1]Label!$A$1:C1059,3,0),"")</f>
        <v/>
      </c>
      <c r="U108" s="165" t="str">
        <f>IFERROR(IF(OR(VLOOKUP(I108,'[1]Work sheet'!$K$2:U704,11,0)="530",VLOOKUP(I108,'[1]Work sheet'!$K$2:U704,11,0)="526"),"BTO",""),"")</f>
        <v/>
      </c>
      <c r="V108" s="165"/>
      <c r="W108" s="167" t="str">
        <f>IF(COUNTIF('[1]OB Connect'!$F$13:$F$364,N108),"On Openbatch", "No")</f>
        <v>No</v>
      </c>
      <c r="X108" s="166" t="e">
        <f>X107</f>
        <v>#REF!</v>
      </c>
      <c r="Y108" s="274" t="e">
        <f>E108+G108+Y107</f>
        <v>#REF!</v>
      </c>
      <c r="Z108" s="165" t="e">
        <f>IF(Y108&lt;=12,"Shift 1",IF(AND(Y108&gt;12,Y108&lt;=24),"Shift 2",IF(AND(Y108&gt;24,Y108&lt;=36),"Shift 3",IF(AND(Y108&gt;36,Y108&lt;=48),"Shift 4",IF(AND(Y108&gt;48,Y108&lt;=60),"Shift 5",IF(AND(Y108&gt;60,Y108&lt;=72),"Shift 6",IF(AND(Y108&gt;72,Y108&lt;=84),"Shift 7",IF(AND(Y108&gt;84,Y108&lt;=96),IF(AND(Y108&gt;84,Y108&lt;=96),"Shift 8",),"Shift 9"))))))))</f>
        <v>#REF!</v>
      </c>
    </row>
    <row r="109" spans="1:147" ht="13" x14ac:dyDescent="0.25">
      <c r="B109" s="116">
        <f>D108</f>
        <v>44145.127626412424</v>
      </c>
      <c r="C109" s="220">
        <f>D108</f>
        <v>44145.127626412424</v>
      </c>
      <c r="D109" s="220">
        <f>(E109/24)+C109+(G109/24)</f>
        <v>44145.138501412424</v>
      </c>
      <c r="E109" s="219">
        <f>INDEX('[1]Work sheet'!$G$2:$G$240,MATCH(I109,'[1]Work sheet'!$K$2:$K$240,0))+IFERROR(IF(FIND("WASH",J108,1)&gt;0,0,0.35),0.2)</f>
        <v>0.26100000000000001</v>
      </c>
      <c r="F109" s="218">
        <f>IFERROR(MROUND((L109/((INDEX('[1]Work sheet'!$G$2:$G$239,MATCH(I109,'[1]Work sheet'!$K$2:$K$239,0))*0.58)*60)),0.5),"")</f>
        <v>8.5</v>
      </c>
      <c r="G109" s="217"/>
      <c r="H109" s="175">
        <f>LEN(J109)-LEN(SUBSTITUTE(J109,",",""))</f>
        <v>0</v>
      </c>
      <c r="I109" s="183">
        <f>'[1]Work sheet'!K95</f>
        <v>1957321</v>
      </c>
      <c r="J109" s="174" t="str">
        <f>VLOOKUP(I109,'[1]Work sheet'!$K$2:L721,2,0)</f>
        <v>CL/MN/D-4201.72 P3 16UN CTN 2BAG</v>
      </c>
      <c r="K109" s="173">
        <f>VLOOKUP(I109,'[1]Work sheet'!$K$2:O838,3,0)</f>
        <v>9</v>
      </c>
      <c r="L109" s="173">
        <f>VLOOKUP(I109,'[1]Work sheet'!$K$2:O1233,4,0)</f>
        <v>18</v>
      </c>
      <c r="M109" s="171" t="str">
        <f>VLOOKUP(I109,'[1]Work sheet'!$K$2:T1542,10,0)</f>
        <v>ASP/616</v>
      </c>
      <c r="N109" s="172" t="str">
        <f>IFERROR(VLOOKUP(I109,'[1]PO Numbers'!$R$2:S286,2,0),"TBC")</f>
        <v>106991160</v>
      </c>
      <c r="O109" s="171" t="str">
        <f>IFERROR(VLOOKUP(VALUE(N109),'[1]PO Numbers'!$F$1:$J$400,5,0),"xxx")</f>
        <v>PI01</v>
      </c>
      <c r="P109" s="83" t="str">
        <f>VLOOKUP(I109,'[1]Work sheet'!$K$2:AA1158,13,0)</f>
        <v/>
      </c>
      <c r="Q109" s="170">
        <f>VLOOKUP(I109,'[1]Work sheet'!$K$2:AI823,16,0)</f>
        <v>5.7720000000000002</v>
      </c>
      <c r="R109" s="168" t="str">
        <f>VLOOKUP(I109,'[1]Work sheet'!$K$2:AA518,17,0)</f>
        <v>3-4Kgs ASP, 2-3Kgs 616</v>
      </c>
      <c r="S109" s="169" t="str">
        <f>VLOOKUP(I109,'[1]Work sheet'!$K$2:AL401,28,0)</f>
        <v/>
      </c>
      <c r="T109" s="168" t="str">
        <f>IFERROR(VLOOKUP(I109,[1]Label!$A$1:C1060,3,0),"")</f>
        <v/>
      </c>
      <c r="U109" s="165" t="str">
        <f>IFERROR(IF(OR(VLOOKUP(I109,'[1]Work sheet'!$K$2:U705,11,0)="530",VLOOKUP(I109,'[1]Work sheet'!$K$2:U705,11,0)="526"),"BTO",""),"")</f>
        <v/>
      </c>
      <c r="V109" s="165"/>
      <c r="W109" s="167" t="str">
        <f>IF(COUNTIF('[1]OB Connect'!$F$13:$F$364,N109),"On Openbatch", "No")</f>
        <v>No</v>
      </c>
      <c r="X109" s="166" t="e">
        <f>X108</f>
        <v>#REF!</v>
      </c>
      <c r="Y109" s="274" t="e">
        <f>E109+G109+Y108</f>
        <v>#REF!</v>
      </c>
      <c r="Z109" s="165" t="e">
        <f>IF(Y109&lt;=12,"Shift 1",IF(AND(Y109&gt;12,Y109&lt;=24),"Shift 2",IF(AND(Y109&gt;24,Y109&lt;=36),"Shift 3",IF(AND(Y109&gt;36,Y109&lt;=48),"Shift 4",IF(AND(Y109&gt;48,Y109&lt;=60),"Shift 5",IF(AND(Y109&gt;60,Y109&lt;=72),"Shift 6",IF(AND(Y109&gt;72,Y109&lt;=84),"Shift 7",IF(AND(Y109&gt;84,Y109&lt;=96),IF(AND(Y109&gt;84,Y109&lt;=96),"Shift 8",),"Shift 9"))))))))</f>
        <v>#REF!</v>
      </c>
    </row>
    <row r="110" spans="1:147" ht="13" x14ac:dyDescent="0.25">
      <c r="B110" s="116">
        <f>D109</f>
        <v>44145.138501412424</v>
      </c>
      <c r="C110" s="220">
        <f>D109</f>
        <v>44145.138501412424</v>
      </c>
      <c r="D110" s="220">
        <f>(E110/24)+C110+(G110/24)</f>
        <v>44145.162043079094</v>
      </c>
      <c r="E110" s="219">
        <f>INDEX('[1]Work sheet'!$G$2:$G$240,MATCH(I110,'[1]Work sheet'!$K$2:$K$240,0))+IFERROR(IF(FIND("WASH",J109,1)&gt;0,0,0.35),0.2)</f>
        <v>0.56499999999999995</v>
      </c>
      <c r="F110" s="218">
        <f>IFERROR(MROUND((L110/((INDEX('[1]Work sheet'!$G$2:$G$239,MATCH(I110,'[1]Work sheet'!$K$2:$K$239,0))*0.58)*60)),0.5),"")</f>
        <v>8.5</v>
      </c>
      <c r="G110" s="217"/>
      <c r="H110" s="175">
        <f>LEN(J110)-LEN(SUBSTITUTE(J110,",",""))</f>
        <v>1</v>
      </c>
      <c r="I110" s="183">
        <f>'[1]Work sheet'!K96</f>
        <v>1929274</v>
      </c>
      <c r="J110" s="174" t="str">
        <f>VLOOKUP(I110,'[1]Work sheet'!$K$2:L722,2,0)</f>
        <v>FP/B-426.211 P3,1B 10UN CTN 1 BAG</v>
      </c>
      <c r="K110" s="173">
        <f>VLOOKUP(I110,'[1]Work sheet'!$K$2:O839,3,0)</f>
        <v>108</v>
      </c>
      <c r="L110" s="173">
        <f>VLOOKUP(I110,'[1]Work sheet'!$K$2:O1234,4,0)</f>
        <v>108</v>
      </c>
      <c r="M110" s="171" t="str">
        <f>VLOOKUP(I110,'[1]Work sheet'!$K$2:T1543,10,0)</f>
        <v>ASP/616</v>
      </c>
      <c r="N110" s="172" t="str">
        <f>IFERROR(VLOOKUP(I110,'[1]PO Numbers'!$R$2:S287,2,0),"TBC")</f>
        <v>106991170</v>
      </c>
      <c r="O110" s="171" t="str">
        <f>IFERROR(VLOOKUP(VALUE(N110),'[1]PO Numbers'!$F$1:$J$400,5,0),"xxx")</f>
        <v>PI01</v>
      </c>
      <c r="P110" s="83" t="str">
        <f>VLOOKUP(I110,'[1]Work sheet'!$K$2:AA1159,13,0)</f>
        <v>1 of 1009573 (811)</v>
      </c>
      <c r="Q110" s="170">
        <f>VLOOKUP(I110,'[1]Work sheet'!$K$2:AI824,16,0)</f>
        <v>6.2</v>
      </c>
      <c r="R110" s="168" t="str">
        <f>VLOOKUP(I110,'[1]Work sheet'!$K$2:AA519,17,0)</f>
        <v>2-3Kgs ASP, 3-4Kgs 616</v>
      </c>
      <c r="S110" s="169" t="str">
        <f>VLOOKUP(I110,'[1]Work sheet'!$K$2:AL402,28,0)</f>
        <v/>
      </c>
      <c r="T110" s="168" t="str">
        <f>IFERROR(VLOOKUP(I110,[1]Label!$A$1:C1061,3,0),"")</f>
        <v/>
      </c>
      <c r="U110" s="165" t="str">
        <f>IFERROR(IF(OR(VLOOKUP(I110,'[1]Work sheet'!$K$2:U706,11,0)="530",VLOOKUP(I110,'[1]Work sheet'!$K$2:U706,11,0)="526"),"BTO",""),"")</f>
        <v/>
      </c>
      <c r="V110" s="165"/>
      <c r="W110" s="167" t="str">
        <f>IF(COUNTIF('[1]OB Connect'!$F$13:$F$364,N110),"On Openbatch", "No")</f>
        <v>No</v>
      </c>
      <c r="X110" s="166" t="e">
        <f>X109</f>
        <v>#REF!</v>
      </c>
      <c r="Y110" s="274" t="e">
        <f>E110+G110+Y109</f>
        <v>#REF!</v>
      </c>
      <c r="Z110" s="165" t="e">
        <f>IF(Y110&lt;=12,"Shift 1",IF(AND(Y110&gt;12,Y110&lt;=24),"Shift 2",IF(AND(Y110&gt;24,Y110&lt;=36),"Shift 3",IF(AND(Y110&gt;36,Y110&lt;=48),"Shift 4",IF(AND(Y110&gt;48,Y110&lt;=60),"Shift 5",IF(AND(Y110&gt;60,Y110&lt;=72),"Shift 6",IF(AND(Y110&gt;72,Y110&lt;=84),"Shift 7",IF(AND(Y110&gt;84,Y110&lt;=96),IF(AND(Y110&gt;84,Y110&lt;=96),"Shift 8",),"Shift 9"))))))))</f>
        <v>#REF!</v>
      </c>
    </row>
    <row r="111" spans="1:147" ht="13" x14ac:dyDescent="0.25">
      <c r="B111" s="116">
        <f>D110</f>
        <v>44145.162043079094</v>
      </c>
      <c r="C111" s="220">
        <f>D110</f>
        <v>44145.162043079094</v>
      </c>
      <c r="D111" s="220">
        <f>(E111/24)+C111+(G111/24)</f>
        <v>44145.178418079093</v>
      </c>
      <c r="E111" s="219">
        <f>INDEX('[1]Work sheet'!$G$2:$G$240,MATCH(I111,'[1]Work sheet'!$K$2:$K$240,0))+IFERROR(IF(FIND("WASH",J110,1)&gt;0,0,0.35),0.2)</f>
        <v>0.39300000000000002</v>
      </c>
      <c r="F111" s="218">
        <f>IFERROR(MROUND((L111/((INDEX('[1]Work sheet'!$G$2:$G$239,MATCH(I111,'[1]Work sheet'!$K$2:$K$239,0))*0.58)*60)),0.5),"")</f>
        <v>8.5</v>
      </c>
      <c r="G111" s="217"/>
      <c r="H111" s="175">
        <f>LEN(J111)-LEN(SUBSTITUTE(J111,",",""))</f>
        <v>0</v>
      </c>
      <c r="I111" s="183">
        <f>'[1]Work sheet'!K97</f>
        <v>2037336</v>
      </c>
      <c r="J111" s="174" t="str">
        <f>VLOOKUP(I111,'[1]Work sheet'!$K$2:L723,2,0)</f>
        <v>FP/B-779.00 P3 10UN CTN 1 BAG</v>
      </c>
      <c r="K111" s="173">
        <f>VLOOKUP(I111,'[1]Work sheet'!$K$2:O840,3,0)</f>
        <v>57</v>
      </c>
      <c r="L111" s="173">
        <f>VLOOKUP(I111,'[1]Work sheet'!$K$2:O1235,4,0)</f>
        <v>57</v>
      </c>
      <c r="M111" s="171" t="str">
        <f>VLOOKUP(I111,'[1]Work sheet'!$K$2:T1544,10,0)</f>
        <v>ASP/616</v>
      </c>
      <c r="N111" s="172" t="str">
        <f>IFERROR(VLOOKUP(I111,'[1]PO Numbers'!$R$2:S288,2,0),"TBC")</f>
        <v>106991158</v>
      </c>
      <c r="O111" s="171" t="str">
        <f>IFERROR(VLOOKUP(VALUE(N111),'[1]PO Numbers'!$F$1:$J$400,5,0),"xxx")</f>
        <v>PI01</v>
      </c>
      <c r="P111" s="83" t="str">
        <f>VLOOKUP(I111,'[1]Work sheet'!$K$2:AA1160,13,0)</f>
        <v/>
      </c>
      <c r="Q111" s="170">
        <f>VLOOKUP(I111,'[1]Work sheet'!$K$2:AI825,16,0)</f>
        <v>6.43</v>
      </c>
      <c r="R111" s="168" t="str">
        <f>VLOOKUP(I111,'[1]Work sheet'!$K$2:AA520,17,0)</f>
        <v>3-4Kgs 616, 2-3Kgs ASP</v>
      </c>
      <c r="S111" s="169" t="str">
        <f>VLOOKUP(I111,'[1]Work sheet'!$K$2:AL403,28,0)</f>
        <v/>
      </c>
      <c r="T111" s="168" t="str">
        <f>IFERROR(VLOOKUP(I111,[1]Label!$A$1:C1062,3,0),"")</f>
        <v/>
      </c>
      <c r="U111" s="165" t="str">
        <f>IFERROR(IF(OR(VLOOKUP(I111,'[1]Work sheet'!$K$2:U707,11,0)="530",VLOOKUP(I111,'[1]Work sheet'!$K$2:U707,11,0)="526"),"BTO",""),"")</f>
        <v/>
      </c>
      <c r="V111" s="165"/>
      <c r="W111" s="167" t="str">
        <f>IF(COUNTIF('[1]OB Connect'!$F$13:$F$364,N111),"On Openbatch", "No")</f>
        <v>No</v>
      </c>
      <c r="X111" s="166" t="e">
        <f>X110</f>
        <v>#REF!</v>
      </c>
      <c r="Y111" s="274" t="e">
        <f>E111+G111+Y110</f>
        <v>#REF!</v>
      </c>
      <c r="Z111" s="165" t="e">
        <f>IF(Y111&lt;=12,"Shift 1",IF(AND(Y111&gt;12,Y111&lt;=24),"Shift 2",IF(AND(Y111&gt;24,Y111&lt;=36),"Shift 3",IF(AND(Y111&gt;36,Y111&lt;=48),"Shift 4",IF(AND(Y111&gt;48,Y111&lt;=60),"Shift 5",IF(AND(Y111&gt;60,Y111&lt;=72),"Shift 6",IF(AND(Y111&gt;72,Y111&lt;=84),"Shift 7",IF(AND(Y111&gt;84,Y111&lt;=96),IF(AND(Y111&gt;84,Y111&lt;=96),"Shift 8",),"Shift 9"))))))))</f>
        <v>#REF!</v>
      </c>
    </row>
    <row r="112" spans="1:147" ht="13" x14ac:dyDescent="0.25">
      <c r="B112" s="116">
        <f>D111</f>
        <v>44145.178418079093</v>
      </c>
      <c r="C112" s="220">
        <f>D111</f>
        <v>44145.178418079093</v>
      </c>
      <c r="D112" s="220">
        <f>(E112/24)+C112+(G112/24)</f>
        <v>44145.255209745759</v>
      </c>
      <c r="E112" s="219">
        <f>INDEX('[1]Work sheet'!$G$2:$G$240,MATCH(I112,'[1]Work sheet'!$K$2:$K$240,0))+IFERROR(IF(FIND("WASH",J111,1)&gt;0,0,0.35),0.2)</f>
        <v>1.843</v>
      </c>
      <c r="F112" s="218">
        <f>IFERROR(MROUND((L112/((INDEX('[1]Work sheet'!$G$2:$G$239,MATCH(I112,'[1]Work sheet'!$K$2:$K$239,0))*0.58)*60)),0.5),"")</f>
        <v>8.5</v>
      </c>
      <c r="G112" s="217"/>
      <c r="H112" s="175">
        <f>LEN(J112)-LEN(SUBSTITUTE(J112,",",""))</f>
        <v>0</v>
      </c>
      <c r="I112" s="183">
        <f>'[1]Work sheet'!K98</f>
        <v>2071551</v>
      </c>
      <c r="J112" s="174" t="str">
        <f>VLOOKUP(I112,'[1]Work sheet'!$K$2:L724,2,0)</f>
        <v>DK-42.01 P3 20UN CTN 2 BAGS</v>
      </c>
      <c r="K112" s="173">
        <f>VLOOKUP(I112,'[1]Work sheet'!$K$2:O841,3,0)</f>
        <v>243</v>
      </c>
      <c r="L112" s="173">
        <f>VLOOKUP(I112,'[1]Work sheet'!$K$2:O1236,4,0)</f>
        <v>486</v>
      </c>
      <c r="M112" s="171" t="str">
        <f>VLOOKUP(I112,'[1]Work sheet'!$K$2:T1545,10,0)</f>
        <v>ASP/616</v>
      </c>
      <c r="N112" s="172" t="str">
        <f>IFERROR(VLOOKUP(I112,'[1]PO Numbers'!$R$2:S289,2,0),"TBC")</f>
        <v>106991171</v>
      </c>
      <c r="O112" s="171" t="str">
        <f>IFERROR(VLOOKUP(VALUE(N112),'[1]PO Numbers'!$F$1:$J$400,5,0),"xxx")</f>
        <v>PI01</v>
      </c>
      <c r="P112" s="83" t="str">
        <f>VLOOKUP(I112,'[1]Work sheet'!$K$2:AA1161,13,0)</f>
        <v/>
      </c>
      <c r="Q112" s="170">
        <f>VLOOKUP(I112,'[1]Work sheet'!$K$2:AI826,16,0)</f>
        <v>6.67</v>
      </c>
      <c r="R112" s="168" t="str">
        <f>VLOOKUP(I112,'[1]Work sheet'!$K$2:AA521,17,0)</f>
        <v>3-4Kgs ASP, 3-4Kgs 616</v>
      </c>
      <c r="S112" s="169" t="str">
        <f>VLOOKUP(I112,'[1]Work sheet'!$K$2:AL404,28,0)</f>
        <v/>
      </c>
      <c r="T112" s="168" t="str">
        <f>IFERROR(VLOOKUP(I112,[1]Label!$A$1:C1063,3,0),"")</f>
        <v/>
      </c>
      <c r="U112" s="165" t="str">
        <f>IFERROR(IF(OR(VLOOKUP(I112,'[1]Work sheet'!$K$2:U708,11,0)="530",VLOOKUP(I112,'[1]Work sheet'!$K$2:U708,11,0)="526"),"BTO",""),"")</f>
        <v/>
      </c>
      <c r="V112" s="165"/>
      <c r="W112" s="167" t="str">
        <f>IF(COUNTIF('[1]OB Connect'!$F$13:$F$364,N112),"On Openbatch", "No")</f>
        <v>No</v>
      </c>
      <c r="X112" s="166" t="e">
        <f>X111</f>
        <v>#REF!</v>
      </c>
      <c r="Y112" s="274" t="e">
        <f>E112+G112+Y111</f>
        <v>#REF!</v>
      </c>
      <c r="Z112" s="165" t="e">
        <f>IF(Y112&lt;=12,"Shift 1",IF(AND(Y112&gt;12,Y112&lt;=24),"Shift 2",IF(AND(Y112&gt;24,Y112&lt;=36),"Shift 3",IF(AND(Y112&gt;36,Y112&lt;=48),"Shift 4",IF(AND(Y112&gt;48,Y112&lt;=60),"Shift 5",IF(AND(Y112&gt;60,Y112&lt;=72),"Shift 6",IF(AND(Y112&gt;72,Y112&lt;=84),"Shift 7",IF(AND(Y112&gt;84,Y112&lt;=96),IF(AND(Y112&gt;84,Y112&lt;=96),"Shift 8",),"Shift 9"))))))))</f>
        <v>#REF!</v>
      </c>
    </row>
    <row r="113" spans="1:147" ht="13" x14ac:dyDescent="0.25">
      <c r="B113" s="116">
        <f>D112</f>
        <v>44145.255209745759</v>
      </c>
      <c r="C113" s="220">
        <f>D112</f>
        <v>44145.255209745759</v>
      </c>
      <c r="D113" s="220">
        <f>(E113/24)+C113+(G113/24)</f>
        <v>44145.268459745763</v>
      </c>
      <c r="E113" s="219">
        <f>INDEX('[1]Work sheet'!$G$2:$G$240,MATCH(I113,'[1]Work sheet'!$K$2:$K$240,0))+IFERROR(IF(FIND("WASH",J112,1)&gt;0,0,0.35),0.2)</f>
        <v>0.318</v>
      </c>
      <c r="F113" s="218">
        <f>IFERROR(MROUND((L113/((INDEX('[1]Work sheet'!$G$2:$G$239,MATCH(I113,'[1]Work sheet'!$K$2:$K$239,0))*0.58)*60)),0.5),"")</f>
        <v>8.5</v>
      </c>
      <c r="G113" s="217"/>
      <c r="H113" s="175">
        <f>LEN(J113)-LEN(SUBSTITUTE(J113,",",""))</f>
        <v>1</v>
      </c>
      <c r="I113" s="183">
        <f>'[1]Work sheet'!K99</f>
        <v>1816896</v>
      </c>
      <c r="J113" s="174" t="str">
        <f>VLOOKUP(I113,'[1]Work sheet'!$K$2:L725,2,0)</f>
        <v>FP/D-426.501 P3,1B 10UN CTN 1 BAG</v>
      </c>
      <c r="K113" s="173">
        <f>VLOOKUP(I113,'[1]Work sheet'!$K$2:O842,3,0)</f>
        <v>35</v>
      </c>
      <c r="L113" s="173">
        <f>VLOOKUP(I113,'[1]Work sheet'!$K$2:O1237,4,0)</f>
        <v>35</v>
      </c>
      <c r="M113" s="171" t="str">
        <f>VLOOKUP(I113,'[1]Work sheet'!$K$2:T1546,10,0)</f>
        <v>ASP/616</v>
      </c>
      <c r="N113" s="172" t="str">
        <f>IFERROR(VLOOKUP(I113,'[1]PO Numbers'!$R$2:S290,2,0),"TBC")</f>
        <v>106991168</v>
      </c>
      <c r="O113" s="171" t="str">
        <f>IFERROR(VLOOKUP(VALUE(N113),'[1]PO Numbers'!$F$1:$J$400,5,0),"xxx")</f>
        <v>PI01</v>
      </c>
      <c r="P113" s="83" t="str">
        <f>VLOOKUP(I113,'[1]Work sheet'!$K$2:AA1162,13,0)</f>
        <v>1 of 1009573 (811)</v>
      </c>
      <c r="Q113" s="170">
        <f>VLOOKUP(I113,'[1]Work sheet'!$K$2:AI827,16,0)</f>
        <v>7.6</v>
      </c>
      <c r="R113" s="168" t="str">
        <f>VLOOKUP(I113,'[1]Work sheet'!$K$2:AA522,17,0)</f>
        <v>4-5Kgs ASP, 2-3Kgs 616</v>
      </c>
      <c r="S113" s="169" t="str">
        <f>VLOOKUP(I113,'[1]Work sheet'!$K$2:AL405,28,0)</f>
        <v/>
      </c>
      <c r="T113" s="168" t="str">
        <f>IFERROR(VLOOKUP(I113,[1]Label!$A$1:C1064,3,0),"")</f>
        <v/>
      </c>
      <c r="U113" s="165" t="str">
        <f>IFERROR(IF(OR(VLOOKUP(I113,'[1]Work sheet'!$K$2:U709,11,0)="530",VLOOKUP(I113,'[1]Work sheet'!$K$2:U709,11,0)="526"),"BTO",""),"")</f>
        <v/>
      </c>
      <c r="V113" s="165"/>
      <c r="W113" s="167" t="str">
        <f>IF(COUNTIF('[1]OB Connect'!$F$13:$F$364,N113),"On Openbatch", "No")</f>
        <v>No</v>
      </c>
      <c r="X113" s="166" t="e">
        <f>X112</f>
        <v>#REF!</v>
      </c>
      <c r="Y113" s="274" t="e">
        <f>E113+G113+Y112</f>
        <v>#REF!</v>
      </c>
      <c r="Z113" s="165" t="e">
        <f>IF(Y113&lt;=12,"Shift 1",IF(AND(Y113&gt;12,Y113&lt;=24),"Shift 2",IF(AND(Y113&gt;24,Y113&lt;=36),"Shift 3",IF(AND(Y113&gt;36,Y113&lt;=48),"Shift 4",IF(AND(Y113&gt;48,Y113&lt;=60),"Shift 5",IF(AND(Y113&gt;60,Y113&lt;=72),"Shift 6",IF(AND(Y113&gt;72,Y113&lt;=84),"Shift 7",IF(AND(Y113&gt;84,Y113&lt;=96),IF(AND(Y113&gt;84,Y113&lt;=96),"Shift 8",),"Shift 9"))))))))</f>
        <v>#REF!</v>
      </c>
    </row>
    <row r="114" spans="1:147" ht="13" x14ac:dyDescent="0.25">
      <c r="B114" s="116">
        <f>D113</f>
        <v>44145.268459745763</v>
      </c>
      <c r="C114" s="220">
        <f>D113</f>
        <v>44145.268459745763</v>
      </c>
      <c r="D114" s="220">
        <f>(E114/24)+C114+(G114/24)</f>
        <v>44145.288209745762</v>
      </c>
      <c r="E114" s="219">
        <f>INDEX('[1]Work sheet'!$G$2:$G$240,MATCH(I114,'[1]Work sheet'!$K$2:$K$240,0))+IFERROR(IF(FIND("WASH",J113,1)&gt;0,0,0.35),0.2)</f>
        <v>0.47400000000000003</v>
      </c>
      <c r="F114" s="218">
        <f>IFERROR(MROUND((L114/((INDEX('[1]Work sheet'!$G$2:$G$239,MATCH(I114,'[1]Work sheet'!$K$2:$K$239,0))*0.58)*60)),0.5),"")</f>
        <v>8.5</v>
      </c>
      <c r="G114" s="217"/>
      <c r="H114" s="175">
        <f>LEN(J114)-LEN(SUBSTITUTE(J114,",",""))</f>
        <v>1</v>
      </c>
      <c r="I114" s="183">
        <f>'[1]Work sheet'!K100</f>
        <v>1006397</v>
      </c>
      <c r="J114" s="174" t="str">
        <f>VLOOKUP(I114,'[1]Work sheet'!$K$2:L726,2,0)</f>
        <v>DK-85.391/DK-86.391 P3,1B 10UN CTN 2 BAG</v>
      </c>
      <c r="K114" s="173">
        <f>VLOOKUP(I114,'[1]Work sheet'!$K$2:O843,3,0)</f>
        <v>40</v>
      </c>
      <c r="L114" s="173">
        <f>VLOOKUP(I114,'[1]Work sheet'!$K$2:O1238,4,0)</f>
        <v>80</v>
      </c>
      <c r="M114" s="171" t="str">
        <f>VLOOKUP(I114,'[1]Work sheet'!$K$2:T1547,10,0)</f>
        <v>ASP/616</v>
      </c>
      <c r="N114" s="172" t="str">
        <f>IFERROR(VLOOKUP(I114,'[1]PO Numbers'!$R$2:S291,2,0),"TBC")</f>
        <v>106990345</v>
      </c>
      <c r="O114" s="171" t="str">
        <f>IFERROR(VLOOKUP(VALUE(N114),'[1]PO Numbers'!$F$1:$J$400,5,0),"xxx")</f>
        <v>PI01</v>
      </c>
      <c r="P114" s="83" t="str">
        <f>VLOOKUP(I114,'[1]Work sheet'!$K$2:AA1163,13,0)</f>
        <v>2 of 1822396 (SBZ)</v>
      </c>
      <c r="Q114" s="170">
        <f>VLOOKUP(I114,'[1]Work sheet'!$K$2:AI828,16,0)</f>
        <v>3.9</v>
      </c>
      <c r="R114" s="168" t="str">
        <f>VLOOKUP(I114,'[1]Work sheet'!$K$2:AA523,17,0)</f>
        <v>2-3Kgs ASP, 1-2Kgs 616</v>
      </c>
      <c r="S114" s="181" t="s">
        <v>62</v>
      </c>
      <c r="T114" s="168" t="str">
        <f>IFERROR(VLOOKUP(I114,[1]Label!$A$1:C1065,3,0),"")</f>
        <v/>
      </c>
      <c r="U114" s="165" t="str">
        <f>IFERROR(IF(OR(VLOOKUP(I114,'[1]Work sheet'!$K$2:U710,11,0)="530",VLOOKUP(I114,'[1]Work sheet'!$K$2:U710,11,0)="526"),"BTO",""),"")</f>
        <v>BTO</v>
      </c>
      <c r="V114" s="165"/>
      <c r="W114" s="167" t="str">
        <f>IF(COUNTIF('[1]OB Connect'!$F$13:$F$364,N114),"On Openbatch", "No")</f>
        <v>No</v>
      </c>
      <c r="X114" s="166" t="e">
        <f>X113</f>
        <v>#REF!</v>
      </c>
      <c r="Y114" s="274" t="e">
        <f>E114+G114+Y113</f>
        <v>#REF!</v>
      </c>
      <c r="Z114" s="165" t="e">
        <f>IF(Y114&lt;=12,"Shift 1",IF(AND(Y114&gt;12,Y114&lt;=24),"Shift 2",IF(AND(Y114&gt;24,Y114&lt;=36),"Shift 3",IF(AND(Y114&gt;36,Y114&lt;=48),"Shift 4",IF(AND(Y114&gt;48,Y114&lt;=60),"Shift 5",IF(AND(Y114&gt;60,Y114&lt;=72),"Shift 6",IF(AND(Y114&gt;72,Y114&lt;=84),"Shift 7",IF(AND(Y114&gt;84,Y114&lt;=96),IF(AND(Y114&gt;84,Y114&lt;=96),"Shift 8",),"Shift 9"))))))))</f>
        <v>#REF!</v>
      </c>
    </row>
    <row r="115" spans="1:147" ht="13" x14ac:dyDescent="0.25">
      <c r="B115" s="116">
        <f>D114</f>
        <v>44145.288209745762</v>
      </c>
      <c r="C115" s="220">
        <f>D114</f>
        <v>44145.288209745762</v>
      </c>
      <c r="D115" s="220">
        <f>(E115/24)+C115+(G115/24)</f>
        <v>44145.31937641243</v>
      </c>
      <c r="E115" s="219">
        <f>INDEX('[1]Work sheet'!$G$2:$G$240,MATCH(I115,'[1]Work sheet'!$K$2:$K$240,0))+IFERROR(IF(FIND("WASH",J114,1)&gt;0,0,0.35),0.2)</f>
        <v>0.748</v>
      </c>
      <c r="F115" s="218">
        <f>IFERROR(MROUND((L115/((INDEX('[1]Work sheet'!$G$2:$G$239,MATCH(I115,'[1]Work sheet'!$K$2:$K$239,0))*0.58)*60)),0.5),"")</f>
        <v>8.5</v>
      </c>
      <c r="G115" s="217"/>
      <c r="H115" s="175">
        <f>LEN(J115)-LEN(SUBSTITUTE(J115,",",""))</f>
        <v>0</v>
      </c>
      <c r="I115" s="183">
        <f>'[1]Work sheet'!K101</f>
        <v>2065427</v>
      </c>
      <c r="J115" s="174" t="str">
        <f>VLOOKUP(I115,'[1]Work sheet'!$K$2:L726,2,0)</f>
        <v>DC-2492.39 P3 13.75UN CTN 1BAG</v>
      </c>
      <c r="K115" s="173">
        <f>VLOOKUP(I115,'[1]Work sheet'!$K$2:O843,3,0)</f>
        <v>162</v>
      </c>
      <c r="L115" s="173">
        <f>VLOOKUP(I115,'[1]Work sheet'!$K$2:O1238,4,0)</f>
        <v>162</v>
      </c>
      <c r="M115" s="171" t="str">
        <f>VLOOKUP(I115,'[1]Work sheet'!$K$2:T1547,10,0)</f>
        <v>ASP/616</v>
      </c>
      <c r="N115" s="172" t="str">
        <f>IFERROR(VLOOKUP(I115,'[1]PO Numbers'!$R$2:S291,2,0),"TBC")</f>
        <v>106991167</v>
      </c>
      <c r="O115" s="171" t="str">
        <f>IFERROR(VLOOKUP(VALUE(N115),'[1]PO Numbers'!$F$1:$J$400,5,0),"xxx")</f>
        <v>PI01</v>
      </c>
      <c r="P115" s="83" t="str">
        <f>VLOOKUP(I115,'[1]Work sheet'!$K$2:AA1163,13,0)</f>
        <v/>
      </c>
      <c r="Q115" s="170">
        <f>VLOOKUP(I115,'[1]Work sheet'!$K$2:AI828,16,0)</f>
        <v>10.725</v>
      </c>
      <c r="R115" s="168" t="str">
        <f>VLOOKUP(I115,'[1]Work sheet'!$K$2:AA523,17,0)</f>
        <v>6-7Kgs ASP, 4-5Kgs 616</v>
      </c>
      <c r="S115" s="169" t="str">
        <f>VLOOKUP(I115,'[1]Work sheet'!$K$2:AL406,28,0)</f>
        <v/>
      </c>
      <c r="T115" s="168" t="str">
        <f>IFERROR(VLOOKUP(I115,[1]Label!$A$1:C1065,3,0),"")</f>
        <v/>
      </c>
      <c r="U115" s="165" t="str">
        <f>IFERROR(IF(OR(VLOOKUP(I115,'[1]Work sheet'!$K$2:U710,11,0)="530",VLOOKUP(I115,'[1]Work sheet'!$K$2:U710,11,0)="526"),"BTO",""),"")</f>
        <v/>
      </c>
      <c r="V115" s="165"/>
      <c r="W115" s="167" t="str">
        <f>IF(COUNTIF('[1]OB Connect'!$F$13:$F$364,N115),"On Openbatch", "No")</f>
        <v>No</v>
      </c>
      <c r="X115" s="166" t="e">
        <f>X113</f>
        <v>#REF!</v>
      </c>
      <c r="Y115" s="274" t="e">
        <f>E115+G115+Y113</f>
        <v>#REF!</v>
      </c>
      <c r="Z115" s="165" t="e">
        <f>IF(Y115&lt;=12,"Shift 1",IF(AND(Y115&gt;12,Y115&lt;=24),"Shift 2",IF(AND(Y115&gt;24,Y115&lt;=36),"Shift 3",IF(AND(Y115&gt;36,Y115&lt;=48),"Shift 4",IF(AND(Y115&gt;48,Y115&lt;=60),"Shift 5",IF(AND(Y115&gt;60,Y115&lt;=72),"Shift 6",IF(AND(Y115&gt;72,Y115&lt;=84),"Shift 7",IF(AND(Y115&gt;84,Y115&lt;=96),IF(AND(Y115&gt;84,Y115&lt;=96),"Shift 8",),"Shift 9"))))))))</f>
        <v>#REF!</v>
      </c>
    </row>
    <row r="116" spans="1:147" ht="13" x14ac:dyDescent="0.25">
      <c r="B116" s="116">
        <f>D115</f>
        <v>44145.31937641243</v>
      </c>
      <c r="C116" s="220">
        <f>D115</f>
        <v>44145.31937641243</v>
      </c>
      <c r="D116" s="220">
        <f>(E116/24)+C116+(G116/24)</f>
        <v>44145.372168079099</v>
      </c>
      <c r="E116" s="219">
        <f>INDEX('[1]Work sheet'!$G$2:$G$240,MATCH(I116,'[1]Work sheet'!$K$2:$K$240,0))+IFERROR(IF(FIND("WASH",J115,1)&gt;0,0,0.35),0.2)</f>
        <v>1.2669999999999999</v>
      </c>
      <c r="F116" s="218">
        <f>IFERROR(MROUND((L116/((INDEX('[1]Work sheet'!$G$2:$G$239,MATCH(I116,'[1]Work sheet'!$K$2:$K$239,0))*0.58)*60)),0.5),"")</f>
        <v>8</v>
      </c>
      <c r="G116" s="279"/>
      <c r="H116" s="175">
        <f>LEN(J116)-LEN(SUBSTITUTE(J116,",",""))</f>
        <v>0</v>
      </c>
      <c r="I116" s="183">
        <f>'[1]Work sheet'!K102</f>
        <v>3002909</v>
      </c>
      <c r="J116" s="174" t="str">
        <f>VLOOKUP(I116,'[1]Work sheet'!$K$2:L727,2,0)</f>
        <v>OR/B-1755.00/.10 P3 12UN CTN 1BAG</v>
      </c>
      <c r="K116" s="173">
        <f>VLOOKUP(I116,'[1]Work sheet'!$K$2:O844,3,0)</f>
        <v>297</v>
      </c>
      <c r="L116" s="173">
        <f>VLOOKUP(I116,'[1]Work sheet'!$K$2:O1239,4,0)</f>
        <v>297</v>
      </c>
      <c r="M116" s="171" t="str">
        <f>VLOOKUP(I116,'[1]Work sheet'!$K$2:T1548,10,0)</f>
        <v>ASP/616</v>
      </c>
      <c r="N116" s="172" t="str">
        <f>IFERROR(VLOOKUP(I116,'[1]PO Numbers'!$R$2:S292,2,0),"TBC")</f>
        <v>106991169</v>
      </c>
      <c r="O116" s="171" t="str">
        <f>IFERROR(VLOOKUP(VALUE(N116),'[1]PO Numbers'!$F$1:$J$400,5,0),"xxx")</f>
        <v>PI01</v>
      </c>
      <c r="P116" s="83" t="str">
        <f>VLOOKUP(I116,'[1]Work sheet'!$K$2:AA1164,13,0)</f>
        <v/>
      </c>
      <c r="Q116" s="170">
        <f>VLOOKUP(I116,'[1]Work sheet'!$K$2:AI829,16,0)</f>
        <v>11.141999999999999</v>
      </c>
      <c r="R116" s="168" t="str">
        <f>VLOOKUP(I116,'[1]Work sheet'!$K$2:AA524,17,0)</f>
        <v>6-7Kgs 616, 4-5Kgs ASP</v>
      </c>
      <c r="S116" s="169" t="str">
        <f>VLOOKUP(I116,'[1]Work sheet'!$K$2:AL407,28,0)</f>
        <v/>
      </c>
      <c r="T116" s="168" t="str">
        <f>IFERROR(VLOOKUP(I116,[1]Label!$A$1:C1066,3,0),"")</f>
        <v/>
      </c>
      <c r="U116" s="165" t="str">
        <f>IFERROR(IF(OR(VLOOKUP(I116,'[1]Work sheet'!$K$2:U711,11,0)="530",VLOOKUP(I116,'[1]Work sheet'!$K$2:U711,11,0)="526"),"BTO",""),"")</f>
        <v/>
      </c>
      <c r="V116" s="165"/>
      <c r="W116" s="167" t="str">
        <f>IF(COUNTIF('[1]OB Connect'!$F$13:$F$364,N116),"On Openbatch", "No")</f>
        <v>No</v>
      </c>
      <c r="X116" s="166" t="e">
        <f>X115</f>
        <v>#REF!</v>
      </c>
      <c r="Y116" s="274" t="e">
        <f>E116+G116+Y115</f>
        <v>#REF!</v>
      </c>
      <c r="Z116" s="165" t="e">
        <f>IF(Y116&lt;=12,"Shift 1",IF(AND(Y116&gt;12,Y116&lt;=24),"Shift 2",IF(AND(Y116&gt;24,Y116&lt;=36),"Shift 3",IF(AND(Y116&gt;36,Y116&lt;=48),"Shift 4",IF(AND(Y116&gt;48,Y116&lt;=60),"Shift 5",IF(AND(Y116&gt;60,Y116&lt;=72),"Shift 6",IF(AND(Y116&gt;72,Y116&lt;=84),"Shift 7",IF(AND(Y116&gt;84,Y116&lt;=96),IF(AND(Y116&gt;84,Y116&lt;=96),"Shift 8",),"Shift 9"))))))))</f>
        <v>#REF!</v>
      </c>
    </row>
    <row r="117" spans="1:147" ht="13" x14ac:dyDescent="0.25">
      <c r="B117" s="116">
        <f>D116</f>
        <v>44145.372168079099</v>
      </c>
      <c r="C117" s="220">
        <f>D116</f>
        <v>44145.372168079099</v>
      </c>
      <c r="D117" s="220">
        <f>(E117/24)+C117+(G117/24)</f>
        <v>44145.4936680791</v>
      </c>
      <c r="E117" s="219">
        <f>INDEX('[1]Work sheet'!$G$2:$G$240,MATCH(I117,'[1]Work sheet'!$K$2:$K$240,0))+IFERROR(IF(FIND("WASH",J116,1)&gt;0,0,0.35),0.2)</f>
        <v>2.9160000000000004</v>
      </c>
      <c r="F117" s="278">
        <f>IFERROR(MROUND((L117/((INDEX('[1]Work sheet'!$G$2:$G$239,MATCH(I117,'[1]Work sheet'!$K$2:$K$239,0))*0.58)*60)),0.5),"")</f>
        <v>8</v>
      </c>
      <c r="G117" s="276"/>
      <c r="H117" s="176">
        <f>LEN(J117)-LEN(SUBSTITUTE(J117,",",""))</f>
        <v>0</v>
      </c>
      <c r="I117" s="183">
        <f>'[1]Work sheet'!K103</f>
        <v>1630314</v>
      </c>
      <c r="J117" s="174" t="str">
        <f>VLOOKUP(I117,'[1]Work sheet'!$K$2:L728,2,0)</f>
        <v>DC/CH-3039.69 P3 13.75UN CTN 1 BAG</v>
      </c>
      <c r="K117" s="173">
        <f>VLOOKUP(I117,'[1]Work sheet'!$K$2:O845,3,0)</f>
        <v>756</v>
      </c>
      <c r="L117" s="173">
        <f>VLOOKUP(I117,'[1]Work sheet'!$K$2:O1240,4,0)</f>
        <v>756</v>
      </c>
      <c r="M117" s="171" t="str">
        <f>VLOOKUP(I117,'[1]Work sheet'!$K$2:T1549,10,0)</f>
        <v>ASP/616</v>
      </c>
      <c r="N117" s="172" t="str">
        <f>IFERROR(VLOOKUP(I117,'[1]PO Numbers'!$R$2:S293,2,0),"TBC")</f>
        <v>106990343</v>
      </c>
      <c r="O117" s="171" t="str">
        <f>IFERROR(VLOOKUP(VALUE(N117),'[1]PO Numbers'!$F$1:$J$400,5,0),"xxx")</f>
        <v>PI01</v>
      </c>
      <c r="P117" s="83" t="str">
        <f>VLOOKUP(I117,'[1]Work sheet'!$K$2:AA1165,13,0)</f>
        <v/>
      </c>
      <c r="Q117" s="170">
        <f>VLOOKUP(I117,'[1]Work sheet'!$K$2:AI830,16,0)</f>
        <v>11.637</v>
      </c>
      <c r="R117" s="168" t="str">
        <f>VLOOKUP(I117,'[1]Work sheet'!$K$2:AA525,17,0)</f>
        <v>10-11Kgs ASP, 1-2Kgs 616</v>
      </c>
      <c r="S117" s="169" t="str">
        <f>VLOOKUP(I117,'[1]Work sheet'!$K$2:AL408,28,0)</f>
        <v/>
      </c>
      <c r="T117" s="168" t="str">
        <f>IFERROR(VLOOKUP(I117,[1]Label!$A$1:C1067,3,0),"")</f>
        <v/>
      </c>
      <c r="U117" s="165" t="str">
        <f>IFERROR(IF(OR(VLOOKUP(I117,'[1]Work sheet'!$K$2:U712,11,0)="530",VLOOKUP(I117,'[1]Work sheet'!$K$2:U712,11,0)="526"),"BTO",""),"")</f>
        <v/>
      </c>
      <c r="V117" s="165"/>
      <c r="W117" s="167" t="str">
        <f>IF(COUNTIF('[1]OB Connect'!$F$13:$F$364,N117),"On Openbatch", "No")</f>
        <v>No</v>
      </c>
      <c r="X117" s="166" t="e">
        <f>X116</f>
        <v>#REF!</v>
      </c>
      <c r="Y117" s="274" t="e">
        <f>E117+G117+Y116</f>
        <v>#REF!</v>
      </c>
      <c r="Z117" s="165" t="e">
        <f>IF(Y117&lt;=12,"Shift 1",IF(AND(Y117&gt;12,Y117&lt;=24),"Shift 2",IF(AND(Y117&gt;24,Y117&lt;=36),"Shift 3",IF(AND(Y117&gt;36,Y117&lt;=48),"Shift 4",IF(AND(Y117&gt;48,Y117&lt;=60),"Shift 5",IF(AND(Y117&gt;60,Y117&lt;=72),"Shift 6",IF(AND(Y117&gt;72,Y117&lt;=84),"Shift 7",IF(AND(Y117&gt;84,Y117&lt;=96),IF(AND(Y117&gt;84,Y117&lt;=96),"Shift 8",),"Shift 9"))))))))</f>
        <v>#REF!</v>
      </c>
    </row>
    <row r="118" spans="1:147" ht="13" x14ac:dyDescent="0.25">
      <c r="B118" s="116">
        <f>D117</f>
        <v>44145.4936680791</v>
      </c>
      <c r="C118" s="220">
        <f>D117</f>
        <v>44145.4936680791</v>
      </c>
      <c r="D118" s="220">
        <f>(E118/24)+C118+(G118/24)</f>
        <v>44145.514126412432</v>
      </c>
      <c r="E118" s="219">
        <f>INDEX('[1]Work sheet'!$G$2:$G$240,MATCH(I118,'[1]Work sheet'!$K$2:$K$240,0))+IFERROR(IF(FIND("WASH",J117,1)&gt;0,0,0.35),0.2)</f>
        <v>0.49099999999999999</v>
      </c>
      <c r="F118" s="218">
        <f>IFERROR(MROUND((L118/((INDEX('[1]Work sheet'!$G$2:$G$239,MATCH(I118,'[1]Work sheet'!$K$2:$K$239,0))*0.58)*60)),0.5),"")</f>
        <v>8</v>
      </c>
      <c r="G118" s="277"/>
      <c r="H118" s="175">
        <f>LEN(J118)-LEN(SUBSTITUTE(J118,",",""))</f>
        <v>0</v>
      </c>
      <c r="I118" s="183">
        <f>'[1]Work sheet'!K104</f>
        <v>1929724</v>
      </c>
      <c r="J118" s="174" t="str">
        <f>VLOOKUP(I118,'[1]Work sheet'!$K$2:L729,2,0)</f>
        <v>FP/B-426.21 P3 22.5UN CTN 1 BAG</v>
      </c>
      <c r="K118" s="173">
        <f>VLOOKUP(I118,'[1]Work sheet'!$K$2:O846,3,0)</f>
        <v>81</v>
      </c>
      <c r="L118" s="173">
        <f>VLOOKUP(I118,'[1]Work sheet'!$K$2:O1241,4,0)</f>
        <v>81</v>
      </c>
      <c r="M118" s="171" t="str">
        <f>VLOOKUP(I118,'[1]Work sheet'!$K$2:T1550,10,0)</f>
        <v>ASP/616</v>
      </c>
      <c r="N118" s="172" t="str">
        <f>IFERROR(VLOOKUP(I118,'[1]PO Numbers'!$R$2:S294,2,0),"TBC")</f>
        <v>106990350</v>
      </c>
      <c r="O118" s="171" t="str">
        <f>IFERROR(VLOOKUP(VALUE(N118),'[1]PO Numbers'!$F$1:$J$400,5,0),"xxx")</f>
        <v>PI01</v>
      </c>
      <c r="P118" s="83" t="str">
        <f>VLOOKUP(I118,'[1]Work sheet'!$K$2:AA1166,13,0)</f>
        <v/>
      </c>
      <c r="Q118" s="170">
        <f>VLOOKUP(I118,'[1]Work sheet'!$K$2:AI831,16,0)</f>
        <v>13.95</v>
      </c>
      <c r="R118" s="168" t="str">
        <f>VLOOKUP(I118,'[1]Work sheet'!$K$2:AA526,17,0)</f>
        <v>6-7Kgs ASP, 7-8Kgs 616</v>
      </c>
      <c r="S118" s="169" t="str">
        <f>VLOOKUP(I118,'[1]Work sheet'!$K$2:AL409,28,0)</f>
        <v/>
      </c>
      <c r="T118" s="168" t="str">
        <f>IFERROR(VLOOKUP(I118,[1]Label!$A$1:C1068,3,0),"")</f>
        <v/>
      </c>
      <c r="U118" s="165" t="str">
        <f>IFERROR(IF(OR(VLOOKUP(I118,'[1]Work sheet'!$K$2:U713,11,0)="530",VLOOKUP(I118,'[1]Work sheet'!$K$2:U713,11,0)="526"),"BTO",""),"")</f>
        <v/>
      </c>
      <c r="V118" s="165"/>
      <c r="W118" s="167" t="str">
        <f>IF(COUNTIF('[1]OB Connect'!$F$13:$F$364,N118),"On Openbatch", "No")</f>
        <v>No</v>
      </c>
      <c r="X118" s="166" t="e">
        <f>X117</f>
        <v>#REF!</v>
      </c>
      <c r="Y118" s="274" t="e">
        <f>E118+G118+Y117</f>
        <v>#REF!</v>
      </c>
      <c r="Z118" s="165" t="e">
        <f>IF(Y118&lt;=12,"Shift 1",IF(AND(Y118&gt;12,Y118&lt;=24),"Shift 2",IF(AND(Y118&gt;24,Y118&lt;=36),"Shift 3",IF(AND(Y118&gt;36,Y118&lt;=48),"Shift 4",IF(AND(Y118&gt;48,Y118&lt;=60),"Shift 5",IF(AND(Y118&gt;60,Y118&lt;=72),"Shift 6",IF(AND(Y118&gt;72,Y118&lt;=84),"Shift 7",IF(AND(Y118&gt;84,Y118&lt;=96),IF(AND(Y118&gt;84,Y118&lt;=96),"Shift 8",),"Shift 9"))))))))</f>
        <v>#REF!</v>
      </c>
    </row>
    <row r="119" spans="1:147" ht="25" x14ac:dyDescent="0.25">
      <c r="B119" s="116">
        <f>D118</f>
        <v>44145.514126412432</v>
      </c>
      <c r="C119" s="220">
        <f>D118</f>
        <v>44145.514126412432</v>
      </c>
      <c r="D119" s="220">
        <f>(E119/24)+C119+(G119/24)</f>
        <v>44145.7891680791</v>
      </c>
      <c r="E119" s="219">
        <f>INDEX('[1]Work sheet'!$G$2:$G$240,MATCH(I119,'[1]Work sheet'!$K$2:$K$240,0))+IFERROR(IF(FIND("WASH",J118,1)&gt;0,0,0.35),0.2)</f>
        <v>3.851</v>
      </c>
      <c r="F119" s="218">
        <f>IFERROR(MROUND((L119/((INDEX('[1]Work sheet'!$G$2:$G$239,MATCH(I119,'[1]Work sheet'!$K$2:$K$239,0))*0.58)*60)),0.5),"")</f>
        <v>8.5</v>
      </c>
      <c r="G119" s="217">
        <v>2.75</v>
      </c>
      <c r="H119" s="175">
        <f>LEN(J119)-LEN(SUBSTITUTE(J119,",",""))</f>
        <v>0</v>
      </c>
      <c r="I119" s="183">
        <f>'[1]Work sheet'!K105</f>
        <v>2048054</v>
      </c>
      <c r="J119" s="174" t="str">
        <f>VLOOKUP(I119,'[1]Work sheet'!$K$2:L730,2,0)</f>
        <v>DB-2132.88 P3F 16UN CTN 2 BAG</v>
      </c>
      <c r="K119" s="173">
        <f>VLOOKUP(I119,'[1]Work sheet'!$K$2:O847,3,0)</f>
        <v>540</v>
      </c>
      <c r="L119" s="173">
        <f>VLOOKUP(I119,'[1]Work sheet'!$K$2:O1242,4,0)</f>
        <v>1080</v>
      </c>
      <c r="M119" s="171" t="str">
        <f>VLOOKUP(I119,'[1]Work sheet'!$K$2:T1551,10,0)</f>
        <v>ASP/616/609/TSO</v>
      </c>
      <c r="N119" s="172" t="str">
        <f>IFERROR(VLOOKUP(I119,'[1]PO Numbers'!$R$2:S295,2,0),"TBC")</f>
        <v>106991163</v>
      </c>
      <c r="O119" s="171" t="str">
        <f>IFERROR(VLOOKUP(VALUE(N119),'[1]PO Numbers'!$F$1:$J$400,5,0),"xxx")</f>
        <v>PI01</v>
      </c>
      <c r="P119" s="83" t="str">
        <f>VLOOKUP(I119,'[1]Work sheet'!$K$2:AA1167,13,0)</f>
        <v/>
      </c>
      <c r="Q119" s="170">
        <f>VLOOKUP(I119,'[1]Work sheet'!$K$2:AI832,16,0)</f>
        <v>10.532999999999999</v>
      </c>
      <c r="R119" s="168" t="str">
        <f>VLOOKUP(I119,'[1]Work sheet'!$K$2:AA527,17,0)</f>
        <v>4-5Kgs 609, 2-3Kgs 616, 2-3Kgs TSO, 1-2Kgs ASP</v>
      </c>
      <c r="S119" s="169" t="str">
        <f>VLOOKUP(I119,'[1]Work sheet'!$K$2:AL410,28,0)</f>
        <v/>
      </c>
      <c r="T119" s="168" t="str">
        <f>IFERROR(VLOOKUP(I119,[1]Label!$A$1:C1069,3,0),"")</f>
        <v/>
      </c>
      <c r="U119" s="165" t="str">
        <f>IFERROR(IF(OR(VLOOKUP(I119,'[1]Work sheet'!$K$2:U714,11,0)="530",VLOOKUP(I119,'[1]Work sheet'!$K$2:U714,11,0)="526"),"BTO",""),"")</f>
        <v/>
      </c>
      <c r="V119" s="165"/>
      <c r="W119" s="167" t="str">
        <f>IF(COUNTIF('[1]OB Connect'!$F$13:$F$364,N119),"On Openbatch", "No")</f>
        <v>No</v>
      </c>
      <c r="X119" s="166" t="e">
        <f>X118</f>
        <v>#REF!</v>
      </c>
      <c r="Y119" s="274" t="e">
        <f>E119+G119+Y118</f>
        <v>#REF!</v>
      </c>
      <c r="Z119" s="165" t="e">
        <f>IF(Y119&lt;=12,"Shift 1",IF(AND(Y119&gt;12,Y119&lt;=24),"Shift 2",IF(AND(Y119&gt;24,Y119&lt;=36),"Shift 3",IF(AND(Y119&gt;36,Y119&lt;=48),"Shift 4",IF(AND(Y119&gt;48,Y119&lt;=60),"Shift 5",IF(AND(Y119&gt;60,Y119&lt;=72),"Shift 6",IF(AND(Y119&gt;72,Y119&lt;=84),"Shift 7",IF(AND(Y119&gt;84,Y119&lt;=96),IF(AND(Y119&gt;84,Y119&lt;=96),"Shift 8",),"Shift 9"))))))))</f>
        <v>#REF!</v>
      </c>
    </row>
    <row r="120" spans="1:147" s="58" customFormat="1" ht="13" x14ac:dyDescent="0.25">
      <c r="A120" s="118"/>
      <c r="B120" s="126">
        <f>D119</f>
        <v>44145.7891680791</v>
      </c>
      <c r="C120" s="125">
        <f>D119</f>
        <v>44145.7891680791</v>
      </c>
      <c r="D120" s="125">
        <f>(E120/24)+C120+(G120/24)</f>
        <v>44145.830834745764</v>
      </c>
      <c r="E120" s="124">
        <v>1</v>
      </c>
      <c r="F120" s="124"/>
      <c r="G120" s="123"/>
      <c r="H120" s="119"/>
      <c r="I120" s="122"/>
      <c r="J120" s="118" t="s">
        <v>63</v>
      </c>
      <c r="K120" s="121"/>
      <c r="L120" s="120"/>
      <c r="M120" s="118"/>
      <c r="N120" s="118"/>
      <c r="O120" s="118"/>
      <c r="P120" s="117"/>
      <c r="Q120" s="119"/>
      <c r="R120" s="118"/>
      <c r="S120" s="117"/>
      <c r="T120" s="117"/>
      <c r="U120" s="23"/>
      <c r="V120" s="21"/>
      <c r="W120" s="22"/>
      <c r="X120" s="22"/>
      <c r="Y120" s="21"/>
      <c r="Z120" s="20"/>
      <c r="AA120" s="60"/>
      <c r="AB120" s="60"/>
      <c r="AC120" s="60"/>
      <c r="AD120" s="60"/>
      <c r="AE120" s="60"/>
      <c r="AF120" s="60"/>
      <c r="AG120" s="60"/>
      <c r="AH120" s="60"/>
      <c r="AI120" s="60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  <c r="BC120" s="59"/>
      <c r="BD120" s="59"/>
      <c r="BE120" s="59"/>
      <c r="BF120" s="59"/>
      <c r="BG120" s="59"/>
      <c r="BH120" s="59"/>
      <c r="BI120" s="59"/>
      <c r="BJ120" s="59"/>
      <c r="BK120" s="59"/>
      <c r="BL120" s="59"/>
      <c r="BM120" s="59"/>
      <c r="BN120" s="59"/>
      <c r="BO120" s="59"/>
      <c r="BP120" s="59"/>
      <c r="BQ120" s="59"/>
      <c r="BR120" s="59"/>
      <c r="BS120" s="59"/>
      <c r="BT120" s="59"/>
      <c r="BU120" s="59"/>
      <c r="BV120" s="59"/>
      <c r="BW120" s="59"/>
      <c r="BX120" s="59"/>
      <c r="BY120" s="59"/>
      <c r="BZ120" s="59"/>
      <c r="CA120" s="59"/>
      <c r="CB120" s="59"/>
      <c r="CC120" s="59"/>
      <c r="CD120" s="59"/>
      <c r="CE120" s="59"/>
      <c r="CF120" s="59"/>
      <c r="CG120" s="59"/>
      <c r="CH120" s="59"/>
      <c r="CI120" s="59"/>
      <c r="CJ120" s="59"/>
      <c r="CK120" s="59"/>
      <c r="CL120" s="59"/>
      <c r="CM120" s="59"/>
      <c r="CN120" s="59"/>
      <c r="CO120" s="59"/>
      <c r="CP120" s="59"/>
      <c r="CQ120" s="59"/>
      <c r="CR120" s="59"/>
      <c r="CS120" s="59"/>
      <c r="CT120" s="59"/>
      <c r="CU120" s="59"/>
      <c r="CV120" s="59"/>
      <c r="CW120" s="59"/>
      <c r="CX120" s="59"/>
      <c r="CY120" s="59"/>
      <c r="CZ120" s="59"/>
      <c r="DA120" s="59"/>
      <c r="DB120" s="59"/>
      <c r="DC120" s="59"/>
      <c r="DD120" s="59"/>
      <c r="DE120" s="59"/>
      <c r="DF120" s="59"/>
      <c r="DG120" s="59"/>
      <c r="DH120" s="59"/>
      <c r="DI120" s="59"/>
      <c r="DJ120" s="59"/>
      <c r="DK120" s="59"/>
      <c r="DL120" s="59"/>
      <c r="DM120" s="59"/>
      <c r="DN120" s="59"/>
      <c r="DO120" s="59"/>
      <c r="DP120" s="59"/>
      <c r="DQ120" s="59"/>
      <c r="DR120" s="59"/>
      <c r="DS120" s="59"/>
      <c r="DT120" s="59"/>
      <c r="DU120" s="59"/>
      <c r="DV120" s="59"/>
      <c r="DW120" s="59"/>
      <c r="DX120" s="59"/>
      <c r="DY120" s="59"/>
      <c r="DZ120" s="59"/>
      <c r="EA120" s="59"/>
      <c r="EB120" s="59"/>
      <c r="EC120" s="59"/>
      <c r="ED120" s="59"/>
      <c r="EE120" s="59"/>
      <c r="EF120" s="59"/>
      <c r="EG120" s="59"/>
      <c r="EH120" s="59"/>
      <c r="EI120" s="59"/>
      <c r="EJ120" s="59"/>
      <c r="EK120" s="59"/>
      <c r="EL120" s="59"/>
      <c r="EM120" s="59"/>
      <c r="EN120" s="59"/>
      <c r="EO120" s="59"/>
      <c r="EP120" s="59"/>
      <c r="EQ120" s="59"/>
    </row>
    <row r="121" spans="1:147" ht="25" x14ac:dyDescent="0.25">
      <c r="B121" s="116">
        <f>D120</f>
        <v>44145.830834745764</v>
      </c>
      <c r="C121" s="220">
        <f>D120</f>
        <v>44145.830834745764</v>
      </c>
      <c r="D121" s="220">
        <f>(E121/24)+C121+(G121/24)</f>
        <v>44145.896209745762</v>
      </c>
      <c r="E121" s="219">
        <f>INDEX('[1]Work sheet'!$G$2:$G$240,MATCH(I121,'[1]Work sheet'!$K$2:$K$240,0))+IFERROR(IF(FIND("WASH",J119,1)&gt;0,0,0.35),0.2)</f>
        <v>1.569</v>
      </c>
      <c r="F121" s="218">
        <f>IFERROR(MROUND((L121/((INDEX('[1]Work sheet'!$G$2:$G$239,MATCH(I121,'[1]Work sheet'!$K$2:$K$239,0))*0.58)*60)),0.5),"")</f>
        <v>8.5</v>
      </c>
      <c r="G121" s="217"/>
      <c r="H121" s="175">
        <f>LEN(J121)-LEN(SUBSTITUTE(J121,",",""))</f>
        <v>0</v>
      </c>
      <c r="I121" s="183">
        <f>'[1]Work sheet'!K106</f>
        <v>1383270</v>
      </c>
      <c r="J121" s="174" t="str">
        <f>VLOOKUP(I121,'[1]Work sheet'!$K$2:L731,2,0)</f>
        <v>DK-95.88/DK/LE-7095.88 P3 15UN CTN 3 BAG</v>
      </c>
      <c r="K121" s="173">
        <f>VLOOKUP(I121,'[1]Work sheet'!$K$2:O848,3,0)</f>
        <v>135</v>
      </c>
      <c r="L121" s="173">
        <f>VLOOKUP(I121,'[1]Work sheet'!$K$2:O1243,4,0)</f>
        <v>405</v>
      </c>
      <c r="M121" s="171" t="str">
        <f>VLOOKUP(I121,'[1]Work sheet'!$K$2:T1552,10,0)</f>
        <v>ASP/616/609</v>
      </c>
      <c r="N121" s="172" t="str">
        <f>IFERROR(VLOOKUP(I121,'[1]PO Numbers'!$R$2:S296,2,0),"TBC")</f>
        <v>106991177</v>
      </c>
      <c r="O121" s="171" t="str">
        <f>IFERROR(VLOOKUP(VALUE(N121),'[1]PO Numbers'!$F$1:$J$400,5,0),"xxx")</f>
        <v>PI01</v>
      </c>
      <c r="P121" s="83" t="str">
        <f>VLOOKUP(I121,'[1]Work sheet'!$K$2:AA1168,13,0)</f>
        <v/>
      </c>
      <c r="Q121" s="170">
        <f>VLOOKUP(I121,'[1]Work sheet'!$K$2:AI833,16,0)</f>
        <v>5.2679999999999998</v>
      </c>
      <c r="R121" s="168" t="str">
        <f>VLOOKUP(I121,'[1]Work sheet'!$K$2:AA528,17,0)</f>
        <v>2-3Kgs 609, 1-2Kgs 616, 1-2Kgs ASP</v>
      </c>
      <c r="S121" s="169" t="str">
        <f>VLOOKUP(I121,'[1]Work sheet'!$K$2:AL411,28,0)</f>
        <v/>
      </c>
      <c r="T121" s="168" t="str">
        <f>IFERROR(VLOOKUP(I121,[1]Label!$A$1:C1070,3,0),"")</f>
        <v/>
      </c>
      <c r="U121" s="165" t="str">
        <f>IFERROR(IF(OR(VLOOKUP(I121,'[1]Work sheet'!$K$2:U715,11,0)="530",VLOOKUP(I121,'[1]Work sheet'!$K$2:U715,11,0)="526"),"BTO",""),"")</f>
        <v/>
      </c>
      <c r="V121" s="165"/>
      <c r="W121" s="167" t="str">
        <f>IF(COUNTIF('[1]OB Connect'!$F$13:$F$364,N121),"On Openbatch", "No")</f>
        <v>No</v>
      </c>
      <c r="X121" s="166" t="e">
        <f>X119</f>
        <v>#REF!</v>
      </c>
      <c r="Y121" s="274" t="e">
        <f>E121+G121+Y119</f>
        <v>#REF!</v>
      </c>
      <c r="Z121" s="165" t="e">
        <f>IF(Y121&lt;=12,"Shift 1",IF(AND(Y121&gt;12,Y121&lt;=24),"Shift 2",IF(AND(Y121&gt;24,Y121&lt;=36),"Shift 3",IF(AND(Y121&gt;36,Y121&lt;=48),"Shift 4",IF(AND(Y121&gt;48,Y121&lt;=60),"Shift 5",IF(AND(Y121&gt;60,Y121&lt;=72),"Shift 6",IF(AND(Y121&gt;72,Y121&lt;=84),"Shift 7",IF(AND(Y121&gt;84,Y121&lt;=96),IF(AND(Y121&gt;84,Y121&lt;=96),"Shift 8",),"Shift 9"))))))))</f>
        <v>#REF!</v>
      </c>
    </row>
    <row r="122" spans="1:147" ht="25" x14ac:dyDescent="0.25">
      <c r="B122" s="116">
        <f>D121</f>
        <v>44145.896209745762</v>
      </c>
      <c r="C122" s="220">
        <f>D121</f>
        <v>44145.896209745762</v>
      </c>
      <c r="D122" s="220">
        <f>(E122/24)+C122+(G122/24)</f>
        <v>44145.957793079098</v>
      </c>
      <c r="E122" s="219">
        <f>INDEX('[1]Work sheet'!$G$2:$G$240,MATCH(I122,'[1]Work sheet'!$K$2:$K$240,0))+IFERROR(IF(FIND("WASH",J121,1)&gt;0,0,0.35),0.2)</f>
        <v>1.478</v>
      </c>
      <c r="F122" s="218">
        <f>IFERROR(MROUND((L122/((INDEX('[1]Work sheet'!$G$2:$G$239,MATCH(I122,'[1]Work sheet'!$K$2:$K$239,0))*0.58)*60)),0.5),"")</f>
        <v>8.5</v>
      </c>
      <c r="G122" s="217"/>
      <c r="H122" s="175">
        <f>LEN(J122)-LEN(SUBSTITUTE(J122,",",""))</f>
        <v>0</v>
      </c>
      <c r="I122" s="183">
        <f>'[1]Work sheet'!K107</f>
        <v>1379954</v>
      </c>
      <c r="J122" s="174" t="str">
        <f>VLOOKUP(I122,'[1]Work sheet'!$K$2:L732,2,0)</f>
        <v>DK-95.88/DK/S-80.88 P3 10UN CTN 2 BAGS</v>
      </c>
      <c r="K122" s="173">
        <f>VLOOKUP(I122,'[1]Work sheet'!$K$2:O849,3,0)</f>
        <v>189</v>
      </c>
      <c r="L122" s="173">
        <f>VLOOKUP(I122,'[1]Work sheet'!$K$2:O1244,4,0)</f>
        <v>378</v>
      </c>
      <c r="M122" s="171" t="str">
        <f>VLOOKUP(I122,'[1]Work sheet'!$K$2:T1553,10,0)</f>
        <v>ASP/616/609</v>
      </c>
      <c r="N122" s="172" t="str">
        <f>IFERROR(VLOOKUP(I122,'[1]PO Numbers'!$R$2:S297,2,0),"TBC")</f>
        <v>106991176</v>
      </c>
      <c r="O122" s="171" t="str">
        <f>IFERROR(VLOOKUP(VALUE(N122),'[1]PO Numbers'!$F$1:$J$400,5,0),"xxx")</f>
        <v>PI01</v>
      </c>
      <c r="P122" s="83" t="str">
        <f>VLOOKUP(I122,'[1]Work sheet'!$K$2:AA1169,13,0)</f>
        <v/>
      </c>
      <c r="Q122" s="170">
        <f>VLOOKUP(I122,'[1]Work sheet'!$K$2:AI834,16,0)</f>
        <v>5.2679999999999998</v>
      </c>
      <c r="R122" s="168" t="str">
        <f>VLOOKUP(I122,'[1]Work sheet'!$K$2:AA529,17,0)</f>
        <v>2-3Kgs 609, 1-2Kgs 616, 1-2Kgs ASP</v>
      </c>
      <c r="S122" s="169" t="str">
        <f>VLOOKUP(I122,'[1]Work sheet'!$K$2:AL412,28,0)</f>
        <v/>
      </c>
      <c r="T122" s="168" t="str">
        <f>IFERROR(VLOOKUP(I122,[1]Label!$A$1:C1071,3,0),"")</f>
        <v/>
      </c>
      <c r="U122" s="165" t="str">
        <f>IFERROR(IF(OR(VLOOKUP(I122,'[1]Work sheet'!$K$2:U716,11,0)="530",VLOOKUP(I122,'[1]Work sheet'!$K$2:U716,11,0)="526"),"BTO",""),"")</f>
        <v/>
      </c>
      <c r="V122" s="165"/>
      <c r="W122" s="167" t="str">
        <f>IF(COUNTIF('[1]OB Connect'!$F$13:$F$364,N122),"On Openbatch", "No")</f>
        <v>No</v>
      </c>
      <c r="X122" s="166" t="e">
        <f>X121</f>
        <v>#REF!</v>
      </c>
      <c r="Y122" s="274" t="e">
        <f>E122+G122+Y121</f>
        <v>#REF!</v>
      </c>
      <c r="Z122" s="165" t="e">
        <f>IF(Y122&lt;=12,"Shift 1",IF(AND(Y122&gt;12,Y122&lt;=24),"Shift 2",IF(AND(Y122&gt;24,Y122&lt;=36),"Shift 3",IF(AND(Y122&gt;36,Y122&lt;=48),"Shift 4",IF(AND(Y122&gt;48,Y122&lt;=60),"Shift 5",IF(AND(Y122&gt;60,Y122&lt;=72),"Shift 6",IF(AND(Y122&gt;72,Y122&lt;=84),"Shift 7",IF(AND(Y122&gt;84,Y122&lt;=96),IF(AND(Y122&gt;84,Y122&lt;=96),"Shift 8",),"Shift 9"))))))))</f>
        <v>#REF!</v>
      </c>
    </row>
    <row r="123" spans="1:147" ht="25" x14ac:dyDescent="0.25">
      <c r="B123" s="116">
        <f>D122</f>
        <v>44145.957793079098</v>
      </c>
      <c r="C123" s="220">
        <f>D122</f>
        <v>44145.957793079098</v>
      </c>
      <c r="D123" s="220">
        <f>(E123/24)+C123+(G123/24)</f>
        <v>44146.090834745766</v>
      </c>
      <c r="E123" s="219">
        <f>INDEX('[1]Work sheet'!$G$2:$G$240,MATCH(I123,'[1]Work sheet'!$K$2:$K$240,0))+IFERROR(IF(FIND("WASH",J122,1)&gt;0,0,0.35),0.2)</f>
        <v>0.443</v>
      </c>
      <c r="F123" s="218">
        <f>IFERROR(MROUND((L123/((INDEX('[1]Work sheet'!$G$2:$G$239,MATCH(I123,'[1]Work sheet'!$K$2:$K$239,0))*0.58)*60)),0.5),"")</f>
        <v>8.5</v>
      </c>
      <c r="G123" s="217">
        <v>2.75</v>
      </c>
      <c r="H123" s="175">
        <f>LEN(J123)-LEN(SUBSTITUTE(J123,",",""))</f>
        <v>0</v>
      </c>
      <c r="I123" s="183">
        <f>'[1]Work sheet'!K108</f>
        <v>2010947</v>
      </c>
      <c r="J123" s="174" t="str">
        <f>VLOOKUP(I123,'[1]Work sheet'!$K$2:L733,2,0)</f>
        <v>LE/A/D-618.50 P3 12UN CTN 1 BAG</v>
      </c>
      <c r="K123" s="173">
        <f>VLOOKUP(I123,'[1]Work sheet'!$K$2:O850,3,0)</f>
        <v>72</v>
      </c>
      <c r="L123" s="173">
        <f>VLOOKUP(I123,'[1]Work sheet'!$K$2:O1245,4,0)</f>
        <v>72</v>
      </c>
      <c r="M123" s="171" t="str">
        <f>VLOOKUP(I123,'[1]Work sheet'!$K$2:T1554,10,0)</f>
        <v>ASP/616/609</v>
      </c>
      <c r="N123" s="172" t="str">
        <f>IFERROR(VLOOKUP(I123,'[1]PO Numbers'!$R$2:S298,2,0),"TBC")</f>
        <v>106991159</v>
      </c>
      <c r="O123" s="171" t="str">
        <f>IFERROR(VLOOKUP(VALUE(N123),'[1]PO Numbers'!$F$1:$J$400,5,0),"xxx")</f>
        <v>PI01</v>
      </c>
      <c r="P123" s="83" t="str">
        <f>VLOOKUP(I123,'[1]Work sheet'!$K$2:AA1170,13,0)</f>
        <v/>
      </c>
      <c r="Q123" s="170">
        <f>VLOOKUP(I123,'[1]Work sheet'!$K$2:AI835,16,0)</f>
        <v>12.288</v>
      </c>
      <c r="R123" s="168" t="str">
        <f>VLOOKUP(I123,'[1]Work sheet'!$K$2:AA530,17,0)</f>
        <v>5-6Kgs 616, 5-6Kgs 609, 1-2Kgs ASP</v>
      </c>
      <c r="S123" s="169" t="str">
        <f>VLOOKUP(I123,'[1]Work sheet'!$K$2:AL413,28,0)</f>
        <v/>
      </c>
      <c r="T123" s="168" t="str">
        <f>IFERROR(VLOOKUP(I123,[1]Label!$A$1:C1072,3,0),"")</f>
        <v/>
      </c>
      <c r="U123" s="165" t="str">
        <f>IFERROR(IF(OR(VLOOKUP(I123,'[1]Work sheet'!$K$2:U717,11,0)="530",VLOOKUP(I123,'[1]Work sheet'!$K$2:U717,11,0)="526"),"BTO",""),"")</f>
        <v/>
      </c>
      <c r="V123" s="165"/>
      <c r="W123" s="167" t="str">
        <f>IF(COUNTIF('[1]OB Connect'!$F$13:$F$364,N123),"On Openbatch", "No")</f>
        <v>No</v>
      </c>
      <c r="X123" s="166" t="e">
        <f>X122</f>
        <v>#REF!</v>
      </c>
      <c r="Y123" s="274" t="e">
        <f>E123+G123+Y122</f>
        <v>#REF!</v>
      </c>
      <c r="Z123" s="165" t="e">
        <f>IF(Y123&lt;=12,"Shift 1",IF(AND(Y123&gt;12,Y123&lt;=24),"Shift 2",IF(AND(Y123&gt;24,Y123&lt;=36),"Shift 3",IF(AND(Y123&gt;36,Y123&lt;=48),"Shift 4",IF(AND(Y123&gt;48,Y123&lt;=60),"Shift 5",IF(AND(Y123&gt;60,Y123&lt;=72),"Shift 6",IF(AND(Y123&gt;72,Y123&lt;=84),"Shift 7",IF(AND(Y123&gt;84,Y123&lt;=96),IF(AND(Y123&gt;84,Y123&lt;=96),"Shift 8",),"Shift 9"))))))))</f>
        <v>#REF!</v>
      </c>
    </row>
    <row r="124" spans="1:147" s="58" customFormat="1" ht="13" x14ac:dyDescent="0.25">
      <c r="A124" s="118"/>
      <c r="B124" s="126">
        <f>D123</f>
        <v>44146.090834745766</v>
      </c>
      <c r="C124" s="125">
        <f>D123</f>
        <v>44146.090834745766</v>
      </c>
      <c r="D124" s="125">
        <f>(E124/24)+C124+(G124/24)</f>
        <v>44146.099168079098</v>
      </c>
      <c r="E124" s="124">
        <v>0.2</v>
      </c>
      <c r="F124" s="124"/>
      <c r="G124" s="123"/>
      <c r="H124" s="119"/>
      <c r="I124" s="122"/>
      <c r="J124" s="118" t="s">
        <v>12</v>
      </c>
      <c r="K124" s="121"/>
      <c r="L124" s="120"/>
      <c r="M124" s="118"/>
      <c r="N124" s="118"/>
      <c r="O124" s="118"/>
      <c r="P124" s="117"/>
      <c r="Q124" s="119"/>
      <c r="R124" s="118"/>
      <c r="S124" s="117"/>
      <c r="T124" s="117"/>
      <c r="U124" s="23"/>
      <c r="V124" s="21"/>
      <c r="W124" s="22"/>
      <c r="X124" s="22"/>
      <c r="Y124" s="21"/>
      <c r="Z124" s="20"/>
      <c r="AA124" s="60"/>
      <c r="AB124" s="60"/>
      <c r="AC124" s="60"/>
      <c r="AD124" s="60"/>
      <c r="AE124" s="60"/>
      <c r="AF124" s="60"/>
      <c r="AG124" s="60"/>
      <c r="AH124" s="60"/>
      <c r="AI124" s="60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  <c r="BD124" s="59"/>
      <c r="BE124" s="59"/>
      <c r="BF124" s="59"/>
      <c r="BG124" s="59"/>
      <c r="BH124" s="59"/>
      <c r="BI124" s="59"/>
      <c r="BJ124" s="59"/>
      <c r="BK124" s="59"/>
      <c r="BL124" s="59"/>
      <c r="BM124" s="59"/>
      <c r="BN124" s="59"/>
      <c r="BO124" s="59"/>
      <c r="BP124" s="59"/>
      <c r="BQ124" s="59"/>
      <c r="BR124" s="59"/>
      <c r="BS124" s="59"/>
      <c r="BT124" s="59"/>
      <c r="BU124" s="59"/>
      <c r="BV124" s="59"/>
      <c r="BW124" s="59"/>
      <c r="BX124" s="59"/>
      <c r="BY124" s="59"/>
      <c r="BZ124" s="59"/>
      <c r="CA124" s="59"/>
      <c r="CB124" s="59"/>
      <c r="CC124" s="59"/>
      <c r="CD124" s="59"/>
      <c r="CE124" s="59"/>
      <c r="CF124" s="59"/>
      <c r="CG124" s="59"/>
      <c r="CH124" s="59"/>
      <c r="CI124" s="59"/>
      <c r="CJ124" s="59"/>
      <c r="CK124" s="59"/>
      <c r="CL124" s="59"/>
      <c r="CM124" s="59"/>
      <c r="CN124" s="59"/>
      <c r="CO124" s="59"/>
      <c r="CP124" s="59"/>
      <c r="CQ124" s="59"/>
      <c r="CR124" s="59"/>
      <c r="CS124" s="59"/>
      <c r="CT124" s="59"/>
      <c r="CU124" s="59"/>
      <c r="CV124" s="59"/>
      <c r="CW124" s="59"/>
      <c r="CX124" s="59"/>
      <c r="CY124" s="59"/>
      <c r="CZ124" s="59"/>
      <c r="DA124" s="59"/>
      <c r="DB124" s="59"/>
      <c r="DC124" s="59"/>
      <c r="DD124" s="59"/>
      <c r="DE124" s="59"/>
      <c r="DF124" s="59"/>
      <c r="DG124" s="59"/>
      <c r="DH124" s="59"/>
      <c r="DI124" s="59"/>
      <c r="DJ124" s="59"/>
      <c r="DK124" s="59"/>
      <c r="DL124" s="59"/>
      <c r="DM124" s="59"/>
      <c r="DN124" s="59"/>
      <c r="DO124" s="59"/>
      <c r="DP124" s="59"/>
      <c r="DQ124" s="59"/>
      <c r="DR124" s="59"/>
      <c r="DS124" s="59"/>
      <c r="DT124" s="59"/>
      <c r="DU124" s="59"/>
      <c r="DV124" s="59"/>
      <c r="DW124" s="59"/>
      <c r="DX124" s="59"/>
      <c r="DY124" s="59"/>
      <c r="DZ124" s="59"/>
      <c r="EA124" s="59"/>
      <c r="EB124" s="59"/>
      <c r="EC124" s="59"/>
      <c r="ED124" s="59"/>
      <c r="EE124" s="59"/>
      <c r="EF124" s="59"/>
      <c r="EG124" s="59"/>
      <c r="EH124" s="59"/>
      <c r="EI124" s="59"/>
      <c r="EJ124" s="59"/>
      <c r="EK124" s="59"/>
      <c r="EL124" s="59"/>
      <c r="EM124" s="59"/>
      <c r="EN124" s="59"/>
      <c r="EO124" s="59"/>
      <c r="EP124" s="59"/>
      <c r="EQ124" s="59"/>
    </row>
    <row r="125" spans="1:147" ht="25" x14ac:dyDescent="0.25">
      <c r="B125" s="116">
        <f>D124</f>
        <v>44146.099168079098</v>
      </c>
      <c r="C125" s="220">
        <f>D124</f>
        <v>44146.099168079098</v>
      </c>
      <c r="D125" s="220">
        <f>(E125/24)+C125+(G125/24)</f>
        <v>44146.125126412429</v>
      </c>
      <c r="E125" s="219">
        <f>INDEX('[1]Work sheet'!$G$2:$G$240,MATCH(I125,'[1]Work sheet'!$K$2:$K$240,0))+IFERROR(IF(FIND("WASH",J123,1)&gt;0,0,0.35),0.2)</f>
        <v>0.623</v>
      </c>
      <c r="F125" s="218">
        <f>IFERROR(MROUND((L125/((INDEX('[1]Work sheet'!$G$2:$G$239,MATCH(I125,'[1]Work sheet'!$K$2:$K$239,0))*0.58)*60)),0.5),"")</f>
        <v>5.5</v>
      </c>
      <c r="G125" s="276"/>
      <c r="H125" s="175">
        <f>LEN(J125)-LEN(SUBSTITUTE(J125,",",""))</f>
        <v>0</v>
      </c>
      <c r="I125" s="183">
        <f>'[1]Work sheet'!K109</f>
        <v>2050853</v>
      </c>
      <c r="J125" s="174" t="str">
        <f>VLOOKUP(I125,'[1]Work sheet'!$K$2:L734,2,0)</f>
        <v>SP/D-74.67 P3 15UN CTN 1 BAG</v>
      </c>
      <c r="K125" s="173">
        <f>VLOOKUP(I125,'[1]Work sheet'!$K$2:O851,3,0)</f>
        <v>81</v>
      </c>
      <c r="L125" s="173">
        <f>VLOOKUP(I125,'[1]Work sheet'!$K$2:O1246,4,0)</f>
        <v>81</v>
      </c>
      <c r="M125" s="171" t="str">
        <f>VLOOKUP(I125,'[1]Work sheet'!$K$2:T1555,10,0)</f>
        <v>ASP/603/609</v>
      </c>
      <c r="N125" s="172" t="str">
        <f>IFERROR(VLOOKUP(I125,'[1]PO Numbers'!$R$2:S299,2,0),"TBC")</f>
        <v>106991164</v>
      </c>
      <c r="O125" s="171" t="str">
        <f>IFERROR(VLOOKUP(VALUE(N125),'[1]PO Numbers'!$F$1:$J$400,5,0),"xxx")</f>
        <v>PI01</v>
      </c>
      <c r="P125" s="83" t="str">
        <f>VLOOKUP(I125,'[1]Work sheet'!$K$2:AA1171,13,0)</f>
        <v/>
      </c>
      <c r="Q125" s="170">
        <f>VLOOKUP(I125,'[1]Work sheet'!$K$2:AI836,16,0)</f>
        <v>12.468</v>
      </c>
      <c r="R125" s="168" t="str">
        <f>VLOOKUP(I125,'[1]Work sheet'!$K$2:AA531,17,0)</f>
        <v>3-4Kgs ASP, 1-2Kgs 603, 7-8Kgs 609</v>
      </c>
      <c r="S125" s="169" t="str">
        <f>VLOOKUP(I125,'[1]Work sheet'!$K$2:AL414,28,0)</f>
        <v/>
      </c>
      <c r="T125" s="168" t="str">
        <f>IFERROR(VLOOKUP(I125,[1]Label!$A$1:C1073,3,0),"")</f>
        <v/>
      </c>
      <c r="U125" s="165" t="str">
        <f>IFERROR(IF(OR(VLOOKUP(I125,'[1]Work sheet'!$K$2:U718,11,0)="530",VLOOKUP(I125,'[1]Work sheet'!$K$2:U718,11,0)="526"),"BTO",""),"")</f>
        <v/>
      </c>
      <c r="V125" s="165"/>
      <c r="W125" s="167" t="str">
        <f>IF(COUNTIF('[1]OB Connect'!$F$13:$F$364,N125),"On Openbatch", "No")</f>
        <v>No</v>
      </c>
      <c r="X125" s="166" t="e">
        <f>X123</f>
        <v>#REF!</v>
      </c>
      <c r="Y125" s="274" t="e">
        <f>E125+G125+Y123</f>
        <v>#REF!</v>
      </c>
      <c r="Z125" s="165" t="e">
        <f>IF(Y125&lt;=12,"Shift 1",IF(AND(Y125&gt;12,Y125&lt;=24),"Shift 2",IF(AND(Y125&gt;24,Y125&lt;=36),"Shift 3",IF(AND(Y125&gt;36,Y125&lt;=48),"Shift 4",IF(AND(Y125&gt;48,Y125&lt;=60),"Shift 5",IF(AND(Y125&gt;60,Y125&lt;=72),"Shift 6",IF(AND(Y125&gt;72,Y125&lt;=84),"Shift 7",IF(AND(Y125&gt;84,Y125&lt;=96),IF(AND(Y125&gt;84,Y125&lt;=96),"Shift 8",),"Shift 9"))))))))</f>
        <v>#REF!</v>
      </c>
    </row>
    <row r="126" spans="1:147" s="58" customFormat="1" ht="13" x14ac:dyDescent="0.25">
      <c r="A126" s="118"/>
      <c r="B126" s="126">
        <f>D125</f>
        <v>44146.125126412429</v>
      </c>
      <c r="C126" s="125">
        <f>D125</f>
        <v>44146.125126412429</v>
      </c>
      <c r="D126" s="125">
        <f>(E126/24)+C126+(G126/24)</f>
        <v>44146.133459745761</v>
      </c>
      <c r="E126" s="124">
        <v>0.2</v>
      </c>
      <c r="F126" s="124"/>
      <c r="G126" s="123"/>
      <c r="H126" s="119"/>
      <c r="I126" s="122"/>
      <c r="J126" s="118" t="s">
        <v>12</v>
      </c>
      <c r="K126" s="121"/>
      <c r="L126" s="120"/>
      <c r="M126" s="118"/>
      <c r="N126" s="118"/>
      <c r="O126" s="118"/>
      <c r="P126" s="117"/>
      <c r="Q126" s="119"/>
      <c r="R126" s="118"/>
      <c r="S126" s="117"/>
      <c r="T126" s="117"/>
      <c r="U126" s="23"/>
      <c r="V126" s="21"/>
      <c r="W126" s="22"/>
      <c r="X126" s="22"/>
      <c r="Y126" s="21"/>
      <c r="Z126" s="20"/>
      <c r="AA126" s="60"/>
      <c r="AB126" s="60"/>
      <c r="AC126" s="60"/>
      <c r="AD126" s="60"/>
      <c r="AE126" s="60"/>
      <c r="AF126" s="60"/>
      <c r="AG126" s="60"/>
      <c r="AH126" s="60"/>
      <c r="AI126" s="60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  <c r="BD126" s="59"/>
      <c r="BE126" s="59"/>
      <c r="BF126" s="59"/>
      <c r="BG126" s="59"/>
      <c r="BH126" s="59"/>
      <c r="BI126" s="59"/>
      <c r="BJ126" s="59"/>
      <c r="BK126" s="59"/>
      <c r="BL126" s="59"/>
      <c r="BM126" s="59"/>
      <c r="BN126" s="59"/>
      <c r="BO126" s="59"/>
      <c r="BP126" s="59"/>
      <c r="BQ126" s="59"/>
      <c r="BR126" s="59"/>
      <c r="BS126" s="59"/>
      <c r="BT126" s="59"/>
      <c r="BU126" s="59"/>
      <c r="BV126" s="59"/>
      <c r="BW126" s="59"/>
      <c r="BX126" s="59"/>
      <c r="BY126" s="59"/>
      <c r="BZ126" s="59"/>
      <c r="CA126" s="59"/>
      <c r="CB126" s="59"/>
      <c r="CC126" s="59"/>
      <c r="CD126" s="59"/>
      <c r="CE126" s="59"/>
      <c r="CF126" s="59"/>
      <c r="CG126" s="59"/>
      <c r="CH126" s="59"/>
      <c r="CI126" s="59"/>
      <c r="CJ126" s="59"/>
      <c r="CK126" s="59"/>
      <c r="CL126" s="59"/>
      <c r="CM126" s="59"/>
      <c r="CN126" s="59"/>
      <c r="CO126" s="59"/>
      <c r="CP126" s="59"/>
      <c r="CQ126" s="59"/>
      <c r="CR126" s="59"/>
      <c r="CS126" s="59"/>
      <c r="CT126" s="59"/>
      <c r="CU126" s="59"/>
      <c r="CV126" s="59"/>
      <c r="CW126" s="59"/>
      <c r="CX126" s="59"/>
      <c r="CY126" s="59"/>
      <c r="CZ126" s="59"/>
      <c r="DA126" s="59"/>
      <c r="DB126" s="59"/>
      <c r="DC126" s="59"/>
      <c r="DD126" s="59"/>
      <c r="DE126" s="59"/>
      <c r="DF126" s="59"/>
      <c r="DG126" s="59"/>
      <c r="DH126" s="59"/>
      <c r="DI126" s="59"/>
      <c r="DJ126" s="59"/>
      <c r="DK126" s="59"/>
      <c r="DL126" s="59"/>
      <c r="DM126" s="59"/>
      <c r="DN126" s="59"/>
      <c r="DO126" s="59"/>
      <c r="DP126" s="59"/>
      <c r="DQ126" s="59"/>
      <c r="DR126" s="59"/>
      <c r="DS126" s="59"/>
      <c r="DT126" s="59"/>
      <c r="DU126" s="59"/>
      <c r="DV126" s="59"/>
      <c r="DW126" s="59"/>
      <c r="DX126" s="59"/>
      <c r="DY126" s="59"/>
      <c r="DZ126" s="59"/>
      <c r="EA126" s="59"/>
      <c r="EB126" s="59"/>
      <c r="EC126" s="59"/>
      <c r="ED126" s="59"/>
      <c r="EE126" s="59"/>
      <c r="EF126" s="59"/>
      <c r="EG126" s="59"/>
      <c r="EH126" s="59"/>
      <c r="EI126" s="59"/>
      <c r="EJ126" s="59"/>
      <c r="EK126" s="59"/>
      <c r="EL126" s="59"/>
      <c r="EM126" s="59"/>
      <c r="EN126" s="59"/>
      <c r="EO126" s="59"/>
      <c r="EP126" s="59"/>
      <c r="EQ126" s="59"/>
    </row>
    <row r="127" spans="1:147" ht="13" x14ac:dyDescent="0.25">
      <c r="B127" s="116">
        <f>D126</f>
        <v>44146.133459745761</v>
      </c>
      <c r="C127" s="220">
        <f>D126</f>
        <v>44146.133459745761</v>
      </c>
      <c r="D127" s="220">
        <f>(E127/24)+C127+(G127/24)</f>
        <v>44146.17600141243</v>
      </c>
      <c r="E127" s="219">
        <f>INDEX('[1]Work sheet'!$G$2:$G$240,MATCH(I127,'[1]Work sheet'!$K$2:$K$240,0))+IFERROR(IF(FIND("WASH",J125,1)&gt;0,0,0.35),0.2)</f>
        <v>1.0209999999999999</v>
      </c>
      <c r="F127" s="218">
        <f>IFERROR(MROUND((L127/((INDEX('[1]Work sheet'!$G$2:$G$239,MATCH(I127,'[1]Work sheet'!$K$2:$K$239,0))*0.58)*60)),0.5),"")</f>
        <v>8.5</v>
      </c>
      <c r="G127" s="276"/>
      <c r="H127" s="175">
        <f>LEN(J127)-LEN(SUBSTITUTE(J127,",",""))</f>
        <v>0</v>
      </c>
      <c r="I127" s="183">
        <f>'[1]Work sheet'!K110</f>
        <v>1960924</v>
      </c>
      <c r="J127" s="174" t="str">
        <f>VLOOKUP(I127,'[1]Work sheet'!$K$2:L735,2,0)</f>
        <v>OR/A/B-1704.00 P3 36UN CTN 3 BAGS</v>
      </c>
      <c r="K127" s="173">
        <f>VLOOKUP(I127,'[1]Work sheet'!$K$2:O852,3,0)</f>
        <v>81</v>
      </c>
      <c r="L127" s="173">
        <f>VLOOKUP(I127,'[1]Work sheet'!$K$2:O1247,4,0)</f>
        <v>243</v>
      </c>
      <c r="M127" s="171" t="str">
        <f>VLOOKUP(I127,'[1]Work sheet'!$K$2:T1556,10,0)</f>
        <v>603/609</v>
      </c>
      <c r="N127" s="172" t="str">
        <f>IFERROR(VLOOKUP(I127,'[1]PO Numbers'!$R$2:S300,2,0),"TBC")</f>
        <v>106991172</v>
      </c>
      <c r="O127" s="171" t="str">
        <f>IFERROR(VLOOKUP(VALUE(N127),'[1]PO Numbers'!$F$1:$J$400,5,0),"xxx")</f>
        <v>PI01</v>
      </c>
      <c r="P127" s="83" t="str">
        <f>VLOOKUP(I127,'[1]Work sheet'!$K$2:AA1172,13,0)</f>
        <v/>
      </c>
      <c r="Q127" s="170">
        <f>VLOOKUP(I127,'[1]Work sheet'!$K$2:AI837,16,0)</f>
        <v>3.8</v>
      </c>
      <c r="R127" s="168" t="str">
        <f>VLOOKUP(I127,'[1]Work sheet'!$K$2:AA532,17,0)</f>
        <v>2-3KG 603, 1-2KGS 609</v>
      </c>
      <c r="S127" s="169" t="str">
        <f>VLOOKUP(I127,'[1]Work sheet'!$K$2:AL415,28,0)</f>
        <v/>
      </c>
      <c r="T127" s="168" t="str">
        <f>IFERROR(VLOOKUP(I127,[1]Label!$A$1:C1074,3,0),"")</f>
        <v/>
      </c>
      <c r="U127" s="165" t="str">
        <f>IFERROR(IF(OR(VLOOKUP(I127,'[1]Work sheet'!$K$2:U719,11,0)="530",VLOOKUP(I127,'[1]Work sheet'!$K$2:U719,11,0)="526"),"BTO",""),"")</f>
        <v/>
      </c>
      <c r="V127" s="165"/>
      <c r="W127" s="167" t="str">
        <f>IF(COUNTIF('[1]OB Connect'!$F$13:$F$364,N127),"On Openbatch", "No")</f>
        <v>No</v>
      </c>
      <c r="X127" s="166" t="e">
        <f>X125</f>
        <v>#REF!</v>
      </c>
      <c r="Y127" s="274" t="e">
        <f>E127+G127+Y125</f>
        <v>#REF!</v>
      </c>
      <c r="Z127" s="165" t="e">
        <f>IF(Y127&lt;=12,"Shift 1",IF(AND(Y127&gt;12,Y127&lt;=24),"Shift 2",IF(AND(Y127&gt;24,Y127&lt;=36),"Shift 3",IF(AND(Y127&gt;36,Y127&lt;=48),"Shift 4",IF(AND(Y127&gt;48,Y127&lt;=60),"Shift 5",IF(AND(Y127&gt;60,Y127&lt;=72),"Shift 6",IF(AND(Y127&gt;72,Y127&lt;=84),"Shift 7",IF(AND(Y127&gt;84,Y127&lt;=96),IF(AND(Y127&gt;84,Y127&lt;=96),"Shift 8",),"Shift 9"))))))))</f>
        <v>#REF!</v>
      </c>
    </row>
    <row r="128" spans="1:147" ht="13" x14ac:dyDescent="0.25">
      <c r="B128" s="116">
        <f>D127</f>
        <v>44146.17600141243</v>
      </c>
      <c r="C128" s="220">
        <f>D127</f>
        <v>44146.17600141243</v>
      </c>
      <c r="D128" s="220">
        <f>(E128/24)+C128+(G128/24)</f>
        <v>44146.306043079094</v>
      </c>
      <c r="E128" s="219">
        <f>INDEX('[1]Work sheet'!$G$2:$G$240,MATCH(I128,'[1]Work sheet'!$K$2:$K$240,0))+IFERROR(IF(FIND("WASH",J127,1)&gt;0,0,0.35),0.2)</f>
        <v>3.121</v>
      </c>
      <c r="F128" s="218">
        <f>IFERROR(MROUND((L128/((INDEX('[1]Work sheet'!$G$2:$G$239,MATCH(I128,'[1]Work sheet'!$K$2:$K$239,0))*0.58)*60)),0.5),"")</f>
        <v>8.5</v>
      </c>
      <c r="G128" s="217"/>
      <c r="H128" s="175">
        <f>LEN(J128)-LEN(SUBSTITUTE(J128,",",""))</f>
        <v>0</v>
      </c>
      <c r="I128" s="183">
        <f>'[1]Work sheet'!K111</f>
        <v>1982320</v>
      </c>
      <c r="J128" s="174" t="str">
        <f>VLOOKUP(I128,'[1]Work sheet'!$K$2:L736,2,0)</f>
        <v>OR/A/B-1704.00 P3 30UN CTN 2 BAG</v>
      </c>
      <c r="K128" s="173">
        <f>VLOOKUP(I128,'[1]Work sheet'!$K$2:O853,3,0)</f>
        <v>432</v>
      </c>
      <c r="L128" s="173">
        <f>VLOOKUP(I128,'[1]Work sheet'!$K$2:O1248,4,0)</f>
        <v>864</v>
      </c>
      <c r="M128" s="171" t="str">
        <f>VLOOKUP(I128,'[1]Work sheet'!$K$2:T1557,10,0)</f>
        <v>603/609</v>
      </c>
      <c r="N128" s="172" t="str">
        <f>IFERROR(VLOOKUP(I128,'[1]PO Numbers'!$R$2:S301,2,0),"TBC")</f>
        <v>106990353</v>
      </c>
      <c r="O128" s="171" t="str">
        <f>IFERROR(VLOOKUP(VALUE(N128),'[1]PO Numbers'!$F$1:$J$400,5,0),"xxx")</f>
        <v>PI01</v>
      </c>
      <c r="P128" s="83" t="str">
        <f>VLOOKUP(I128,'[1]Work sheet'!$K$2:AA1173,13,0)</f>
        <v/>
      </c>
      <c r="Q128" s="170">
        <f>VLOOKUP(I128,'[1]Work sheet'!$K$2:AI838,16,0)</f>
        <v>4.7549999999999999</v>
      </c>
      <c r="R128" s="168" t="str">
        <f>VLOOKUP(I128,'[1]Work sheet'!$K$2:AA533,17,0)</f>
        <v>3-4Kgs 609, 1-2Kgs 603</v>
      </c>
      <c r="S128" s="169" t="str">
        <f>VLOOKUP(I128,'[1]Work sheet'!$K$2:AL416,28,0)</f>
        <v/>
      </c>
      <c r="T128" s="168" t="str">
        <f>IFERROR(VLOOKUP(I128,[1]Label!$A$1:C1075,3,0),"")</f>
        <v/>
      </c>
      <c r="U128" s="165" t="str">
        <f>IFERROR(IF(OR(VLOOKUP(I128,'[1]Work sheet'!$K$2:U720,11,0)="530",VLOOKUP(I128,'[1]Work sheet'!$K$2:U720,11,0)="526"),"BTO",""),"")</f>
        <v/>
      </c>
      <c r="V128" s="165"/>
      <c r="W128" s="167" t="str">
        <f>IF(COUNTIF('[1]OB Connect'!$F$13:$F$364,N128),"On Openbatch", "No")</f>
        <v>No</v>
      </c>
      <c r="X128" s="166" t="e">
        <f>X127</f>
        <v>#REF!</v>
      </c>
      <c r="Y128" s="274" t="e">
        <f>E128+G128+Y127</f>
        <v>#REF!</v>
      </c>
      <c r="Z128" s="165" t="e">
        <f>IF(Y128&lt;=12,"Shift 1",IF(AND(Y128&gt;12,Y128&lt;=24),"Shift 2",IF(AND(Y128&gt;24,Y128&lt;=36),"Shift 3",IF(AND(Y128&gt;36,Y128&lt;=48),"Shift 4",IF(AND(Y128&gt;48,Y128&lt;=60),"Shift 5",IF(AND(Y128&gt;60,Y128&lt;=72),"Shift 6",IF(AND(Y128&gt;72,Y128&lt;=84),"Shift 7",IF(AND(Y128&gt;84,Y128&lt;=96),IF(AND(Y128&gt;84,Y128&lt;=96),"Shift 8",),"Shift 9"))))))))</f>
        <v>#REF!</v>
      </c>
    </row>
    <row r="129" spans="1:147" s="58" customFormat="1" ht="13" x14ac:dyDescent="0.25">
      <c r="A129" s="118"/>
      <c r="B129" s="126">
        <f>D128</f>
        <v>44146.306043079094</v>
      </c>
      <c r="C129" s="125">
        <f>D128</f>
        <v>44146.306043079094</v>
      </c>
      <c r="D129" s="125">
        <f>(E129/24)+C129+(G129/24)</f>
        <v>44146.347709745758</v>
      </c>
      <c r="E129" s="124">
        <v>1</v>
      </c>
      <c r="F129" s="124"/>
      <c r="G129" s="123"/>
      <c r="H129" s="119"/>
      <c r="I129" s="122"/>
      <c r="J129" s="118" t="s">
        <v>63</v>
      </c>
      <c r="K129" s="121"/>
      <c r="L129" s="120"/>
      <c r="M129" s="118"/>
      <c r="N129" s="118"/>
      <c r="O129" s="118"/>
      <c r="P129" s="117"/>
      <c r="Q129" s="119"/>
      <c r="R129" s="118"/>
      <c r="S129" s="117"/>
      <c r="T129" s="117"/>
      <c r="U129" s="23"/>
      <c r="V129" s="21"/>
      <c r="W129" s="22"/>
      <c r="X129" s="22"/>
      <c r="Y129" s="21"/>
      <c r="Z129" s="20"/>
      <c r="AA129" s="60"/>
      <c r="AB129" s="60"/>
      <c r="AC129" s="60"/>
      <c r="AD129" s="60"/>
      <c r="AE129" s="60"/>
      <c r="AF129" s="60"/>
      <c r="AG129" s="60"/>
      <c r="AH129" s="60"/>
      <c r="AI129" s="60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  <c r="BC129" s="59"/>
      <c r="BD129" s="59"/>
      <c r="BE129" s="59"/>
      <c r="BF129" s="59"/>
      <c r="BG129" s="59"/>
      <c r="BH129" s="59"/>
      <c r="BI129" s="59"/>
      <c r="BJ129" s="59"/>
      <c r="BK129" s="59"/>
      <c r="BL129" s="59"/>
      <c r="BM129" s="59"/>
      <c r="BN129" s="59"/>
      <c r="BO129" s="59"/>
      <c r="BP129" s="59"/>
      <c r="BQ129" s="59"/>
      <c r="BR129" s="59"/>
      <c r="BS129" s="59"/>
      <c r="BT129" s="59"/>
      <c r="BU129" s="59"/>
      <c r="BV129" s="59"/>
      <c r="BW129" s="59"/>
      <c r="BX129" s="59"/>
      <c r="BY129" s="59"/>
      <c r="BZ129" s="59"/>
      <c r="CA129" s="59"/>
      <c r="CB129" s="59"/>
      <c r="CC129" s="59"/>
      <c r="CD129" s="59"/>
      <c r="CE129" s="59"/>
      <c r="CF129" s="59"/>
      <c r="CG129" s="59"/>
      <c r="CH129" s="59"/>
      <c r="CI129" s="59"/>
      <c r="CJ129" s="59"/>
      <c r="CK129" s="59"/>
      <c r="CL129" s="59"/>
      <c r="CM129" s="59"/>
      <c r="CN129" s="59"/>
      <c r="CO129" s="59"/>
      <c r="CP129" s="59"/>
      <c r="CQ129" s="59"/>
      <c r="CR129" s="59"/>
      <c r="CS129" s="59"/>
      <c r="CT129" s="59"/>
      <c r="CU129" s="59"/>
      <c r="CV129" s="59"/>
      <c r="CW129" s="59"/>
      <c r="CX129" s="59"/>
      <c r="CY129" s="59"/>
      <c r="CZ129" s="59"/>
      <c r="DA129" s="59"/>
      <c r="DB129" s="59"/>
      <c r="DC129" s="59"/>
      <c r="DD129" s="59"/>
      <c r="DE129" s="59"/>
      <c r="DF129" s="59"/>
      <c r="DG129" s="59"/>
      <c r="DH129" s="59"/>
      <c r="DI129" s="59"/>
      <c r="DJ129" s="59"/>
      <c r="DK129" s="59"/>
      <c r="DL129" s="59"/>
      <c r="DM129" s="59"/>
      <c r="DN129" s="59"/>
      <c r="DO129" s="59"/>
      <c r="DP129" s="59"/>
      <c r="DQ129" s="59"/>
      <c r="DR129" s="59"/>
      <c r="DS129" s="59"/>
      <c r="DT129" s="59"/>
      <c r="DU129" s="59"/>
      <c r="DV129" s="59"/>
      <c r="DW129" s="59"/>
      <c r="DX129" s="59"/>
      <c r="DY129" s="59"/>
      <c r="DZ129" s="59"/>
      <c r="EA129" s="59"/>
      <c r="EB129" s="59"/>
      <c r="EC129" s="59"/>
      <c r="ED129" s="59"/>
      <c r="EE129" s="59"/>
      <c r="EF129" s="59"/>
      <c r="EG129" s="59"/>
      <c r="EH129" s="59"/>
      <c r="EI129" s="59"/>
      <c r="EJ129" s="59"/>
      <c r="EK129" s="59"/>
      <c r="EL129" s="59"/>
      <c r="EM129" s="59"/>
      <c r="EN129" s="59"/>
      <c r="EO129" s="59"/>
      <c r="EP129" s="59"/>
      <c r="EQ129" s="59"/>
    </row>
    <row r="130" spans="1:147" ht="13" x14ac:dyDescent="0.25">
      <c r="B130" s="116">
        <f>D129</f>
        <v>44146.347709745758</v>
      </c>
      <c r="C130" s="220">
        <f>D129</f>
        <v>44146.347709745758</v>
      </c>
      <c r="D130" s="220">
        <f>(E130/24)+C130+(G130/24)</f>
        <v>44146.371251412427</v>
      </c>
      <c r="E130" s="219">
        <f>INDEX('[1]Work sheet'!$G$2:$G$240,MATCH(I130,'[1]Work sheet'!$K$2:$K$240,0))+IFERROR(IF(FIND("WASH",J128,1)&gt;0,0,0.35),0.2)</f>
        <v>0.56499999999999995</v>
      </c>
      <c r="F130" s="218">
        <f>IFERROR(MROUND((L130/((INDEX('[1]Work sheet'!$G$2:$G$239,MATCH(I130,'[1]Work sheet'!$K$2:$K$239,0))*0.58)*60)),0.5),"")</f>
        <v>8.5</v>
      </c>
      <c r="G130" s="217"/>
      <c r="H130" s="175">
        <f>LEN(J130)-LEN(SUBSTITUTE(J130,",",""))</f>
        <v>0</v>
      </c>
      <c r="I130" s="183">
        <f>'[1]Work sheet'!K112</f>
        <v>1379549</v>
      </c>
      <c r="J130" s="174" t="str">
        <f>VLOOKUP(I130,'[1]Work sheet'!$K$2:L737,2,0)</f>
        <v>WIP BT/LE/4-82.10 P3 1UN BAG</v>
      </c>
      <c r="K130" s="173">
        <f>VLOOKUP(I130,'[1]Work sheet'!$K$2:O854,3,0)</f>
        <v>108</v>
      </c>
      <c r="L130" s="173">
        <f>VLOOKUP(I130,'[1]Work sheet'!$K$2:O1249,4,0)</f>
        <v>108</v>
      </c>
      <c r="M130" s="171">
        <f>VLOOKUP(I130,'[1]Work sheet'!$K$2:T1558,10,0)</f>
        <v>603</v>
      </c>
      <c r="N130" s="172" t="str">
        <f>IFERROR(VLOOKUP(I130,'[1]PO Numbers'!$R$2:S302,2,0),"TBC")</f>
        <v>106991193</v>
      </c>
      <c r="O130" s="171" t="str">
        <f>IFERROR(VLOOKUP(VALUE(N130),'[1]PO Numbers'!$F$1:$J$400,5,0),"xxx")</f>
        <v>PI01</v>
      </c>
      <c r="P130" s="83" t="str">
        <f>VLOOKUP(I130,'[1]Work sheet'!$K$2:AA1174,13,0)</f>
        <v/>
      </c>
      <c r="Q130" s="170">
        <f>VLOOKUP(I130,'[1]Work sheet'!$K$2:AI839,16,0)</f>
        <v>0.2</v>
      </c>
      <c r="R130" s="168" t="str">
        <f>VLOOKUP(I130,'[1]Work sheet'!$K$2:AA534,17,0)</f>
        <v>0-1Kgs 603</v>
      </c>
      <c r="S130" s="169" t="str">
        <f>VLOOKUP(I130,'[1]Work sheet'!$K$2:AL417,28,0)</f>
        <v/>
      </c>
      <c r="T130" s="168" t="str">
        <f>IFERROR(VLOOKUP(I130,[1]Label!$A$1:C1076,3,0),"")</f>
        <v/>
      </c>
      <c r="U130" s="165" t="str">
        <f>IFERROR(IF(OR(VLOOKUP(I130,'[1]Work sheet'!$K$2:U721,11,0)="530",VLOOKUP(I130,'[1]Work sheet'!$K$2:U721,11,0)="526"),"BTO",""),"")</f>
        <v/>
      </c>
      <c r="V130" s="165"/>
      <c r="W130" s="167" t="str">
        <f>IF(COUNTIF('[1]OB Connect'!$F$13:$F$364,N130),"On Openbatch", "No")</f>
        <v>No</v>
      </c>
      <c r="X130" s="166" t="e">
        <f>X128</f>
        <v>#REF!</v>
      </c>
      <c r="Y130" s="274" t="e">
        <f>E130+G130+Y128</f>
        <v>#REF!</v>
      </c>
      <c r="Z130" s="165" t="e">
        <f>IF(Y130&lt;=12,"Shift 1",IF(AND(Y130&gt;12,Y130&lt;=24),"Shift 2",IF(AND(Y130&gt;24,Y130&lt;=36),"Shift 3",IF(AND(Y130&gt;36,Y130&lt;=48),"Shift 4",IF(AND(Y130&gt;48,Y130&lt;=60),"Shift 5",IF(AND(Y130&gt;60,Y130&lt;=72),"Shift 6",IF(AND(Y130&gt;72,Y130&lt;=84),"Shift 7",IF(AND(Y130&gt;84,Y130&lt;=96),IF(AND(Y130&gt;84,Y130&lt;=96),"Shift 8",),"Shift 9"))))))))</f>
        <v>#REF!</v>
      </c>
    </row>
    <row r="131" spans="1:147" ht="13" x14ac:dyDescent="0.25">
      <c r="B131" s="116">
        <f>D130</f>
        <v>44146.371251412427</v>
      </c>
      <c r="C131" s="220">
        <f>D130</f>
        <v>44146.371251412427</v>
      </c>
      <c r="D131" s="220">
        <f>(E131/24)+C131+(G131/24)</f>
        <v>44146.398584745759</v>
      </c>
      <c r="E131" s="219">
        <f>INDEX('[1]Work sheet'!$G$2:$G$240,MATCH(I131,'[1]Work sheet'!$K$2:$K$240,0))+IFERROR(IF(FIND("WASH",J130,1)&gt;0,0,0.35),0.2)</f>
        <v>0.65600000000000003</v>
      </c>
      <c r="F131" s="218">
        <f>IFERROR(MROUND((L131/((INDEX('[1]Work sheet'!$G$2:$G$239,MATCH(I131,'[1]Work sheet'!$K$2:$K$239,0))*0.58)*60)),0.5),"")</f>
        <v>8.5</v>
      </c>
      <c r="G131" s="276"/>
      <c r="H131" s="175">
        <f>LEN(J131)-LEN(SUBSTITUTE(J131,",",""))</f>
        <v>0</v>
      </c>
      <c r="I131" s="183">
        <f>'[1]Work sheet'!K113</f>
        <v>1924297</v>
      </c>
      <c r="J131" s="174" t="str">
        <f>VLOOKUP(I131,'[1]Work sheet'!$K$2:L738,2,0)</f>
        <v>BT/LE/4-82.90 P3 20UN CTN 5 BAG CQ</v>
      </c>
      <c r="K131" s="173">
        <f>VLOOKUP(I131,'[1]Work sheet'!$K$2:O855,3,0)</f>
        <v>27</v>
      </c>
      <c r="L131" s="173">
        <f>VLOOKUP(I131,'[1]Work sheet'!$K$2:O1250,4,0)</f>
        <v>135</v>
      </c>
      <c r="M131" s="171" t="str">
        <f>VLOOKUP(I131,'[1]Work sheet'!$K$2:T1559,10,0)</f>
        <v>616/603</v>
      </c>
      <c r="N131" s="172" t="str">
        <f>IFERROR(VLOOKUP(I131,'[1]PO Numbers'!$R$2:S303,2,0),"TBC")</f>
        <v>106990348</v>
      </c>
      <c r="O131" s="171" t="str">
        <f>IFERROR(VLOOKUP(VALUE(N131),'[1]PO Numbers'!$F$1:$J$400,5,0),"xxx")</f>
        <v>PI01</v>
      </c>
      <c r="P131" s="83" t="str">
        <f>VLOOKUP(I131,'[1]Work sheet'!$K$2:AA1175,13,0)</f>
        <v/>
      </c>
      <c r="Q131" s="170">
        <f>VLOOKUP(I131,'[1]Work sheet'!$K$2:AI840,16,0)</f>
        <v>2.2400000000000002</v>
      </c>
      <c r="R131" s="168" t="str">
        <f>VLOOKUP(I131,'[1]Work sheet'!$K$2:AA535,17,0)</f>
        <v>1-2Kgs 616, 0-1Kgs 603</v>
      </c>
      <c r="S131" s="169" t="str">
        <f>VLOOKUP(I131,'[1]Work sheet'!$K$2:AL418,28,0)</f>
        <v/>
      </c>
      <c r="T131" s="168" t="str">
        <f>IFERROR(VLOOKUP(I131,[1]Label!$A$1:C1077,3,0),"")</f>
        <v/>
      </c>
      <c r="U131" s="165" t="str">
        <f>IFERROR(IF(OR(VLOOKUP(I131,'[1]Work sheet'!$K$2:U722,11,0)="530",VLOOKUP(I131,'[1]Work sheet'!$K$2:U722,11,0)="526"),"BTO",""),"")</f>
        <v/>
      </c>
      <c r="V131" s="165"/>
      <c r="W131" s="167" t="str">
        <f>IF(COUNTIF('[1]OB Connect'!$F$13:$F$364,N131),"On Openbatch", "No")</f>
        <v>No</v>
      </c>
      <c r="X131" s="166" t="e">
        <f>X130</f>
        <v>#REF!</v>
      </c>
      <c r="Y131" s="274" t="e">
        <f>E131+G131+Y130</f>
        <v>#REF!</v>
      </c>
      <c r="Z131" s="165" t="e">
        <f>IF(Y131&lt;=12,"Shift 1",IF(AND(Y131&gt;12,Y131&lt;=24),"Shift 2",IF(AND(Y131&gt;24,Y131&lt;=36),"Shift 3",IF(AND(Y131&gt;36,Y131&lt;=48),"Shift 4",IF(AND(Y131&gt;48,Y131&lt;=60),"Shift 5",IF(AND(Y131&gt;60,Y131&lt;=72),"Shift 6",IF(AND(Y131&gt;72,Y131&lt;=84),"Shift 7",IF(AND(Y131&gt;84,Y131&lt;=96),IF(AND(Y131&gt;84,Y131&lt;=96),"Shift 8",),"Shift 9"))))))))</f>
        <v>#REF!</v>
      </c>
    </row>
    <row r="132" spans="1:147" s="58" customFormat="1" ht="13" x14ac:dyDescent="0.25">
      <c r="A132" s="118"/>
      <c r="B132" s="126">
        <f>D131</f>
        <v>44146.398584745759</v>
      </c>
      <c r="C132" s="125">
        <f>D131</f>
        <v>44146.398584745759</v>
      </c>
      <c r="D132" s="125">
        <f>(E132/24)+C132+(G132/24)</f>
        <v>44146.440251412423</v>
      </c>
      <c r="E132" s="124">
        <v>1</v>
      </c>
      <c r="F132" s="124"/>
      <c r="G132" s="123"/>
      <c r="H132" s="119"/>
      <c r="I132" s="122"/>
      <c r="J132" s="118" t="s">
        <v>63</v>
      </c>
      <c r="K132" s="121"/>
      <c r="L132" s="120"/>
      <c r="M132" s="118"/>
      <c r="N132" s="118"/>
      <c r="O132" s="118"/>
      <c r="P132" s="117"/>
      <c r="Q132" s="119"/>
      <c r="R132" s="118"/>
      <c r="S132" s="117"/>
      <c r="T132" s="117"/>
      <c r="U132" s="23"/>
      <c r="V132" s="21"/>
      <c r="W132" s="22"/>
      <c r="X132" s="22"/>
      <c r="Y132" s="21"/>
      <c r="Z132" s="20"/>
      <c r="AA132" s="60"/>
      <c r="AB132" s="60"/>
      <c r="AC132" s="60"/>
      <c r="AD132" s="60"/>
      <c r="AE132" s="60"/>
      <c r="AF132" s="60"/>
      <c r="AG132" s="60"/>
      <c r="AH132" s="60"/>
      <c r="AI132" s="60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  <c r="BC132" s="59"/>
      <c r="BD132" s="59"/>
      <c r="BE132" s="59"/>
      <c r="BF132" s="59"/>
      <c r="BG132" s="59"/>
      <c r="BH132" s="59"/>
      <c r="BI132" s="59"/>
      <c r="BJ132" s="59"/>
      <c r="BK132" s="59"/>
      <c r="BL132" s="59"/>
      <c r="BM132" s="59"/>
      <c r="BN132" s="59"/>
      <c r="BO132" s="59"/>
      <c r="BP132" s="59"/>
      <c r="BQ132" s="59"/>
      <c r="BR132" s="59"/>
      <c r="BS132" s="59"/>
      <c r="BT132" s="59"/>
      <c r="BU132" s="59"/>
      <c r="BV132" s="59"/>
      <c r="BW132" s="59"/>
      <c r="BX132" s="59"/>
      <c r="BY132" s="59"/>
      <c r="BZ132" s="59"/>
      <c r="CA132" s="59"/>
      <c r="CB132" s="59"/>
      <c r="CC132" s="59"/>
      <c r="CD132" s="59"/>
      <c r="CE132" s="59"/>
      <c r="CF132" s="59"/>
      <c r="CG132" s="59"/>
      <c r="CH132" s="59"/>
      <c r="CI132" s="59"/>
      <c r="CJ132" s="59"/>
      <c r="CK132" s="59"/>
      <c r="CL132" s="59"/>
      <c r="CM132" s="59"/>
      <c r="CN132" s="59"/>
      <c r="CO132" s="59"/>
      <c r="CP132" s="59"/>
      <c r="CQ132" s="59"/>
      <c r="CR132" s="59"/>
      <c r="CS132" s="59"/>
      <c r="CT132" s="59"/>
      <c r="CU132" s="59"/>
      <c r="CV132" s="59"/>
      <c r="CW132" s="59"/>
      <c r="CX132" s="59"/>
      <c r="CY132" s="59"/>
      <c r="CZ132" s="59"/>
      <c r="DA132" s="59"/>
      <c r="DB132" s="59"/>
      <c r="DC132" s="59"/>
      <c r="DD132" s="59"/>
      <c r="DE132" s="59"/>
      <c r="DF132" s="59"/>
      <c r="DG132" s="59"/>
      <c r="DH132" s="59"/>
      <c r="DI132" s="59"/>
      <c r="DJ132" s="59"/>
      <c r="DK132" s="59"/>
      <c r="DL132" s="59"/>
      <c r="DM132" s="59"/>
      <c r="DN132" s="59"/>
      <c r="DO132" s="59"/>
      <c r="DP132" s="59"/>
      <c r="DQ132" s="59"/>
      <c r="DR132" s="59"/>
      <c r="DS132" s="59"/>
      <c r="DT132" s="59"/>
      <c r="DU132" s="59"/>
      <c r="DV132" s="59"/>
      <c r="DW132" s="59"/>
      <c r="DX132" s="59"/>
      <c r="DY132" s="59"/>
      <c r="DZ132" s="59"/>
      <c r="EA132" s="59"/>
      <c r="EB132" s="59"/>
      <c r="EC132" s="59"/>
      <c r="ED132" s="59"/>
      <c r="EE132" s="59"/>
      <c r="EF132" s="59"/>
      <c r="EG132" s="59"/>
      <c r="EH132" s="59"/>
      <c r="EI132" s="59"/>
      <c r="EJ132" s="59"/>
      <c r="EK132" s="59"/>
      <c r="EL132" s="59"/>
      <c r="EM132" s="59"/>
      <c r="EN132" s="59"/>
      <c r="EO132" s="59"/>
      <c r="EP132" s="59"/>
      <c r="EQ132" s="59"/>
    </row>
    <row r="133" spans="1:147" ht="13" x14ac:dyDescent="0.25">
      <c r="B133" s="116">
        <f>D132</f>
        <v>44146.440251412423</v>
      </c>
      <c r="C133" s="220">
        <f>D132</f>
        <v>44146.440251412423</v>
      </c>
      <c r="D133" s="220">
        <f>(E133/24)+C133+(G133/24)</f>
        <v>44146.459584745753</v>
      </c>
      <c r="E133" s="219">
        <f>INDEX('[1]Work sheet'!$G$2:$G$240,MATCH(I133,'[1]Work sheet'!$K$2:$K$240,0))+IFERROR(IF(FIND("WASH",J131,1)&gt;0,0,0.35),0.2)</f>
        <v>0.46400000000000002</v>
      </c>
      <c r="F133" s="218">
        <f>IFERROR(MROUND((L133/((INDEX('[1]Work sheet'!$G$2:$G$239,MATCH(I133,'[1]Work sheet'!$K$2:$K$239,0))*0.58)*60)),0.5),"")</f>
        <v>8</v>
      </c>
      <c r="G133" s="217"/>
      <c r="H133" s="175">
        <f>LEN(J133)-LEN(SUBSTITUTE(J133,",",""))</f>
        <v>0</v>
      </c>
      <c r="I133" s="183">
        <f>'[1]Work sheet'!K114</f>
        <v>2006152</v>
      </c>
      <c r="J133" s="174" t="str">
        <f>VLOOKUP(I133,'[1]Work sheet'!$K$2:L739,2,0)</f>
        <v>CC/B-1.00 P3 225UN CTN 3 BAG</v>
      </c>
      <c r="K133" s="173">
        <f>VLOOKUP(I133,'[1]Work sheet'!$K$2:O856,3,0)</f>
        <v>26</v>
      </c>
      <c r="L133" s="173">
        <f>VLOOKUP(I133,'[1]Work sheet'!$K$2:O1251,4,0)</f>
        <v>72</v>
      </c>
      <c r="M133" s="171">
        <f>VLOOKUP(I133,'[1]Work sheet'!$K$2:T1560,10,0)</f>
        <v>6171</v>
      </c>
      <c r="N133" s="172" t="str">
        <f>IFERROR(VLOOKUP(I133,'[1]PO Numbers'!$R$2:S304,2,0),"TBC")</f>
        <v>106991161</v>
      </c>
      <c r="O133" s="171" t="str">
        <f>IFERROR(VLOOKUP(VALUE(N133),'[1]PO Numbers'!$F$1:$J$400,5,0),"xxx")</f>
        <v>PI01</v>
      </c>
      <c r="P133" s="83" t="str">
        <f>VLOOKUP(I133,'[1]Work sheet'!$K$2:AA1176,13,0)</f>
        <v/>
      </c>
      <c r="Q133" s="170">
        <f>VLOOKUP(I133,'[1]Work sheet'!$K$2:AI841,16,0)</f>
        <v>6.3319999999999999</v>
      </c>
      <c r="R133" s="168" t="str">
        <f>VLOOKUP(I133,'[1]Work sheet'!$K$2:AA536,17,0)</f>
        <v>6-7Kgs 6171</v>
      </c>
      <c r="S133" s="169" t="str">
        <f>VLOOKUP(I133,'[1]Work sheet'!$K$2:AL419,28,0)</f>
        <v/>
      </c>
      <c r="T133" s="168" t="str">
        <f>IFERROR(VLOOKUP(I133,[1]Label!$A$1:C1078,3,0),"")</f>
        <v/>
      </c>
      <c r="U133" s="165" t="str">
        <f>IFERROR(IF(OR(VLOOKUP(I133,'[1]Work sheet'!$K$2:U723,11,0)="530",VLOOKUP(I133,'[1]Work sheet'!$K$2:U723,11,0)="526"),"BTO",""),"")</f>
        <v/>
      </c>
      <c r="V133" s="165"/>
      <c r="W133" s="167" t="str">
        <f>IF(COUNTIF('[1]OB Connect'!$F$13:$F$364,N133),"On Openbatch", "No")</f>
        <v>No</v>
      </c>
      <c r="X133" s="166" t="e">
        <f>X131</f>
        <v>#REF!</v>
      </c>
      <c r="Y133" s="274" t="e">
        <f>E133+G133+Y131</f>
        <v>#REF!</v>
      </c>
      <c r="Z133" s="165" t="e">
        <f>IF(Y133&lt;=12,"Shift 1",IF(AND(Y133&gt;12,Y133&lt;=24),"Shift 2",IF(AND(Y133&gt;24,Y133&lt;=36),"Shift 3",IF(AND(Y133&gt;36,Y133&lt;=48),"Shift 4",IF(AND(Y133&gt;48,Y133&lt;=60),"Shift 5",IF(AND(Y133&gt;60,Y133&lt;=72),"Shift 6",IF(AND(Y133&gt;72,Y133&lt;=84),"Shift 7",IF(AND(Y133&gt;84,Y133&lt;=96),IF(AND(Y133&gt;84,Y133&lt;=96),"Shift 8",),"Shift 9"))))))))</f>
        <v>#REF!</v>
      </c>
    </row>
    <row r="134" spans="1:147" ht="25" x14ac:dyDescent="0.25">
      <c r="B134" s="116">
        <f>D133</f>
        <v>44146.459584745753</v>
      </c>
      <c r="C134" s="220">
        <f>D133</f>
        <v>44146.459584745753</v>
      </c>
      <c r="D134" s="220">
        <f>(E134/24)+C134+(G134/24)</f>
        <v>44146.479334745753</v>
      </c>
      <c r="E134" s="219">
        <f>INDEX('[1]Work sheet'!$G$2:$G$240,MATCH(I134,'[1]Work sheet'!$K$2:$K$240,0))+IFERROR(IF(FIND("WASH",J133,1)&gt;0,0,0.35),0.2)</f>
        <v>0.47400000000000003</v>
      </c>
      <c r="F134" s="218">
        <f>IFERROR(MROUND((L134/((INDEX('[1]Work sheet'!$G$2:$G$239,MATCH(I134,'[1]Work sheet'!$K$2:$K$239,0))*0.58)*60)),0.5),"")</f>
        <v>8.5</v>
      </c>
      <c r="G134" s="217"/>
      <c r="H134" s="175">
        <f>LEN(J134)-LEN(SUBSTITUTE(J134,",",""))</f>
        <v>0</v>
      </c>
      <c r="I134" s="183">
        <f>'[1]Work sheet'!K115</f>
        <v>2010292</v>
      </c>
      <c r="J134" s="174" t="str">
        <f>VLOOKUP(I134,'[1]Work sheet'!$K$2:L740,2,0)</f>
        <v>MA/D-159.50 P3 8UN CTN 1 BAG</v>
      </c>
      <c r="K134" s="173">
        <f>VLOOKUP(I134,'[1]Work sheet'!$K$2:O857,3,0)</f>
        <v>81</v>
      </c>
      <c r="L134" s="173">
        <f>VLOOKUP(I134,'[1]Work sheet'!$K$2:O1252,4,0)</f>
        <v>81</v>
      </c>
      <c r="M134" s="171" t="str">
        <f>VLOOKUP(I134,'[1]Work sheet'!$K$2:T1561,10,0)</f>
        <v>ASP/616/6171</v>
      </c>
      <c r="N134" s="172" t="str">
        <f>IFERROR(VLOOKUP(I134,'[1]PO Numbers'!$R$2:S305,2,0),"TBC")</f>
        <v>106991157</v>
      </c>
      <c r="O134" s="171" t="str">
        <f>IFERROR(VLOOKUP(VALUE(N134),'[1]PO Numbers'!$F$1:$J$400,5,0),"xxx")</f>
        <v>PI01</v>
      </c>
      <c r="P134" s="83" t="str">
        <f>VLOOKUP(I134,'[1]Work sheet'!$K$2:AA1177,13,0)</f>
        <v/>
      </c>
      <c r="Q134" s="170">
        <f>VLOOKUP(I134,'[1]Work sheet'!$K$2:AI842,16,0)</f>
        <v>4.1040000000000001</v>
      </c>
      <c r="R134" s="168" t="str">
        <f>VLOOKUP(I134,'[1]Work sheet'!$K$2:AA537,17,0)</f>
        <v>2-3Kgs 616, 1-2Kgs ASP, 0-1Kgs 6171</v>
      </c>
      <c r="S134" s="169" t="str">
        <f>VLOOKUP(I134,'[1]Work sheet'!$K$2:AL420,28,0)</f>
        <v/>
      </c>
      <c r="T134" s="168" t="str">
        <f>IFERROR(VLOOKUP(I134,[1]Label!$A$1:C1079,3,0),"")</f>
        <v/>
      </c>
      <c r="U134" s="165" t="str">
        <f>IFERROR(IF(OR(VLOOKUP(I134,'[1]Work sheet'!$K$2:U724,11,0)="530",VLOOKUP(I134,'[1]Work sheet'!$K$2:U724,11,0)="526"),"BTO",""),"")</f>
        <v/>
      </c>
      <c r="V134" s="165"/>
      <c r="W134" s="167" t="str">
        <f>IF(COUNTIF('[1]OB Connect'!$F$13:$F$364,N134),"On Openbatch", "No")</f>
        <v>No</v>
      </c>
      <c r="X134" s="166" t="e">
        <f>X133</f>
        <v>#REF!</v>
      </c>
      <c r="Y134" s="274" t="e">
        <f>E134+G134+Y133</f>
        <v>#REF!</v>
      </c>
      <c r="Z134" s="165" t="e">
        <f>IF(Y134&lt;=12,"Shift 1",IF(AND(Y134&gt;12,Y134&lt;=24),"Shift 2",IF(AND(Y134&gt;24,Y134&lt;=36),"Shift 3",IF(AND(Y134&gt;36,Y134&lt;=48),"Shift 4",IF(AND(Y134&gt;48,Y134&lt;=60),"Shift 5",IF(AND(Y134&gt;60,Y134&lt;=72),"Shift 6",IF(AND(Y134&gt;72,Y134&lt;=84),"Shift 7",IF(AND(Y134&gt;84,Y134&lt;=96),IF(AND(Y134&gt;84,Y134&lt;=96),"Shift 8",),"Shift 9"))))))))</f>
        <v>#REF!</v>
      </c>
    </row>
    <row r="135" spans="1:147" ht="25" x14ac:dyDescent="0.25">
      <c r="B135" s="116">
        <f>D134</f>
        <v>44146.479334745753</v>
      </c>
      <c r="C135" s="220">
        <f>D134</f>
        <v>44146.479334745753</v>
      </c>
      <c r="D135" s="220">
        <f>(E135/24)+C135+(G135/24)</f>
        <v>44146.490209745753</v>
      </c>
      <c r="E135" s="219">
        <f>INDEX('[1]Work sheet'!$G$2:$G$240,MATCH(I135,'[1]Work sheet'!$K$2:$K$240,0))+IFERROR(IF(FIND("WASH",J134,1)&gt;0,0,0.35),0.2)</f>
        <v>0.26100000000000001</v>
      </c>
      <c r="F135" s="218">
        <f>IFERROR(MROUND((L135/((INDEX('[1]Work sheet'!$G$2:$G$239,MATCH(I135,'[1]Work sheet'!$K$2:$K$239,0))*0.58)*60)),0.5),"")</f>
        <v>8.5</v>
      </c>
      <c r="G135" s="217"/>
      <c r="H135" s="175">
        <f>LEN(J135)-LEN(SUBSTITUTE(J135,",",""))</f>
        <v>1</v>
      </c>
      <c r="I135" s="183">
        <f>'[1]Work sheet'!K116</f>
        <v>2074216</v>
      </c>
      <c r="J135" s="174" t="str">
        <f>VLOOKUP(I135,'[1]Work sheet'!$K$2:L741,2,0)</f>
        <v>RA/D-16.601 P3,1B 10UN CTN 1BAG</v>
      </c>
      <c r="K135" s="173">
        <f>VLOOKUP(I135,'[1]Work sheet'!$K$2:O858,3,0)</f>
        <v>18</v>
      </c>
      <c r="L135" s="173">
        <f>VLOOKUP(I135,'[1]Work sheet'!$K$2:O1253,4,0)</f>
        <v>18</v>
      </c>
      <c r="M135" s="171" t="str">
        <f>VLOOKUP(I135,'[1]Work sheet'!$K$2:T1562,10,0)</f>
        <v>ASP/616/6171</v>
      </c>
      <c r="N135" s="172" t="str">
        <f>IFERROR(VLOOKUP(I135,'[1]PO Numbers'!$R$2:S306,2,0),"TBC")</f>
        <v>106991166</v>
      </c>
      <c r="O135" s="171" t="str">
        <f>IFERROR(VLOOKUP(VALUE(N135),'[1]PO Numbers'!$F$1:$J$400,5,0),"xxx")</f>
        <v>PI01</v>
      </c>
      <c r="P135" s="83" t="str">
        <f>VLOOKUP(I135,'[1]Work sheet'!$K$2:AA1178,13,0)</f>
        <v>1 of 1009573 (811)</v>
      </c>
      <c r="Q135" s="170">
        <f>VLOOKUP(I135,'[1]Work sheet'!$K$2:AI843,16,0)</f>
        <v>5.2309999999999999</v>
      </c>
      <c r="R135" s="168" t="str">
        <f>VLOOKUP(I135,'[1]Work sheet'!$K$2:AA538,17,0)</f>
        <v>2-3Kgs 616, 1-2Kgs ASP, 1-2Kgs 6171</v>
      </c>
      <c r="S135" s="169" t="str">
        <f>VLOOKUP(I135,'[1]Work sheet'!$K$2:AL421,28,0)</f>
        <v/>
      </c>
      <c r="T135" s="168" t="str">
        <f>IFERROR(VLOOKUP(I135,[1]Label!$A$1:C1080,3,0),"")</f>
        <v/>
      </c>
      <c r="U135" s="165" t="str">
        <f>IFERROR(IF(OR(VLOOKUP(I135,'[1]Work sheet'!$K$2:U725,11,0)="530",VLOOKUP(I135,'[1]Work sheet'!$K$2:U725,11,0)="526"),"BTO",""),"")</f>
        <v/>
      </c>
      <c r="V135" s="165"/>
      <c r="W135" s="167" t="str">
        <f>IF(COUNTIF('[1]OB Connect'!$F$13:$F$364,N135),"On Openbatch", "No")</f>
        <v>No</v>
      </c>
      <c r="X135" s="166" t="e">
        <f>X134</f>
        <v>#REF!</v>
      </c>
      <c r="Y135" s="274" t="e">
        <f>E135+G135+Y134</f>
        <v>#REF!</v>
      </c>
      <c r="Z135" s="165" t="e">
        <f>IF(Y135&lt;=12,"Shift 1",IF(AND(Y135&gt;12,Y135&lt;=24),"Shift 2",IF(AND(Y135&gt;24,Y135&lt;=36),"Shift 3",IF(AND(Y135&gt;36,Y135&lt;=48),"Shift 4",IF(AND(Y135&gt;48,Y135&lt;=60),"Shift 5",IF(AND(Y135&gt;60,Y135&lt;=72),"Shift 6",IF(AND(Y135&gt;72,Y135&lt;=84),"Shift 7",IF(AND(Y135&gt;84,Y135&lt;=96),IF(AND(Y135&gt;84,Y135&lt;=96),"Shift 8",),"Shift 9"))))))))</f>
        <v>#REF!</v>
      </c>
    </row>
    <row r="136" spans="1:147" ht="25" x14ac:dyDescent="0.25">
      <c r="B136" s="116">
        <f>D135</f>
        <v>44146.490209745753</v>
      </c>
      <c r="C136" s="220">
        <f>D135</f>
        <v>44146.490209745753</v>
      </c>
      <c r="D136" s="220">
        <f>(E136/24)+C136+(G136/24)</f>
        <v>44146.502834745756</v>
      </c>
      <c r="E136" s="219">
        <f>INDEX('[1]Work sheet'!$G$2:$G$240,MATCH(I136,'[1]Work sheet'!$K$2:$K$240,0))+IFERROR(IF(FIND("WASH",J135,1)&gt;0,0,0.35),0.2)</f>
        <v>0.30299999999999999</v>
      </c>
      <c r="F136" s="218">
        <f>IFERROR(MROUND((L136/((INDEX('[1]Work sheet'!$G$2:$G$239,MATCH(I136,'[1]Work sheet'!$K$2:$K$239,0))*0.58)*60)),0.5),"")</f>
        <v>5</v>
      </c>
      <c r="G136" s="217"/>
      <c r="H136" s="175">
        <f>LEN(J136)-LEN(SUBSTITUTE(J136,",",""))</f>
        <v>0</v>
      </c>
      <c r="I136" s="183">
        <f>'[1]Work sheet'!K117</f>
        <v>2015614</v>
      </c>
      <c r="J136" s="174" t="str">
        <f>VLOOKUP(I136,'[1]Work sheet'!$K$2:L742,2,0)</f>
        <v>GR/D-373.50 P3 20UN CTN 1 BAG</v>
      </c>
      <c r="K136" s="173">
        <f>VLOOKUP(I136,'[1]Work sheet'!$K$2:O859,3,0)</f>
        <v>18</v>
      </c>
      <c r="L136" s="173">
        <f>VLOOKUP(I136,'[1]Work sheet'!$K$2:O1254,4,0)</f>
        <v>18</v>
      </c>
      <c r="M136" s="171" t="str">
        <f>VLOOKUP(I136,'[1]Work sheet'!$K$2:T1563,10,0)</f>
        <v>ASP/616/6171</v>
      </c>
      <c r="N136" s="172" t="str">
        <f>IFERROR(VLOOKUP(I136,'[1]PO Numbers'!$R$2:S307,2,0),"TBC")</f>
        <v>106991165</v>
      </c>
      <c r="O136" s="171" t="str">
        <f>IFERROR(VLOOKUP(VALUE(N136),'[1]PO Numbers'!$F$1:$J$400,5,0),"xxx")</f>
        <v>PI01</v>
      </c>
      <c r="P136" s="83" t="str">
        <f>VLOOKUP(I136,'[1]Work sheet'!$K$2:AA1179,13,0)</f>
        <v/>
      </c>
      <c r="Q136" s="170">
        <f>VLOOKUP(I136,'[1]Work sheet'!$K$2:AI844,16,0)</f>
        <v>12.916</v>
      </c>
      <c r="R136" s="168" t="str">
        <f>VLOOKUP(I136,'[1]Work sheet'!$K$2:AA539,17,0)</f>
        <v>6-7Kgs 616, 3-4Kgs ASP, 2-3Kgs 6171</v>
      </c>
      <c r="S136" s="169" t="str">
        <f>VLOOKUP(I136,'[1]Work sheet'!$K$2:AL422,28,0)</f>
        <v/>
      </c>
      <c r="T136" s="168" t="str">
        <f>IFERROR(VLOOKUP(I136,[1]Label!$A$1:C1081,3,0),"")</f>
        <v/>
      </c>
      <c r="U136" s="165" t="str">
        <f>IFERROR(IF(OR(VLOOKUP(I136,'[1]Work sheet'!$K$2:U726,11,0)="530",VLOOKUP(I136,'[1]Work sheet'!$K$2:U726,11,0)="526"),"BTO",""),"")</f>
        <v/>
      </c>
      <c r="V136" s="165"/>
      <c r="W136" s="167" t="str">
        <f>IF(COUNTIF('[1]OB Connect'!$F$13:$F$364,N136),"On Openbatch", "No")</f>
        <v>No</v>
      </c>
      <c r="X136" s="166" t="e">
        <f>X135</f>
        <v>#REF!</v>
      </c>
      <c r="Y136" s="274" t="e">
        <f>E136+G136+Y135</f>
        <v>#REF!</v>
      </c>
      <c r="Z136" s="165" t="e">
        <f>IF(Y136&lt;=12,"Shift 1",IF(AND(Y136&gt;12,Y136&lt;=24),"Shift 2",IF(AND(Y136&gt;24,Y136&lt;=36),"Shift 3",IF(AND(Y136&gt;36,Y136&lt;=48),"Shift 4",IF(AND(Y136&gt;48,Y136&lt;=60),"Shift 5",IF(AND(Y136&gt;60,Y136&lt;=72),"Shift 6",IF(AND(Y136&gt;72,Y136&lt;=84),"Shift 7",IF(AND(Y136&gt;84,Y136&lt;=96),IF(AND(Y136&gt;84,Y136&lt;=96),"Shift 8",),"Shift 9"))))))))</f>
        <v>#REF!</v>
      </c>
    </row>
    <row r="137" spans="1:147" s="58" customFormat="1" ht="13" x14ac:dyDescent="0.25">
      <c r="A137" s="118"/>
      <c r="B137" s="126">
        <f>D136</f>
        <v>44146.502834745756</v>
      </c>
      <c r="C137" s="125">
        <f>D136</f>
        <v>44146.502834745756</v>
      </c>
      <c r="D137" s="125">
        <f>(E137/24)+C137+(G137/24)</f>
        <v>44146.511168079087</v>
      </c>
      <c r="E137" s="124">
        <v>0.2</v>
      </c>
      <c r="F137" s="124"/>
      <c r="G137" s="123"/>
      <c r="H137" s="119"/>
      <c r="I137" s="122"/>
      <c r="J137" s="118" t="s">
        <v>12</v>
      </c>
      <c r="K137" s="121"/>
      <c r="L137" s="120"/>
      <c r="M137" s="118"/>
      <c r="N137" s="118"/>
      <c r="O137" s="118"/>
      <c r="P137" s="117"/>
      <c r="Q137" s="119"/>
      <c r="R137" s="118"/>
      <c r="S137" s="117"/>
      <c r="T137" s="117"/>
      <c r="U137" s="23"/>
      <c r="V137" s="21"/>
      <c r="W137" s="22"/>
      <c r="X137" s="22"/>
      <c r="Y137" s="21"/>
      <c r="Z137" s="20"/>
      <c r="AA137" s="60"/>
      <c r="AB137" s="60"/>
      <c r="AC137" s="60"/>
      <c r="AD137" s="60"/>
      <c r="AE137" s="60"/>
      <c r="AF137" s="60"/>
      <c r="AG137" s="60"/>
      <c r="AH137" s="60"/>
      <c r="AI137" s="60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  <c r="BC137" s="59"/>
      <c r="BD137" s="59"/>
      <c r="BE137" s="59"/>
      <c r="BF137" s="59"/>
      <c r="BG137" s="59"/>
      <c r="BH137" s="59"/>
      <c r="BI137" s="59"/>
      <c r="BJ137" s="59"/>
      <c r="BK137" s="59"/>
      <c r="BL137" s="59"/>
      <c r="BM137" s="59"/>
      <c r="BN137" s="59"/>
      <c r="BO137" s="59"/>
      <c r="BP137" s="59"/>
      <c r="BQ137" s="59"/>
      <c r="BR137" s="59"/>
      <c r="BS137" s="59"/>
      <c r="BT137" s="59"/>
      <c r="BU137" s="59"/>
      <c r="BV137" s="59"/>
      <c r="BW137" s="59"/>
      <c r="BX137" s="59"/>
      <c r="BY137" s="59"/>
      <c r="BZ137" s="59"/>
      <c r="CA137" s="59"/>
      <c r="CB137" s="59"/>
      <c r="CC137" s="59"/>
      <c r="CD137" s="59"/>
      <c r="CE137" s="59"/>
      <c r="CF137" s="59"/>
      <c r="CG137" s="59"/>
      <c r="CH137" s="59"/>
      <c r="CI137" s="59"/>
      <c r="CJ137" s="59"/>
      <c r="CK137" s="59"/>
      <c r="CL137" s="59"/>
      <c r="CM137" s="59"/>
      <c r="CN137" s="59"/>
      <c r="CO137" s="59"/>
      <c r="CP137" s="59"/>
      <c r="CQ137" s="59"/>
      <c r="CR137" s="59"/>
      <c r="CS137" s="59"/>
      <c r="CT137" s="59"/>
      <c r="CU137" s="59"/>
      <c r="CV137" s="59"/>
      <c r="CW137" s="59"/>
      <c r="CX137" s="59"/>
      <c r="CY137" s="59"/>
      <c r="CZ137" s="59"/>
      <c r="DA137" s="59"/>
      <c r="DB137" s="59"/>
      <c r="DC137" s="59"/>
      <c r="DD137" s="59"/>
      <c r="DE137" s="59"/>
      <c r="DF137" s="59"/>
      <c r="DG137" s="59"/>
      <c r="DH137" s="59"/>
      <c r="DI137" s="59"/>
      <c r="DJ137" s="59"/>
      <c r="DK137" s="59"/>
      <c r="DL137" s="59"/>
      <c r="DM137" s="59"/>
      <c r="DN137" s="59"/>
      <c r="DO137" s="59"/>
      <c r="DP137" s="59"/>
      <c r="DQ137" s="59"/>
      <c r="DR137" s="59"/>
      <c r="DS137" s="59"/>
      <c r="DT137" s="59"/>
      <c r="DU137" s="59"/>
      <c r="DV137" s="59"/>
      <c r="DW137" s="59"/>
      <c r="DX137" s="59"/>
      <c r="DY137" s="59"/>
      <c r="DZ137" s="59"/>
      <c r="EA137" s="59"/>
      <c r="EB137" s="59"/>
      <c r="EC137" s="59"/>
      <c r="ED137" s="59"/>
      <c r="EE137" s="59"/>
      <c r="EF137" s="59"/>
      <c r="EG137" s="59"/>
      <c r="EH137" s="59"/>
      <c r="EI137" s="59"/>
      <c r="EJ137" s="59"/>
      <c r="EK137" s="59"/>
      <c r="EL137" s="59"/>
      <c r="EM137" s="59"/>
      <c r="EN137" s="59"/>
      <c r="EO137" s="59"/>
      <c r="EP137" s="59"/>
      <c r="EQ137" s="59"/>
    </row>
    <row r="138" spans="1:147" ht="13" x14ac:dyDescent="0.25">
      <c r="B138" s="116">
        <f>D137</f>
        <v>44146.511168079087</v>
      </c>
      <c r="C138" s="220">
        <f>D137</f>
        <v>44146.511168079087</v>
      </c>
      <c r="D138" s="220">
        <f>(E138/24)+C138+(G138/24)</f>
        <v>44146.645501412422</v>
      </c>
      <c r="E138" s="219">
        <f>INDEX('[1]Work sheet'!$G$2:$G$240,MATCH(I138,'[1]Work sheet'!$K$2:$K$240,0))+IFERROR(IF(FIND("WASH",#REF!,1)&gt;0,0,0.35),0.2)</f>
        <v>0.47400000000000003</v>
      </c>
      <c r="F138" s="218">
        <f>IFERROR(MROUND((L138/((INDEX('[1]Work sheet'!$G$2:$G$239,MATCH(I138,'[1]Work sheet'!$K$2:$K$239,0))*0.58)*60)),0.5),"")</f>
        <v>8.5</v>
      </c>
      <c r="G138" s="217">
        <v>2.75</v>
      </c>
      <c r="H138" s="175">
        <f>LEN(J138)-LEN(SUBSTITUTE(J138,",",""))</f>
        <v>2</v>
      </c>
      <c r="I138" s="183">
        <f>'[1]Work sheet'!K118</f>
        <v>2050143</v>
      </c>
      <c r="J138" s="174" t="str">
        <f>VLOOKUP(I138,'[1]Work sheet'!$K$2:L744,2,0)</f>
        <v>MA/B/6-160.001 P3,1B,1D 0.5UN CTN 1BAG</v>
      </c>
      <c r="K138" s="173">
        <f>VLOOKUP(I138,'[1]Work sheet'!$K$2:O861,3,0)</f>
        <v>81</v>
      </c>
      <c r="L138" s="173">
        <f>VLOOKUP(I138,'[1]Work sheet'!$K$2:O1256,4,0)</f>
        <v>81</v>
      </c>
      <c r="M138" s="171" t="str">
        <f>VLOOKUP(I138,'[1]Work sheet'!$K$2:T1565,10,0)</f>
        <v>616/6171</v>
      </c>
      <c r="N138" s="172" t="str">
        <f>IFERROR(VLOOKUP(I138,'[1]PO Numbers'!$R$2:S309,2,0),"TBC")</f>
        <v>106991162</v>
      </c>
      <c r="O138" s="171" t="str">
        <f>IFERROR(VLOOKUP(VALUE(N138),'[1]PO Numbers'!$F$1:$J$400,5,0),"xxx")</f>
        <v>PI01</v>
      </c>
      <c r="P138" s="83" t="str">
        <f>VLOOKUP(I138,'[1]Work sheet'!$K$2:AA1181,13,0)</f>
        <v>1 of 1498401 (811), 1 of 1498403 (7635)</v>
      </c>
      <c r="Q138" s="170">
        <f>VLOOKUP(I138,'[1]Work sheet'!$K$2:AI846,16,0)</f>
        <v>0.44400000000000001</v>
      </c>
      <c r="R138" s="168" t="str">
        <f>VLOOKUP(I138,'[1]Work sheet'!$K$2:AA541,17,0)</f>
        <v>0-1Kgs 616, 0-1Kgs 6171</v>
      </c>
      <c r="S138" s="169" t="str">
        <f>VLOOKUP(I138,'[1]Work sheet'!$K$2:AL424,28,0)</f>
        <v/>
      </c>
      <c r="T138" s="168" t="str">
        <f>IFERROR(VLOOKUP(I138,[1]Label!$A$1:C1083,3,0),"")</f>
        <v/>
      </c>
      <c r="U138" s="165" t="str">
        <f>IFERROR(IF(OR(VLOOKUP(I138,'[1]Work sheet'!$K$2:U728,11,0)="530",VLOOKUP(I138,'[1]Work sheet'!$K$2:U728,11,0)="526"),"BTO",""),"")</f>
        <v/>
      </c>
      <c r="V138" s="165"/>
      <c r="W138" s="167" t="str">
        <f>IF(COUNTIF('[1]OB Connect'!$F$13:$F$364,N138),"On Openbatch", "No")</f>
        <v>No</v>
      </c>
      <c r="X138" s="166" t="e">
        <f>#REF!</f>
        <v>#REF!</v>
      </c>
      <c r="Y138" s="274" t="e">
        <f>E138+G138+#REF!</f>
        <v>#REF!</v>
      </c>
      <c r="Z138" s="165" t="e">
        <f>IF(Y138&lt;=12,"Shift 1",IF(AND(Y138&gt;12,Y138&lt;=24),"Shift 2",IF(AND(Y138&gt;24,Y138&lt;=36),"Shift 3",IF(AND(Y138&gt;36,Y138&lt;=48),"Shift 4",IF(AND(Y138&gt;48,Y138&lt;=60),"Shift 5",IF(AND(Y138&gt;60,Y138&lt;=72),"Shift 6",IF(AND(Y138&gt;72,Y138&lt;=84),"Shift 7",IF(AND(Y138&gt;84,Y138&lt;=96),IF(AND(Y138&gt;84,Y138&lt;=96),"Shift 8",),"Shift 9"))))))))</f>
        <v>#REF!</v>
      </c>
    </row>
    <row r="139" spans="1:147" ht="13" x14ac:dyDescent="0.25">
      <c r="B139" s="116">
        <f>D138</f>
        <v>44146.645501412422</v>
      </c>
      <c r="C139" s="220">
        <f>D138</f>
        <v>44146.645501412422</v>
      </c>
      <c r="D139" s="220">
        <f>(E139/24)+C139+(G139/24)</f>
        <v>44146.684251412422</v>
      </c>
      <c r="E139" s="219">
        <f>INDEX('[1]Work sheet'!$G$2:$G$240,MATCH(I139,'[1]Work sheet'!$K$2:$K$240,0))+IFERROR(IF(FIND("WASH",J138,1)&gt;0,0,0.35),0.2)</f>
        <v>0.92999999999999994</v>
      </c>
      <c r="F139" s="218">
        <f>IFERROR(MROUND((L139/((INDEX('[1]Work sheet'!$G$2:$G$239,MATCH(I139,'[1]Work sheet'!$K$2:$K$239,0))*0.58)*60)),0.5),"")</f>
        <v>8.5</v>
      </c>
      <c r="G139" s="217"/>
      <c r="H139" s="175">
        <f>LEN(J139)-LEN(SUBSTITUTE(J139,",",""))</f>
        <v>0</v>
      </c>
      <c r="I139" s="183">
        <f>'[1]Work sheet'!K119</f>
        <v>1976339</v>
      </c>
      <c r="J139" s="174" t="str">
        <f>VLOOKUP(I139,'[1]Work sheet'!$K$2:L745,2,0)</f>
        <v>OR/B-56.97 P3 20UN CTN 4 BAGS</v>
      </c>
      <c r="K139" s="173">
        <f>VLOOKUP(I139,'[1]Work sheet'!$K$2:O862,3,0)</f>
        <v>54</v>
      </c>
      <c r="L139" s="173">
        <f>VLOOKUP(I139,'[1]Work sheet'!$K$2:O1257,4,0)</f>
        <v>216</v>
      </c>
      <c r="M139" s="171" t="str">
        <f>VLOOKUP(I139,'[1]Work sheet'!$K$2:T1566,10,0)</f>
        <v>616/6171</v>
      </c>
      <c r="N139" s="172" t="str">
        <f>IFERROR(VLOOKUP(I139,'[1]PO Numbers'!$R$2:S310,2,0),"TBC")</f>
        <v>106990355</v>
      </c>
      <c r="O139" s="171" t="str">
        <f>IFERROR(VLOOKUP(VALUE(N139),'[1]PO Numbers'!$F$1:$J$400,5,0),"xxx")</f>
        <v>PI01</v>
      </c>
      <c r="P139" s="83" t="str">
        <f>VLOOKUP(I139,'[1]Work sheet'!$K$2:AA1182,13,0)</f>
        <v/>
      </c>
      <c r="Q139" s="170">
        <f>VLOOKUP(I139,'[1]Work sheet'!$K$2:AI847,16,0)</f>
        <v>1.3540000000000001</v>
      </c>
      <c r="R139" s="168" t="str">
        <f>VLOOKUP(I139,'[1]Work sheet'!$K$2:AA542,17,0)</f>
        <v>0-1Kgs 616, 0-1Kgs 6171</v>
      </c>
      <c r="S139" s="169" t="str">
        <f>VLOOKUP(I139,'[1]Work sheet'!$K$2:AL425,28,0)</f>
        <v/>
      </c>
      <c r="T139" s="168" t="str">
        <f>IFERROR(VLOOKUP(I139,[1]Label!$A$1:C1084,3,0),"")</f>
        <v/>
      </c>
      <c r="U139" s="165" t="str">
        <f>IFERROR(IF(OR(VLOOKUP(I139,'[1]Work sheet'!$K$2:U729,11,0)="530",VLOOKUP(I139,'[1]Work sheet'!$K$2:U729,11,0)="526"),"BTO",""),"")</f>
        <v/>
      </c>
      <c r="V139" s="165"/>
      <c r="W139" s="167" t="str">
        <f>IF(COUNTIF('[1]OB Connect'!$F$13:$F$364,N139),"On Openbatch", "No")</f>
        <v>No</v>
      </c>
      <c r="X139" s="166" t="e">
        <f>X138</f>
        <v>#REF!</v>
      </c>
      <c r="Y139" s="274" t="e">
        <f>E139+G139+Y138</f>
        <v>#REF!</v>
      </c>
      <c r="Z139" s="165" t="e">
        <f>IF(Y139&lt;=12,"Shift 1",IF(AND(Y139&gt;12,Y139&lt;=24),"Shift 2",IF(AND(Y139&gt;24,Y139&lt;=36),"Shift 3",IF(AND(Y139&gt;36,Y139&lt;=48),"Shift 4",IF(AND(Y139&gt;48,Y139&lt;=60),"Shift 5",IF(AND(Y139&gt;60,Y139&lt;=72),"Shift 6",IF(AND(Y139&gt;72,Y139&lt;=84),"Shift 7",IF(AND(Y139&gt;84,Y139&lt;=96),IF(AND(Y139&gt;84,Y139&lt;=96),"Shift 8",),"Shift 9"))))))))</f>
        <v>#REF!</v>
      </c>
    </row>
    <row r="140" spans="1:147" ht="25" x14ac:dyDescent="0.25">
      <c r="B140" s="116">
        <f>D139</f>
        <v>44146.684251412422</v>
      </c>
      <c r="C140" s="220">
        <f>D139</f>
        <v>44146.684251412422</v>
      </c>
      <c r="D140" s="220">
        <f>(E140/24)+C140+(G140/24)</f>
        <v>44146.696793079085</v>
      </c>
      <c r="E140" s="219">
        <f>INDEX('[1]Work sheet'!$G$2:$G$240,MATCH(I140,'[1]Work sheet'!$K$2:$K$240,0))+IFERROR(IF(FIND("WASH",J139,1)&gt;0,0,0.35),0.2)</f>
        <v>0.30100000000000005</v>
      </c>
      <c r="F140" s="218">
        <f>IFERROR(MROUND((L140/((INDEX('[1]Work sheet'!$G$2:$G$239,MATCH(I140,'[1]Work sheet'!$K$2:$K$239,0))*0.58)*60)),0.5),"")</f>
        <v>8.5</v>
      </c>
      <c r="G140" s="217"/>
      <c r="H140" s="175">
        <f>LEN(J140)-LEN(SUBSTITUTE(J140,",",""))</f>
        <v>3</v>
      </c>
      <c r="I140" s="183">
        <f>'[1]Work sheet'!K120</f>
        <v>1928211</v>
      </c>
      <c r="J140" s="174" t="str">
        <f>VLOOKUP(I140,'[1]Work sheet'!$K$2:L746,2,0)</f>
        <v>OR/B-1687.001 P3,1B,1C,1D 4UN CTN 1 BAG</v>
      </c>
      <c r="K140" s="173">
        <f>VLOOKUP(I140,'[1]Work sheet'!$K$2:O863,3,0)</f>
        <v>30</v>
      </c>
      <c r="L140" s="173">
        <f>VLOOKUP(I140,'[1]Work sheet'!$K$2:O1258,4,0)</f>
        <v>30</v>
      </c>
      <c r="M140" s="171" t="str">
        <f>VLOOKUP(I140,'[1]Work sheet'!$K$2:T1567,10,0)</f>
        <v>616/6171</v>
      </c>
      <c r="N140" s="172" t="str">
        <f>IFERROR(VLOOKUP(I140,'[1]PO Numbers'!$R$2:S311,2,0),"TBC")</f>
        <v>106990347</v>
      </c>
      <c r="O140" s="171" t="str">
        <f>IFERROR(VLOOKUP(VALUE(N140),'[1]PO Numbers'!$F$1:$J$400,5,0),"xxx")</f>
        <v>PI01</v>
      </c>
      <c r="P140" s="83" t="str">
        <f>VLOOKUP(I140,'[1]Work sheet'!$K$2:AA1183,13,0)</f>
        <v>1 of 1726597 (811), 1 of 1726596 (/7635.4), 1 of 1726595 (/7534.3)</v>
      </c>
      <c r="Q140" s="170">
        <f>VLOOKUP(I140,'[1]Work sheet'!$K$2:AI848,16,0)</f>
        <v>1.4730000000000001</v>
      </c>
      <c r="R140" s="168" t="str">
        <f>VLOOKUP(I140,'[1]Work sheet'!$K$2:AA543,17,0)</f>
        <v>0-1Kgs 6171, 0-1Kgs 616</v>
      </c>
      <c r="S140" s="169" t="str">
        <f>VLOOKUP(I140,'[1]Work sheet'!$K$2:AL426,28,0)</f>
        <v/>
      </c>
      <c r="T140" s="168" t="str">
        <f>IFERROR(VLOOKUP(I140,[1]Label!$A$1:C1085,3,0),"")</f>
        <v/>
      </c>
      <c r="U140" s="165" t="str">
        <f>IFERROR(IF(OR(VLOOKUP(I140,'[1]Work sheet'!$K$2:U730,11,0)="530",VLOOKUP(I140,'[1]Work sheet'!$K$2:U730,11,0)="526"),"BTO",""),"")</f>
        <v/>
      </c>
      <c r="V140" s="165"/>
      <c r="W140" s="167" t="str">
        <f>IF(COUNTIF('[1]OB Connect'!$F$13:$F$364,N140),"On Openbatch", "No")</f>
        <v>No</v>
      </c>
      <c r="X140" s="166" t="e">
        <f>X139</f>
        <v>#REF!</v>
      </c>
      <c r="Y140" s="274" t="e">
        <f>E140+G140+Y139</f>
        <v>#REF!</v>
      </c>
      <c r="Z140" s="165" t="e">
        <f>IF(Y140&lt;=12,"Shift 1",IF(AND(Y140&gt;12,Y140&lt;=24),"Shift 2",IF(AND(Y140&gt;24,Y140&lt;=36),"Shift 3",IF(AND(Y140&gt;36,Y140&lt;=48),"Shift 4",IF(AND(Y140&gt;48,Y140&lt;=60),"Shift 5",IF(AND(Y140&gt;60,Y140&lt;=72),"Shift 6",IF(AND(Y140&gt;72,Y140&lt;=84),"Shift 7",IF(AND(Y140&gt;84,Y140&lt;=96),IF(AND(Y140&gt;84,Y140&lt;=96),"Shift 8",),"Shift 9"))))))))</f>
        <v>#REF!</v>
      </c>
    </row>
    <row r="141" spans="1:147" ht="13" x14ac:dyDescent="0.25">
      <c r="B141" s="116">
        <f>D140</f>
        <v>44146.696793079085</v>
      </c>
      <c r="C141" s="220">
        <f>D140</f>
        <v>44146.696793079085</v>
      </c>
      <c r="D141" s="220">
        <f>(E141/24)+C141+(G141/24)</f>
        <v>44146.769793079082</v>
      </c>
      <c r="E141" s="219">
        <f>INDEX('[1]Work sheet'!$G$2:$G$240,MATCH(I141,'[1]Work sheet'!$K$2:$K$240,0))+IFERROR(IF(FIND("WASH",J140,1)&gt;0,0,0.35),0.2)</f>
        <v>1.752</v>
      </c>
      <c r="F141" s="218">
        <f>IFERROR(MROUND((L141/((INDEX('[1]Work sheet'!$G$2:$G$239,MATCH(I141,'[1]Work sheet'!$K$2:$K$239,0))*0.58)*60)),0.5),"")</f>
        <v>8.5</v>
      </c>
      <c r="G141" s="217"/>
      <c r="H141" s="175">
        <f>LEN(J141)-LEN(SUBSTITUTE(J141,",",""))</f>
        <v>2</v>
      </c>
      <c r="I141" s="183">
        <f>'[1]Work sheet'!K121</f>
        <v>1945612</v>
      </c>
      <c r="J141" s="174" t="str">
        <f>VLOOKUP(I141,'[1]Work sheet'!$K$2:L747,2,0)</f>
        <v>DB-2132.891 P3,1B,1C 8UN CTN 1 BAG</v>
      </c>
      <c r="K141" s="173">
        <f>VLOOKUP(I141,'[1]Work sheet'!$K$2:O864,3,0)</f>
        <v>459</v>
      </c>
      <c r="L141" s="173">
        <f>VLOOKUP(I141,'[1]Work sheet'!$K$2:O1259,4,0)</f>
        <v>459</v>
      </c>
      <c r="M141" s="171" t="str">
        <f>VLOOKUP(I141,'[1]Work sheet'!$K$2:T1568,10,0)</f>
        <v>616/6171</v>
      </c>
      <c r="N141" s="172" t="str">
        <f>IFERROR(VLOOKUP(I141,'[1]PO Numbers'!$R$2:S312,2,0),"TBC")</f>
        <v>106991173</v>
      </c>
      <c r="O141" s="171" t="str">
        <f>IFERROR(VLOOKUP(VALUE(N141),'[1]PO Numbers'!$F$1:$J$400,5,0),"xxx")</f>
        <v>PI01</v>
      </c>
      <c r="P141" s="168" t="str">
        <f>VLOOKUP(I141,'[1]Work sheet'!$K$2:AA1184,13,0)</f>
        <v>1 of 1812532 (SBZ), 1 of 1811303 (TSO)</v>
      </c>
      <c r="Q141" s="170">
        <f>VLOOKUP(I141,'[1]Work sheet'!$K$2:AI849,16,0)</f>
        <v>4.5709999999999997</v>
      </c>
      <c r="R141" s="168" t="str">
        <f>VLOOKUP(I141,'[1]Work sheet'!$K$2:AA544,17,0)</f>
        <v>2-3Kgs 6171, 1-2Kgs 616</v>
      </c>
      <c r="S141" s="181" t="s">
        <v>62</v>
      </c>
      <c r="T141" s="168" t="str">
        <f>IFERROR(VLOOKUP(I141,[1]Label!$A$1:C1086,3,0),"")</f>
        <v/>
      </c>
      <c r="U141" s="165" t="str">
        <f>IFERROR(IF(OR(VLOOKUP(I141,'[1]Work sheet'!$K$2:U731,11,0)="530",VLOOKUP(I141,'[1]Work sheet'!$K$2:U731,11,0)="526"),"BTO",""),"")</f>
        <v/>
      </c>
      <c r="V141" s="165"/>
      <c r="W141" s="167" t="str">
        <f>IF(COUNTIF('[1]OB Connect'!$F$13:$F$364,N141),"On Openbatch", "No")</f>
        <v>No</v>
      </c>
      <c r="X141" s="166" t="e">
        <f>X140</f>
        <v>#REF!</v>
      </c>
      <c r="Y141" s="274" t="e">
        <f>E141+G141+Y140</f>
        <v>#REF!</v>
      </c>
      <c r="Z141" s="165" t="e">
        <f>IF(Y141&lt;=12,"Shift 1",IF(AND(Y141&gt;12,Y141&lt;=24),"Shift 2",IF(AND(Y141&gt;24,Y141&lt;=36),"Shift 3",IF(AND(Y141&gt;36,Y141&lt;=48),"Shift 4",IF(AND(Y141&gt;48,Y141&lt;=60),"Shift 5",IF(AND(Y141&gt;60,Y141&lt;=72),"Shift 6",IF(AND(Y141&gt;72,Y141&lt;=84),"Shift 7",IF(AND(Y141&gt;84,Y141&lt;=96),IF(AND(Y141&gt;84,Y141&lt;=96),"Shift 8",),"Shift 9"))))))))</f>
        <v>#REF!</v>
      </c>
    </row>
    <row r="142" spans="1:147" ht="13" x14ac:dyDescent="0.25">
      <c r="B142" s="116">
        <f>D141</f>
        <v>44146.769793079082</v>
      </c>
      <c r="C142" s="220">
        <f>D141</f>
        <v>44146.769793079082</v>
      </c>
      <c r="D142" s="220">
        <f>(E142/24)+C142+(G142/24)</f>
        <v>44146.799668079082</v>
      </c>
      <c r="E142" s="219">
        <f>INDEX('[1]Work sheet'!$G$2:$G$240,MATCH(I142,'[1]Work sheet'!$K$2:$K$240,0))+IFERROR(IF(FIND("WASH",J141,1)&gt;0,0,0.35),0.2)</f>
        <v>0.71700000000000008</v>
      </c>
      <c r="F142" s="218">
        <f>IFERROR(MROUND((L142/((INDEX('[1]Work sheet'!$G$2:$G$239,MATCH(I142,'[1]Work sheet'!$K$2:$K$239,0))*0.58)*60)),0.5),"")</f>
        <v>7.5</v>
      </c>
      <c r="G142" s="217"/>
      <c r="H142" s="175">
        <f>LEN(J142)-LEN(SUBSTITUTE(J142,",",""))</f>
        <v>1</v>
      </c>
      <c r="I142" s="183">
        <f>'[1]Work sheet'!K122</f>
        <v>2009611</v>
      </c>
      <c r="J142" s="174" t="str">
        <f>VLOOKUP(I142,'[1]Work sheet'!$K$2:L748,2,0)</f>
        <v>OR/B-1649.001 P3,1B 16UN CTN 1BAG</v>
      </c>
      <c r="K142" s="173">
        <f>VLOOKUP(I142,'[1]Work sheet'!$K$2:O865,3,0)</f>
        <v>135</v>
      </c>
      <c r="L142" s="173">
        <f>VLOOKUP(I142,'[1]Work sheet'!$K$2:O1260,4,0)</f>
        <v>135</v>
      </c>
      <c r="M142" s="171" t="str">
        <f>VLOOKUP(I142,'[1]Work sheet'!$K$2:T1569,10,0)</f>
        <v>616/6171</v>
      </c>
      <c r="N142" s="172" t="str">
        <f>IFERROR(VLOOKUP(I142,'[1]PO Numbers'!$R$2:S313,2,0),"TBC")</f>
        <v>106991175</v>
      </c>
      <c r="O142" s="171" t="str">
        <f>IFERROR(VLOOKUP(VALUE(N142),'[1]PO Numbers'!$F$1:$J$400,5,0),"xxx")</f>
        <v>PI01</v>
      </c>
      <c r="P142" s="168" t="str">
        <f>VLOOKUP(I142,'[1]Work sheet'!$K$2:AA1185,13,0)</f>
        <v>2 of 1306533 (SBZ/811)</v>
      </c>
      <c r="Q142" s="170">
        <f>VLOOKUP(I142,'[1]Work sheet'!$K$2:AI850,16,0)</f>
        <v>8.2560000000000002</v>
      </c>
      <c r="R142" s="168" t="str">
        <f>VLOOKUP(I142,'[1]Work sheet'!$K$2:AA545,17,0)</f>
        <v>6-7Kgs 616, 2-3Kgs 6171</v>
      </c>
      <c r="S142" s="169" t="str">
        <f>VLOOKUP(I142,'[1]Work sheet'!$K$2:AL428,28,0)</f>
        <v/>
      </c>
      <c r="T142" s="168" t="str">
        <f>IFERROR(VLOOKUP(I142,[1]Label!$A$1:C1087,3,0),"")</f>
        <v/>
      </c>
      <c r="U142" s="165" t="str">
        <f>IFERROR(IF(OR(VLOOKUP(I142,'[1]Work sheet'!$K$2:U732,11,0)="530",VLOOKUP(I142,'[1]Work sheet'!$K$2:U732,11,0)="526"),"BTO",""),"")</f>
        <v/>
      </c>
      <c r="V142" s="165"/>
      <c r="W142" s="167" t="str">
        <f>IF(COUNTIF('[1]OB Connect'!$F$13:$F$364,N142),"On Openbatch", "No")</f>
        <v>No</v>
      </c>
      <c r="X142" s="166" t="e">
        <f>X141</f>
        <v>#REF!</v>
      </c>
      <c r="Y142" s="274" t="e">
        <f>E142+G142+Y141</f>
        <v>#REF!</v>
      </c>
      <c r="Z142" s="165" t="e">
        <f>IF(Y142&lt;=12,"Shift 1",IF(AND(Y142&gt;12,Y142&lt;=24),"Shift 2",IF(AND(Y142&gt;24,Y142&lt;=36),"Shift 3",IF(AND(Y142&gt;36,Y142&lt;=48),"Shift 4",IF(AND(Y142&gt;48,Y142&lt;=60),"Shift 5",IF(AND(Y142&gt;60,Y142&lt;=72),"Shift 6",IF(AND(Y142&gt;72,Y142&lt;=84),"Shift 7",IF(AND(Y142&gt;84,Y142&lt;=96),IF(AND(Y142&gt;84,Y142&lt;=96),"Shift 8",),"Shift 9"))))))))</f>
        <v>#REF!</v>
      </c>
    </row>
    <row r="143" spans="1:147" ht="25" x14ac:dyDescent="0.25">
      <c r="B143" s="116">
        <f>D142</f>
        <v>44146.799668079082</v>
      </c>
      <c r="C143" s="220">
        <f>D142</f>
        <v>44146.799668079082</v>
      </c>
      <c r="D143" s="220">
        <f>(E143/24)+C143+(G143/24)</f>
        <v>44146.859626412413</v>
      </c>
      <c r="E143" s="219">
        <f>INDEX('[1]Work sheet'!$G$2:$G$240,MATCH(I143,'[1]Work sheet'!$K$2:$K$240,0))+IFERROR(IF(FIND("WASH",J142,1)&gt;0,0,0.35),0.2)</f>
        <v>0.439</v>
      </c>
      <c r="F143" s="218">
        <f>IFERROR(MROUND((L143/((INDEX('[1]Work sheet'!$G$2:$G$239,MATCH(I143,'[1]Work sheet'!$K$2:$K$239,0))*0.58)*60)),0.5),"")</f>
        <v>6.5</v>
      </c>
      <c r="G143" s="276">
        <v>1</v>
      </c>
      <c r="H143" s="175">
        <f>LEN(J143)-LEN(SUBSTITUTE(J143,",",""))</f>
        <v>0</v>
      </c>
      <c r="I143" s="183">
        <f>'[1]Work sheet'!K123</f>
        <v>1985104</v>
      </c>
      <c r="J143" s="174" t="str">
        <f>VLOOKUP(I143,'[1]Work sheet'!$K$2:L749,2,0)</f>
        <v>LE/D-718.50 P3 12UN CTN 2 BAGS</v>
      </c>
      <c r="K143" s="173">
        <f>VLOOKUP(I143,'[1]Work sheet'!$K$2:O866,3,0)</f>
        <v>27</v>
      </c>
      <c r="L143" s="173">
        <f>VLOOKUP(I143,'[1]Work sheet'!$K$2:O1261,4,0)</f>
        <v>54</v>
      </c>
      <c r="M143" s="171" t="str">
        <f>VLOOKUP(I143,'[1]Work sheet'!$K$2:T1570,10,0)</f>
        <v>616/609/6171</v>
      </c>
      <c r="N143" s="172" t="str">
        <f>IFERROR(VLOOKUP(I143,'[1]PO Numbers'!$R$2:S314,2,0),"TBC")</f>
        <v>106990352</v>
      </c>
      <c r="O143" s="171" t="str">
        <f>IFERROR(VLOOKUP(VALUE(N143),'[1]PO Numbers'!$F$1:$J$400,5,0),"xxx")</f>
        <v>PI01</v>
      </c>
      <c r="P143" s="168" t="str">
        <f>VLOOKUP(I143,'[1]Work sheet'!$K$2:AA1186,13,0)</f>
        <v/>
      </c>
      <c r="Q143" s="170">
        <f>VLOOKUP(I143,'[1]Work sheet'!$K$2:AI851,16,0)</f>
        <v>6.42</v>
      </c>
      <c r="R143" s="168" t="str">
        <f>VLOOKUP(I143,'[1]Work sheet'!$K$2:AA546,17,0)</f>
        <v>2-3Kgs 609, 2-3Kgs 616, 0-1Kgs 6171</v>
      </c>
      <c r="S143" s="169" t="str">
        <f>VLOOKUP(I143,'[1]Work sheet'!$K$2:AL429,28,0)</f>
        <v/>
      </c>
      <c r="T143" s="168" t="str">
        <f>IFERROR(VLOOKUP(I143,[1]Label!$A$1:C1088,3,0),"")</f>
        <v/>
      </c>
      <c r="U143" s="165" t="str">
        <f>IFERROR(IF(OR(VLOOKUP(I143,'[1]Work sheet'!$K$2:U733,11,0)="530",VLOOKUP(I143,'[1]Work sheet'!$K$2:U733,11,0)="526"),"BTO",""),"")</f>
        <v/>
      </c>
      <c r="V143" s="165"/>
      <c r="W143" s="167" t="str">
        <f>IF(COUNTIF('[1]OB Connect'!$F$13:$F$364,N143),"On Openbatch", "No")</f>
        <v>No</v>
      </c>
      <c r="X143" s="166" t="e">
        <f>X142</f>
        <v>#REF!</v>
      </c>
      <c r="Y143" s="274" t="e">
        <f>E143+G143+Y142</f>
        <v>#REF!</v>
      </c>
      <c r="Z143" s="165" t="e">
        <f>IF(Y143&lt;=12,"Shift 1",IF(AND(Y143&gt;12,Y143&lt;=24),"Shift 2",IF(AND(Y143&gt;24,Y143&lt;=36),"Shift 3",IF(AND(Y143&gt;36,Y143&lt;=48),"Shift 4",IF(AND(Y143&gt;48,Y143&lt;=60),"Shift 5",IF(AND(Y143&gt;60,Y143&lt;=72),"Shift 6",IF(AND(Y143&gt;72,Y143&lt;=84),"Shift 7",IF(AND(Y143&gt;84,Y143&lt;=96),IF(AND(Y143&gt;84,Y143&lt;=96),"Shift 8",),"Shift 9"))))))))</f>
        <v>#REF!</v>
      </c>
    </row>
    <row r="144" spans="1:147" ht="26" x14ac:dyDescent="0.25">
      <c r="B144" s="116">
        <f>D143</f>
        <v>44146.859626412413</v>
      </c>
      <c r="C144" s="220">
        <f>D143</f>
        <v>44146.859626412413</v>
      </c>
      <c r="D144" s="220">
        <f>(E144/24)+C144+(G144/24)</f>
        <v>44147.002418079086</v>
      </c>
      <c r="E144" s="219">
        <f>INDEX('[1]Work sheet'!$G$2:$G$240,MATCH(I144,'[1]Work sheet'!$K$2:$K$240,0))+IFERROR(IF(FIND("WASH",J143,1)&gt;0,0,0.35),0.2)</f>
        <v>0.67700000000000005</v>
      </c>
      <c r="F144" s="218">
        <f>IFERROR(MROUND((L144/((INDEX('[1]Work sheet'!$G$2:$G$239,MATCH(I144,'[1]Work sheet'!$K$2:$K$239,0))*0.58)*60)),0.5),"")</f>
        <v>6.5</v>
      </c>
      <c r="G144" s="217">
        <v>2.75</v>
      </c>
      <c r="H144" s="175">
        <f>LEN(J144)-LEN(SUBSTITUTE(J144,",",""))</f>
        <v>1</v>
      </c>
      <c r="I144" s="183">
        <f>'[1]Work sheet'!K124</f>
        <v>2005076</v>
      </c>
      <c r="J144" s="174" t="str">
        <f>VLOOKUP(I144,'[1]Work sheet'!$K$2:L750,2,0)</f>
        <v>MN/D-273.50 P3,1 12UN CTN</v>
      </c>
      <c r="K144" s="173">
        <f>VLOOKUP(I144,'[1]Work sheet'!$K$2:O867,3,0)</f>
        <v>108</v>
      </c>
      <c r="L144" s="173">
        <f>VLOOKUP(I144,'[1]Work sheet'!$K$2:O1262,4,0)</f>
        <v>108</v>
      </c>
      <c r="M144" s="171" t="str">
        <f>VLOOKUP(I144,'[1]Work sheet'!$K$2:T1571,10,0)</f>
        <v>616/609/6171/6159</v>
      </c>
      <c r="N144" s="172" t="str">
        <f>IFERROR(VLOOKUP(I144,'[1]PO Numbers'!$R$2:S315,2,0),"TBC")</f>
        <v>106991156</v>
      </c>
      <c r="O144" s="171" t="str">
        <f>IFERROR(VLOOKUP(VALUE(N144),'[1]PO Numbers'!$F$1:$J$400,5,0),"xxx")</f>
        <v>PI01</v>
      </c>
      <c r="P144" s="168" t="str">
        <f>VLOOKUP(I144,'[1]Work sheet'!$K$2:AA1187,13,0)</f>
        <v>1 of 2005073 (TSO)</v>
      </c>
      <c r="Q144" s="170">
        <f>VLOOKUP(I144,'[1]Work sheet'!$K$2:AI852,16,0)</f>
        <v>6.6120000000000001</v>
      </c>
      <c r="R144" s="168" t="str">
        <f>VLOOKUP(I144,'[1]Work sheet'!$K$2:AA547,17,0)</f>
        <v>2-3Kgs 609, 2-3Kgs 616, 0-1Kgs 6171, 0-1Kgs 6159</v>
      </c>
      <c r="S144" s="181" t="s">
        <v>61</v>
      </c>
      <c r="T144" s="168" t="str">
        <f>IFERROR(VLOOKUP(I144,[1]Label!$A$1:C1089,3,0),"")</f>
        <v/>
      </c>
      <c r="U144" s="165" t="str">
        <f>IFERROR(IF(OR(VLOOKUP(I144,'[1]Work sheet'!$K$2:U734,11,0)="530",VLOOKUP(I144,'[1]Work sheet'!$K$2:U734,11,0)="526"),"BTO",""),"")</f>
        <v/>
      </c>
      <c r="V144" s="165"/>
      <c r="W144" s="167" t="str">
        <f>IF(COUNTIF('[1]OB Connect'!$F$13:$F$364,N144),"On Openbatch", "No")</f>
        <v>No</v>
      </c>
      <c r="X144" s="166" t="e">
        <f>X143</f>
        <v>#REF!</v>
      </c>
      <c r="Y144" s="274" t="e">
        <f>E144+G144+Y143</f>
        <v>#REF!</v>
      </c>
      <c r="Z144" s="165" t="e">
        <f>IF(Y144&lt;=12,"Shift 1",IF(AND(Y144&gt;12,Y144&lt;=24),"Shift 2",IF(AND(Y144&gt;24,Y144&lt;=36),"Shift 3",IF(AND(Y144&gt;36,Y144&lt;=48),"Shift 4",IF(AND(Y144&gt;48,Y144&lt;=60),"Shift 5",IF(AND(Y144&gt;60,Y144&lt;=72),"Shift 6",IF(AND(Y144&gt;72,Y144&lt;=84),"Shift 7",IF(AND(Y144&gt;84,Y144&lt;=96),IF(AND(Y144&gt;84,Y144&lt;=96),"Shift 8",),"Shift 9"))))))))</f>
        <v>#REF!</v>
      </c>
    </row>
    <row r="145" spans="1:147" s="58" customFormat="1" ht="13" x14ac:dyDescent="0.25">
      <c r="B145" s="116">
        <f>D144</f>
        <v>44147.002418079086</v>
      </c>
      <c r="C145" s="115">
        <f>D144</f>
        <v>44147.002418079086</v>
      </c>
      <c r="D145" s="115">
        <f>(E145/24)+C145+(G145/24)</f>
        <v>44147.085751412422</v>
      </c>
      <c r="E145" s="114">
        <v>2</v>
      </c>
      <c r="F145" s="114"/>
      <c r="G145" s="113"/>
      <c r="H145" s="109"/>
      <c r="I145" s="112"/>
      <c r="J145" s="58" t="s">
        <v>10</v>
      </c>
      <c r="K145" s="111"/>
      <c r="L145" s="110"/>
      <c r="P145" s="108"/>
      <c r="Q145" s="109"/>
      <c r="S145" s="108"/>
      <c r="T145" s="108"/>
      <c r="U145" s="23"/>
      <c r="V145" s="21"/>
      <c r="W145" s="22"/>
      <c r="X145" s="22"/>
      <c r="Y145" s="21"/>
      <c r="Z145" s="20"/>
      <c r="AA145" s="60"/>
      <c r="AB145" s="60"/>
      <c r="AC145" s="60"/>
      <c r="AD145" s="60"/>
      <c r="AE145" s="60"/>
      <c r="AF145" s="60"/>
      <c r="AG145" s="60"/>
      <c r="AH145" s="60"/>
      <c r="AI145" s="60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9"/>
      <c r="BD145" s="59"/>
      <c r="BE145" s="59"/>
      <c r="BF145" s="59"/>
      <c r="BG145" s="59"/>
      <c r="BH145" s="59"/>
      <c r="BI145" s="59"/>
      <c r="BJ145" s="59"/>
      <c r="BK145" s="59"/>
      <c r="BL145" s="59"/>
      <c r="BM145" s="59"/>
      <c r="BN145" s="59"/>
      <c r="BO145" s="59"/>
      <c r="BP145" s="59"/>
      <c r="BQ145" s="59"/>
      <c r="BR145" s="59"/>
      <c r="BS145" s="59"/>
      <c r="BT145" s="59"/>
      <c r="BU145" s="59"/>
      <c r="BV145" s="59"/>
      <c r="BW145" s="59"/>
      <c r="BX145" s="59"/>
      <c r="BY145" s="59"/>
      <c r="BZ145" s="59"/>
      <c r="CA145" s="59"/>
      <c r="CB145" s="59"/>
      <c r="CC145" s="59"/>
      <c r="CD145" s="59"/>
      <c r="CE145" s="59"/>
      <c r="CF145" s="59"/>
      <c r="CG145" s="59"/>
      <c r="CH145" s="59"/>
      <c r="CI145" s="59"/>
      <c r="CJ145" s="59"/>
      <c r="CK145" s="59"/>
      <c r="CL145" s="59"/>
      <c r="CM145" s="59"/>
      <c r="CN145" s="59"/>
      <c r="CO145" s="59"/>
      <c r="CP145" s="59"/>
      <c r="CQ145" s="59"/>
      <c r="CR145" s="59"/>
      <c r="CS145" s="59"/>
      <c r="CT145" s="59"/>
      <c r="CU145" s="59"/>
      <c r="CV145" s="59"/>
      <c r="CW145" s="59"/>
      <c r="CX145" s="59"/>
      <c r="CY145" s="59"/>
      <c r="CZ145" s="59"/>
      <c r="DA145" s="59"/>
      <c r="DB145" s="59"/>
      <c r="DC145" s="59"/>
      <c r="DD145" s="59"/>
      <c r="DE145" s="59"/>
      <c r="DF145" s="59"/>
      <c r="DG145" s="59"/>
      <c r="DH145" s="59"/>
      <c r="DI145" s="59"/>
      <c r="DJ145" s="59"/>
      <c r="DK145" s="59"/>
      <c r="DL145" s="59"/>
      <c r="DM145" s="59"/>
      <c r="DN145" s="59"/>
      <c r="DO145" s="59"/>
      <c r="DP145" s="59"/>
      <c r="DQ145" s="59"/>
      <c r="DR145" s="59"/>
      <c r="DS145" s="59"/>
      <c r="DT145" s="59"/>
      <c r="DU145" s="59"/>
      <c r="DV145" s="59"/>
      <c r="DW145" s="59"/>
      <c r="DX145" s="59"/>
      <c r="DY145" s="59"/>
      <c r="DZ145" s="59"/>
      <c r="EA145" s="59"/>
      <c r="EB145" s="59"/>
      <c r="EC145" s="59"/>
      <c r="ED145" s="59"/>
      <c r="EE145" s="59"/>
      <c r="EF145" s="59"/>
      <c r="EG145" s="59"/>
      <c r="EH145" s="59"/>
      <c r="EI145" s="59"/>
      <c r="EJ145" s="59"/>
      <c r="EK145" s="59"/>
      <c r="EL145" s="59"/>
      <c r="EM145" s="59"/>
      <c r="EN145" s="59"/>
      <c r="EO145" s="59"/>
      <c r="EP145" s="59"/>
      <c r="EQ145" s="59"/>
    </row>
    <row r="146" spans="1:147" ht="13" x14ac:dyDescent="0.25">
      <c r="A146" s="194" t="s">
        <v>34</v>
      </c>
      <c r="B146" s="116">
        <f>D145</f>
        <v>44147.085751412422</v>
      </c>
      <c r="C146" s="220">
        <f>D145</f>
        <v>44147.085751412422</v>
      </c>
      <c r="D146" s="220">
        <f>(E146/24)+C146+(G146/24)</f>
        <v>44147.391718926548</v>
      </c>
      <c r="E146" s="219">
        <f>INDEX('[1]Work sheet'!$G$2:$G$240,MATCH(I146,'[1]Work sheet'!$K$2:$K$240,0))+IFERROR(IF(FIND("WASH",J144,1)&gt;0,0,0.35),0.2)</f>
        <v>4.593220338983051</v>
      </c>
      <c r="F146" s="218">
        <f>IFERROR(MROUND((L146/((INDEX('[1]Work sheet'!$G$2:$G$239,MATCH(I146,'[1]Work sheet'!$K$2:$K$239,0))*0.58)*60)),0.5),"")</f>
        <v>8.5</v>
      </c>
      <c r="G146" s="217">
        <v>2.75</v>
      </c>
      <c r="H146" s="175">
        <f>LEN(J146)-LEN(SUBSTITUTE(J146,",",""))</f>
        <v>0</v>
      </c>
      <c r="I146" s="183">
        <f>'[1]Work sheet'!K125</f>
        <v>1705311</v>
      </c>
      <c r="J146" s="216" t="str">
        <f>VLOOKUP(I146,'[1]Work sheet'!$K$2:L751,2,0)</f>
        <v>WA/M-133.00 P1A 20UN CTN 4 BAGS</v>
      </c>
      <c r="K146" s="110">
        <f>VLOOKUP(I146,'[1]Work sheet'!$K$2:O868,3,0)</f>
        <v>324</v>
      </c>
      <c r="L146" s="110">
        <f>VLOOKUP(I146,'[1]Work sheet'!$K$2:O1263,4,0)</f>
        <v>1296</v>
      </c>
      <c r="M146" s="275">
        <f>VLOOKUP(I146,'[1]Work sheet'!$K$2:T1572,10,0)</f>
        <v>816</v>
      </c>
      <c r="N146" s="172" t="str">
        <f>IFERROR(VLOOKUP(I146,'[1]PO Numbers'!$R$2:S316,2,0),"TBC")</f>
        <v>106990342</v>
      </c>
      <c r="O146" s="171" t="str">
        <f>IFERROR(VLOOKUP(VALUE(N146),'[1]PO Numbers'!$F$1:$J$400,5,0),"xxx")</f>
        <v>PI01</v>
      </c>
      <c r="P146" s="168" t="str">
        <f>VLOOKUP(I146,'[1]Work sheet'!$K$2:AA1188,13,0)</f>
        <v/>
      </c>
      <c r="Q146" s="170">
        <f>VLOOKUP(I146,'[1]Work sheet'!$K$2:AI853,16,0)</f>
        <v>2.25</v>
      </c>
      <c r="R146" s="168" t="str">
        <f>VLOOKUP(I146,'[1]Work sheet'!$K$2:AA548,17,0)</f>
        <v>2-3Kgs 816</v>
      </c>
      <c r="S146" s="169" t="str">
        <f>VLOOKUP(I146,'[1]Work sheet'!$K$2:AL431,28,0)</f>
        <v/>
      </c>
      <c r="T146" s="168" t="str">
        <f>IFERROR(VLOOKUP(I146,[1]Label!$A$1:C1090,3,0),"")</f>
        <v/>
      </c>
      <c r="U146" s="165" t="str">
        <f>IFERROR(IF(OR(VLOOKUP(I146,'[1]Work sheet'!$K$2:U735,11,0)="530",VLOOKUP(I146,'[1]Work sheet'!$K$2:U735,11,0)="526"),"BTO",""),"")</f>
        <v/>
      </c>
      <c r="V146" s="165"/>
      <c r="W146" s="167" t="str">
        <f>IF(COUNTIF('[1]OB Connect'!$F$13:$F$364,N146),"On Openbatch", "No")</f>
        <v>No</v>
      </c>
      <c r="X146" s="166" t="e">
        <f>X144</f>
        <v>#REF!</v>
      </c>
      <c r="Y146" s="274" t="e">
        <f>E146+G146+Y144</f>
        <v>#REF!</v>
      </c>
      <c r="Z146" s="165" t="e">
        <f>IF(Y146&lt;=12,"Shift 1",IF(AND(Y146&gt;12,Y146&lt;=24),"Shift 2",IF(AND(Y146&gt;24,Y146&lt;=36),"Shift 3",IF(AND(Y146&gt;36,Y146&lt;=48),"Shift 4",IF(AND(Y146&gt;48,Y146&lt;=60),"Shift 5",IF(AND(Y146&gt;60,Y146&lt;=72),"Shift 6",IF(AND(Y146&gt;72,Y146&lt;=84),"Shift 7",IF(AND(Y146&gt;84,Y146&lt;=96),IF(AND(Y146&gt;84,Y146&lt;=96),"Shift 8",),"Shift 9"))))))))</f>
        <v>#REF!</v>
      </c>
    </row>
    <row r="147" spans="1:147" ht="19.5" customHeight="1" x14ac:dyDescent="0.25">
      <c r="A147" s="4"/>
      <c r="B147" s="163">
        <f>D146</f>
        <v>44147.391718926548</v>
      </c>
      <c r="C147" s="162">
        <f>D146</f>
        <v>44147.391718926548</v>
      </c>
      <c r="D147" s="162">
        <f>(E147/24)+C147+(G147/24)</f>
        <v>44147.475052259884</v>
      </c>
      <c r="E147" s="64">
        <v>2</v>
      </c>
      <c r="F147" s="64"/>
      <c r="G147" s="161"/>
      <c r="H147" s="271"/>
      <c r="I147" s="271"/>
      <c r="J147" s="273" t="s">
        <v>33</v>
      </c>
      <c r="K147" s="272"/>
      <c r="L147" s="272"/>
      <c r="M147" s="271"/>
      <c r="N147" s="155"/>
      <c r="O147" s="155"/>
      <c r="P147" s="153"/>
      <c r="Q147" s="154"/>
      <c r="R147" s="153"/>
      <c r="S147" s="153"/>
      <c r="T147" s="152"/>
      <c r="U147" s="23"/>
      <c r="V147" s="61"/>
      <c r="W147" s="61"/>
      <c r="X147" s="61"/>
      <c r="Y147" s="61"/>
      <c r="Z147" s="131"/>
    </row>
    <row r="148" spans="1:147" ht="13" x14ac:dyDescent="0.25">
      <c r="A148" s="57"/>
      <c r="B148" s="270"/>
      <c r="C148" s="269"/>
      <c r="D148" s="269"/>
      <c r="E148" s="268">
        <f>COUNT(I84:I146)</f>
        <v>53</v>
      </c>
      <c r="F148" s="268"/>
      <c r="G148" s="267">
        <f>SUM(G84:G147)</f>
        <v>60</v>
      </c>
      <c r="H148" s="259"/>
      <c r="I148" s="259"/>
      <c r="J148" s="266"/>
      <c r="K148" s="265">
        <f>SUM(K84:K146)</f>
        <v>8229</v>
      </c>
      <c r="L148" s="265">
        <f>SUM(L84:L146)</f>
        <v>12537</v>
      </c>
      <c r="M148" s="264"/>
      <c r="N148" s="201"/>
      <c r="O148" s="201"/>
      <c r="P148" s="199"/>
      <c r="Q148" s="200" t="s">
        <v>14</v>
      </c>
      <c r="R148" s="199"/>
      <c r="S148" s="253"/>
      <c r="T148" s="199"/>
      <c r="U148" s="23"/>
      <c r="V148" s="61"/>
      <c r="W148" s="61"/>
      <c r="X148" s="61"/>
      <c r="Y148" s="61"/>
      <c r="Z148" s="131"/>
    </row>
    <row r="149" spans="1:147" ht="13" x14ac:dyDescent="0.25">
      <c r="A149" s="263"/>
      <c r="B149" s="262"/>
      <c r="C149" s="261"/>
      <c r="D149" s="261"/>
      <c r="E149" s="207"/>
      <c r="F149" s="207"/>
      <c r="G149" s="206"/>
      <c r="H149" s="260"/>
      <c r="I149" s="259"/>
      <c r="J149" s="258"/>
      <c r="K149" s="257"/>
      <c r="L149" s="256" t="s">
        <v>60</v>
      </c>
      <c r="M149" s="255">
        <f>L148/8</f>
        <v>1567.125</v>
      </c>
      <c r="N149" s="201"/>
      <c r="O149" s="201"/>
      <c r="P149" s="199"/>
      <c r="Q149" s="254"/>
      <c r="R149" s="199"/>
      <c r="S149" s="253"/>
      <c r="T149" s="252"/>
      <c r="U149" s="23"/>
      <c r="V149" s="61"/>
      <c r="W149" s="61"/>
      <c r="X149" s="61"/>
      <c r="Y149" s="61"/>
      <c r="Z149" s="131"/>
    </row>
    <row r="150" spans="1:147" s="132" customFormat="1" ht="26" x14ac:dyDescent="0.25">
      <c r="A150" s="249"/>
      <c r="B150" s="193" t="s">
        <v>59</v>
      </c>
      <c r="C150" s="192"/>
      <c r="D150" s="192"/>
      <c r="E150" s="192"/>
      <c r="F150" s="192"/>
      <c r="G150" s="191"/>
      <c r="H150" s="190"/>
      <c r="I150" s="251" t="s">
        <v>29</v>
      </c>
      <c r="J150" s="189" t="s">
        <v>28</v>
      </c>
      <c r="K150" s="188" t="s">
        <v>27</v>
      </c>
      <c r="L150" s="188" t="s">
        <v>26</v>
      </c>
      <c r="M150" s="187" t="s">
        <v>25</v>
      </c>
      <c r="N150" s="186" t="s">
        <v>24</v>
      </c>
      <c r="O150" s="184" t="s">
        <v>23</v>
      </c>
      <c r="P150" s="250" t="s">
        <v>58</v>
      </c>
      <c r="Q150" s="185" t="s">
        <v>21</v>
      </c>
      <c r="R150" s="184" t="s">
        <v>20</v>
      </c>
      <c r="S150" s="184" t="s">
        <v>19</v>
      </c>
      <c r="T150" s="184" t="s">
        <v>18</v>
      </c>
      <c r="U150" s="23"/>
      <c r="V150" s="61"/>
      <c r="W150" s="61"/>
      <c r="X150" s="61"/>
      <c r="Y150" s="61"/>
      <c r="Z150" s="131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3"/>
      <c r="AK150" s="133"/>
      <c r="AL150" s="133"/>
      <c r="AM150" s="133"/>
      <c r="AN150" s="133"/>
      <c r="AO150" s="133"/>
      <c r="AP150" s="133"/>
      <c r="AQ150" s="133"/>
      <c r="AR150" s="133"/>
      <c r="AS150" s="133"/>
      <c r="AT150" s="133"/>
      <c r="AU150" s="133"/>
      <c r="AV150" s="133"/>
      <c r="AW150" s="133"/>
      <c r="AX150" s="133"/>
      <c r="AY150" s="133"/>
      <c r="AZ150" s="133"/>
      <c r="BA150" s="133"/>
      <c r="BB150" s="133"/>
      <c r="BC150" s="133"/>
      <c r="BD150" s="133"/>
      <c r="BE150" s="133"/>
      <c r="BF150" s="133"/>
      <c r="BG150" s="133"/>
      <c r="BH150" s="133"/>
      <c r="BI150" s="133"/>
      <c r="BJ150" s="133"/>
      <c r="BK150" s="133"/>
      <c r="BL150" s="133"/>
      <c r="BM150" s="133"/>
      <c r="BN150" s="133"/>
      <c r="BO150" s="133"/>
      <c r="BP150" s="133"/>
      <c r="BQ150" s="133"/>
      <c r="BR150" s="133"/>
      <c r="BS150" s="133"/>
      <c r="BT150" s="133"/>
      <c r="BU150" s="133"/>
      <c r="BV150" s="133"/>
      <c r="BW150" s="133"/>
      <c r="BX150" s="133"/>
      <c r="BY150" s="133"/>
      <c r="BZ150" s="133"/>
      <c r="CA150" s="133"/>
      <c r="CB150" s="133"/>
      <c r="CC150" s="133"/>
      <c r="CD150" s="133"/>
      <c r="CE150" s="133"/>
      <c r="CF150" s="133"/>
      <c r="CG150" s="133"/>
      <c r="CH150" s="133"/>
      <c r="CI150" s="133"/>
      <c r="CJ150" s="133"/>
      <c r="CK150" s="133"/>
      <c r="CL150" s="133"/>
      <c r="CM150" s="133"/>
      <c r="CN150" s="133"/>
      <c r="CO150" s="133"/>
      <c r="CP150" s="133"/>
      <c r="CQ150" s="133"/>
      <c r="CR150" s="133"/>
      <c r="CS150" s="133"/>
      <c r="CT150" s="133"/>
      <c r="CU150" s="133"/>
      <c r="CV150" s="133"/>
      <c r="CW150" s="133"/>
      <c r="CX150" s="133"/>
      <c r="CY150" s="133"/>
      <c r="CZ150" s="133"/>
      <c r="DA150" s="133"/>
      <c r="DB150" s="133"/>
      <c r="DC150" s="133"/>
      <c r="DD150" s="133"/>
      <c r="DE150" s="133"/>
      <c r="DF150" s="133"/>
      <c r="DG150" s="133"/>
      <c r="DH150" s="133"/>
      <c r="DI150" s="133"/>
      <c r="DJ150" s="133"/>
      <c r="DK150" s="133"/>
      <c r="DL150" s="133"/>
      <c r="DM150" s="133"/>
      <c r="DN150" s="133"/>
      <c r="DO150" s="133"/>
      <c r="DP150" s="133"/>
      <c r="DQ150" s="133"/>
      <c r="DR150" s="133"/>
      <c r="DS150" s="133"/>
      <c r="DT150" s="133"/>
      <c r="DU150" s="133"/>
      <c r="DV150" s="133"/>
      <c r="DW150" s="133"/>
      <c r="DX150" s="133"/>
      <c r="DY150" s="133"/>
      <c r="DZ150" s="133"/>
      <c r="EA150" s="133"/>
      <c r="EB150" s="133"/>
      <c r="EC150" s="133"/>
      <c r="ED150" s="133"/>
      <c r="EE150" s="133"/>
      <c r="EF150" s="133"/>
      <c r="EG150" s="133"/>
      <c r="EH150" s="133"/>
      <c r="EI150" s="133"/>
      <c r="EJ150" s="133"/>
      <c r="EK150" s="133"/>
      <c r="EL150" s="133"/>
      <c r="EM150" s="133"/>
      <c r="EN150" s="133"/>
      <c r="EO150" s="133"/>
      <c r="EP150" s="133"/>
      <c r="EQ150" s="133"/>
    </row>
    <row r="151" spans="1:147" ht="13" x14ac:dyDescent="0.25">
      <c r="A151" s="4"/>
      <c r="B151" s="226">
        <v>44144.333333333336</v>
      </c>
      <c r="C151" s="220">
        <f>B151</f>
        <v>44144.333333333336</v>
      </c>
      <c r="D151" s="220">
        <f>C151+(E151+G151)*(1/24)</f>
        <v>44144.350540123458</v>
      </c>
      <c r="E151" s="219">
        <f>INDEX('[1]Work sheet'!$G$2:$G$240,MATCH(I151,'[1]Work sheet'!$K$2:$K$240,0))+IFERROR(IF(FIND("WASH",J150,1)&gt;0,0,0.5),0.25)</f>
        <v>0.41296296296296298</v>
      </c>
      <c r="F151" s="218">
        <f>IFERROR(MROUND((L151/((INDEX('[1]Work sheet'!$G$2:$G$239,MATCH(I151,'[1]Work sheet'!$K$2:$K$239,0))*0.82)*60)),0.5),"")</f>
        <v>8</v>
      </c>
      <c r="G151" s="217"/>
      <c r="H151" s="176"/>
      <c r="I151" s="183">
        <f>'[1]Work sheet'!K126</f>
        <v>1958027</v>
      </c>
      <c r="J151" s="174" t="str">
        <f>VLOOKUP(I151,'[1]Work sheet'!$K$2:L711,2,0)</f>
        <v>WIP SP/B-175.00 P1C 8UN BAG</v>
      </c>
      <c r="K151" s="173">
        <f>VLOOKUP(I151,'[1]Work sheet'!$K$2:O839,3,0)</f>
        <v>66</v>
      </c>
      <c r="L151" s="173">
        <f>VLOOKUP(I151,'[1]Work sheet'!$K$2:O1223,4,0)</f>
        <v>66</v>
      </c>
      <c r="M151" s="171" t="str">
        <f>VLOOKUP(I151,'[1]Work sheet'!$K$2:T1532,10,0)</f>
        <v>TSO</v>
      </c>
      <c r="N151" s="172" t="str">
        <f>IFERROR(VLOOKUP(I151,'[1]PO Numbers'!$R$2:S314,2,0),"TBC")</f>
        <v>106989540</v>
      </c>
      <c r="O151" s="171" t="str">
        <f>IFERROR(VLOOKUP(VALUE(N151),'[1]PO Numbers'!$F$1:$J$400,5,0),"xxx")</f>
        <v>PI01</v>
      </c>
      <c r="P151" s="214">
        <f>IFERROR(INDEX($B$1:$P$147,MATCH("*"&amp;I151&amp;"*",$P$1:$P$147,0),1),"")</f>
        <v>44144.826209745755</v>
      </c>
      <c r="Q151" s="170">
        <f>VLOOKUP(I151,'[1]Work sheet'!$K$2:AI858,16,0)</f>
        <v>1.84</v>
      </c>
      <c r="R151" s="168" t="str">
        <f>VLOOKUP(I151,'[1]Work sheet'!$K$2:AA508,17,0)</f>
        <v>1-2Kgs TSO</v>
      </c>
      <c r="S151" s="169" t="str">
        <f>VLOOKUP(I151,'[1]Work sheet'!$K$2:AL421,28,0)</f>
        <v/>
      </c>
      <c r="T151" s="168" t="str">
        <f>IFERROR(VLOOKUP(I151,[1]Label!$A$1:C1088,3,0),"")</f>
        <v/>
      </c>
      <c r="U151" s="165" t="str">
        <f>IFERROR(IF(OR(VLOOKUP(I151,'[1]Work sheet'!$K$2:U733,11,0)="530",VLOOKUP(I151,'[1]Work sheet'!$K$2:U733,11,0)="526"),"BTO",""),"")</f>
        <v/>
      </c>
      <c r="V151" s="165"/>
      <c r="W151" s="167" t="str">
        <f>IF(COUNTIF('[1]OB Connect'!$F$13:$F$364,N151),"On Openbatch", "No")</f>
        <v>No</v>
      </c>
      <c r="X151" s="166" t="s">
        <v>40</v>
      </c>
      <c r="Y151" s="166"/>
      <c r="Z151" s="165"/>
    </row>
    <row r="152" spans="1:147" s="194" customFormat="1" ht="13" x14ac:dyDescent="0.25">
      <c r="A152" s="231"/>
      <c r="B152" s="229">
        <f>D151</f>
        <v>44144.350540123458</v>
      </c>
      <c r="C152" s="220">
        <f>D151</f>
        <v>44144.350540123458</v>
      </c>
      <c r="D152" s="220">
        <f>C152+(E152+G152)*(1/24)</f>
        <v>44144.419973183569</v>
      </c>
      <c r="E152" s="219">
        <f>INDEX('[1]Work sheet'!$G$2:$G$240,MATCH(I152,'[1]Work sheet'!$K$2:$K$240,0))+IFERROR(IF(FIND("WASH",J153,1)&gt;0,0,0.5),0.25)</f>
        <v>1.6663934426229507</v>
      </c>
      <c r="F152" s="218">
        <f>IFERROR(MROUND((L152/((INDEX('[1]Work sheet'!$G$2:$G$239,MATCH(I152,'[1]Work sheet'!$K$2:$K$239,0))*0.82)*60)),0.5),"")</f>
        <v>6</v>
      </c>
      <c r="G152" s="217"/>
      <c r="H152" s="176"/>
      <c r="I152" s="183">
        <f>'[1]Work sheet'!K128</f>
        <v>1135003</v>
      </c>
      <c r="J152" s="174" t="str">
        <f>VLOOKUP(I152,'[1]Work sheet'!$K$2:L713,2,0)</f>
        <v>WIP TE/MA-7.00/TE/MN-4.00 P1C 2UN BAG</v>
      </c>
      <c r="K152" s="173">
        <f>VLOOKUP(I152,'[1]Work sheet'!$K$2:O841,3,0)</f>
        <v>432</v>
      </c>
      <c r="L152" s="173">
        <f>VLOOKUP(I152,'[1]Work sheet'!$K$2:O1225,4,0)</f>
        <v>432</v>
      </c>
      <c r="M152" s="171" t="str">
        <f>VLOOKUP(I152,'[1]Work sheet'!$K$2:T1534,10,0)</f>
        <v>TSO</v>
      </c>
      <c r="N152" s="172" t="str">
        <f>IFERROR(VLOOKUP(I152,'[1]PO Numbers'!$R$2:S316,2,0),"TBC")</f>
        <v>106989545</v>
      </c>
      <c r="O152" s="171" t="str">
        <f>IFERROR(VLOOKUP(VALUE(N152),'[1]PO Numbers'!$F$1:$J$400,5,0),"xxx")</f>
        <v>PI01</v>
      </c>
      <c r="P152" s="214">
        <f>IFERROR(INDEX($B$1:$P$147,MATCH("*"&amp;I152&amp;"*",$P$1:$P$147,0),1),"")</f>
        <v>44146.466056577476</v>
      </c>
      <c r="Q152" s="170">
        <f>VLOOKUP(I152,'[1]Work sheet'!$K$2:AI860,16,0)</f>
        <v>2.4</v>
      </c>
      <c r="R152" s="168" t="str">
        <f>VLOOKUP(I152,'[1]Work sheet'!$K$2:AA510,17,0)</f>
        <v>2-3Kgs TSO</v>
      </c>
      <c r="S152" s="169" t="str">
        <f>VLOOKUP(I152,'[1]Work sheet'!$K$2:AL423,28,0)</f>
        <v/>
      </c>
      <c r="T152" s="168" t="str">
        <f>IFERROR(VLOOKUP(I152,[1]Label!$A$1:C1090,3,0),"")</f>
        <v/>
      </c>
      <c r="U152" s="165" t="str">
        <f>IFERROR(IF(OR(VLOOKUP(I152,'[1]Work sheet'!$K$2:U735,11,0)="530",VLOOKUP(I152,'[1]Work sheet'!$K$2:U735,11,0)="526"),"BTO",""),"")</f>
        <v/>
      </c>
      <c r="V152" s="166"/>
      <c r="W152" s="167" t="str">
        <f>IF(COUNTIF('[1]OB Connect'!$F$13:$F$364,N152),"On Openbatch", "No")</f>
        <v>No</v>
      </c>
      <c r="X152" s="166" t="str">
        <f>X153</f>
        <v>F_D4C</v>
      </c>
      <c r="Y152" s="166"/>
      <c r="Z152" s="166"/>
      <c r="AA152" s="196"/>
      <c r="AB152" s="196"/>
      <c r="AC152" s="196"/>
      <c r="AD152" s="196"/>
      <c r="AE152" s="196"/>
      <c r="AF152" s="196"/>
      <c r="AG152" s="196"/>
      <c r="AH152" s="196"/>
      <c r="AI152" s="196"/>
      <c r="AJ152" s="195"/>
      <c r="AK152" s="195"/>
      <c r="AL152" s="195"/>
      <c r="AM152" s="195"/>
      <c r="AN152" s="195"/>
      <c r="AO152" s="195"/>
      <c r="AP152" s="195"/>
      <c r="AQ152" s="195"/>
      <c r="AR152" s="195"/>
      <c r="AS152" s="195"/>
      <c r="AT152" s="195"/>
      <c r="AU152" s="195"/>
      <c r="AV152" s="195"/>
      <c r="AW152" s="195"/>
      <c r="AX152" s="195"/>
      <c r="AY152" s="195"/>
      <c r="AZ152" s="195"/>
      <c r="BA152" s="195"/>
      <c r="BB152" s="195"/>
      <c r="BC152" s="195"/>
      <c r="BD152" s="195"/>
      <c r="BE152" s="195"/>
      <c r="BF152" s="195"/>
      <c r="BG152" s="195"/>
      <c r="BH152" s="195"/>
      <c r="BI152" s="195"/>
      <c r="BJ152" s="195"/>
      <c r="BK152" s="195"/>
      <c r="BL152" s="195"/>
      <c r="BM152" s="195"/>
      <c r="BN152" s="195"/>
      <c r="BO152" s="195"/>
      <c r="BP152" s="195"/>
      <c r="BQ152" s="195"/>
      <c r="BR152" s="195"/>
      <c r="BS152" s="195"/>
      <c r="BT152" s="195"/>
      <c r="BU152" s="195"/>
      <c r="BV152" s="195"/>
      <c r="BW152" s="195"/>
      <c r="BX152" s="195"/>
      <c r="BY152" s="195"/>
      <c r="BZ152" s="195"/>
      <c r="CA152" s="195"/>
      <c r="CB152" s="195"/>
      <c r="CC152" s="195"/>
      <c r="CD152" s="195"/>
      <c r="CE152" s="195"/>
      <c r="CF152" s="195"/>
      <c r="CG152" s="195"/>
      <c r="CH152" s="195"/>
      <c r="CI152" s="195"/>
      <c r="CJ152" s="195"/>
      <c r="CK152" s="195"/>
      <c r="CL152" s="195"/>
      <c r="CM152" s="195"/>
      <c r="CN152" s="195"/>
      <c r="CO152" s="195"/>
      <c r="CP152" s="195"/>
      <c r="CQ152" s="195"/>
      <c r="CR152" s="195"/>
      <c r="CS152" s="195"/>
      <c r="CT152" s="195"/>
      <c r="CU152" s="195"/>
      <c r="CV152" s="195"/>
      <c r="CW152" s="195"/>
      <c r="CX152" s="195"/>
      <c r="CY152" s="195"/>
      <c r="CZ152" s="195"/>
      <c r="DA152" s="195"/>
      <c r="DB152" s="195"/>
      <c r="DC152" s="195"/>
      <c r="DD152" s="195"/>
      <c r="DE152" s="195"/>
      <c r="DF152" s="195"/>
      <c r="DG152" s="195"/>
      <c r="DH152" s="195"/>
      <c r="DI152" s="195"/>
      <c r="DJ152" s="195"/>
      <c r="DK152" s="195"/>
      <c r="DL152" s="195"/>
      <c r="DM152" s="195"/>
      <c r="DN152" s="195"/>
      <c r="DO152" s="195"/>
      <c r="DP152" s="195"/>
      <c r="DQ152" s="195"/>
      <c r="DR152" s="195"/>
      <c r="DS152" s="195"/>
      <c r="DT152" s="195"/>
      <c r="DU152" s="195"/>
      <c r="DV152" s="195"/>
      <c r="DW152" s="195"/>
      <c r="DX152" s="195"/>
      <c r="DY152" s="195"/>
      <c r="DZ152" s="195"/>
      <c r="EA152" s="195"/>
      <c r="EB152" s="195"/>
      <c r="EC152" s="195"/>
      <c r="ED152" s="195"/>
      <c r="EE152" s="195"/>
      <c r="EF152" s="195"/>
      <c r="EG152" s="195"/>
      <c r="EH152" s="195"/>
      <c r="EI152" s="195"/>
      <c r="EJ152" s="195"/>
      <c r="EK152" s="195"/>
      <c r="EL152" s="195"/>
      <c r="EM152" s="195"/>
      <c r="EN152" s="195"/>
      <c r="EO152" s="195"/>
      <c r="EP152" s="195"/>
      <c r="EQ152" s="195"/>
    </row>
    <row r="153" spans="1:147" s="194" customFormat="1" ht="13" x14ac:dyDescent="0.25">
      <c r="A153" s="231"/>
      <c r="B153" s="229">
        <f>D152</f>
        <v>44144.419973183569</v>
      </c>
      <c r="C153" s="220">
        <f>D152</f>
        <v>44144.419973183569</v>
      </c>
      <c r="D153" s="220">
        <f>C153+(E153+G153)*(1/24)</f>
        <v>44144.559488210893</v>
      </c>
      <c r="E153" s="219">
        <f>INDEX('[1]Work sheet'!$G$2:$G$240,MATCH(I153,'[1]Work sheet'!$K$2:$K$240,0))+IFERROR(IF(FIND("WASH",J151,1)&gt;0,0,0.5),0.25)</f>
        <v>3.348360655737705</v>
      </c>
      <c r="F153" s="218">
        <f>IFERROR(MROUND((L153/((INDEX('[1]Work sheet'!$G$2:$G$239,MATCH(I153,'[1]Work sheet'!$K$2:$K$239,0))*0.82)*60)),0.5),"")</f>
        <v>6</v>
      </c>
      <c r="G153" s="217"/>
      <c r="H153" s="176"/>
      <c r="I153" s="183">
        <f>'[1]Work sheet'!K127</f>
        <v>1811303</v>
      </c>
      <c r="J153" s="174" t="str">
        <f>VLOOKUP(I153,'[1]Work sheet'!$K$2:L712,2,0)</f>
        <v>WIP DJ-4251.39/69/88/4252.88 P1C 8UN L1</v>
      </c>
      <c r="K153" s="173">
        <f>VLOOKUP(I153,'[1]Work sheet'!$K$2:O840,3,0)</f>
        <v>945</v>
      </c>
      <c r="L153" s="173">
        <f>VLOOKUP(I153,'[1]Work sheet'!$K$2:O1224,4,0)</f>
        <v>945</v>
      </c>
      <c r="M153" s="171" t="str">
        <f>VLOOKUP(I153,'[1]Work sheet'!$K$2:T1533,10,0)</f>
        <v>TSO</v>
      </c>
      <c r="N153" s="172" t="str">
        <f>IFERROR(VLOOKUP(I153,'[1]PO Numbers'!$R$2:S315,2,0),"TBC")</f>
        <v>106989546</v>
      </c>
      <c r="O153" s="171" t="str">
        <f>IFERROR(VLOOKUP(VALUE(N153),'[1]PO Numbers'!$F$1:$J$400,5,0),"xxx")</f>
        <v>PI01</v>
      </c>
      <c r="P153" s="214">
        <f>IFERROR(INDEX($B$1:$P$147,MATCH("*"&amp;I153&amp;"*",$P$1:$P$147,0),1),"")</f>
        <v>44146.696793079085</v>
      </c>
      <c r="Q153" s="170">
        <f>VLOOKUP(I153,'[1]Work sheet'!$K$2:AI859,16,0)</f>
        <v>2.1040000000000001</v>
      </c>
      <c r="R153" s="168" t="str">
        <f>VLOOKUP(I153,'[1]Work sheet'!$K$2:AA509,17,0)</f>
        <v>2-3Kgs TSO</v>
      </c>
      <c r="S153" s="169" t="str">
        <f>VLOOKUP(I153,'[1]Work sheet'!$K$2:AL422,28,0)</f>
        <v/>
      </c>
      <c r="T153" s="168" t="str">
        <f>IFERROR(VLOOKUP(I153,[1]Label!$A$1:C1089,3,0),"")</f>
        <v/>
      </c>
      <c r="U153" s="165" t="str">
        <f>IFERROR(IF(OR(VLOOKUP(I153,'[1]Work sheet'!$K$2:U734,11,0)="530",VLOOKUP(I153,'[1]Work sheet'!$K$2:U734,11,0)="526"),"BTO",""),"")</f>
        <v/>
      </c>
      <c r="V153" s="166"/>
      <c r="W153" s="167" t="str">
        <f>IF(COUNTIF('[1]OB Connect'!$F$13:$F$364,N153),"On Openbatch", "No")</f>
        <v>No</v>
      </c>
      <c r="X153" s="166" t="str">
        <f>X151</f>
        <v>F_D4C</v>
      </c>
      <c r="Y153" s="166"/>
      <c r="Z153" s="166"/>
      <c r="AA153" s="196"/>
      <c r="AB153" s="196"/>
      <c r="AC153" s="196"/>
      <c r="AD153" s="196"/>
      <c r="AE153" s="196"/>
      <c r="AF153" s="196"/>
      <c r="AG153" s="196"/>
      <c r="AH153" s="196"/>
      <c r="AI153" s="196"/>
      <c r="AJ153" s="195"/>
      <c r="AK153" s="195"/>
      <c r="AL153" s="195"/>
      <c r="AM153" s="195"/>
      <c r="AN153" s="195"/>
      <c r="AO153" s="195"/>
      <c r="AP153" s="195"/>
      <c r="AQ153" s="195"/>
      <c r="AR153" s="195"/>
      <c r="AS153" s="195"/>
      <c r="AT153" s="195"/>
      <c r="AU153" s="195"/>
      <c r="AV153" s="195"/>
      <c r="AW153" s="195"/>
      <c r="AX153" s="195"/>
      <c r="AY153" s="195"/>
      <c r="AZ153" s="195"/>
      <c r="BA153" s="195"/>
      <c r="BB153" s="195"/>
      <c r="BC153" s="195"/>
      <c r="BD153" s="195"/>
      <c r="BE153" s="195"/>
      <c r="BF153" s="195"/>
      <c r="BG153" s="195"/>
      <c r="BH153" s="195"/>
      <c r="BI153" s="195"/>
      <c r="BJ153" s="195"/>
      <c r="BK153" s="195"/>
      <c r="BL153" s="195"/>
      <c r="BM153" s="195"/>
      <c r="BN153" s="195"/>
      <c r="BO153" s="195"/>
      <c r="BP153" s="195"/>
      <c r="BQ153" s="195"/>
      <c r="BR153" s="195"/>
      <c r="BS153" s="195"/>
      <c r="BT153" s="195"/>
      <c r="BU153" s="195"/>
      <c r="BV153" s="195"/>
      <c r="BW153" s="195"/>
      <c r="BX153" s="195"/>
      <c r="BY153" s="195"/>
      <c r="BZ153" s="195"/>
      <c r="CA153" s="195"/>
      <c r="CB153" s="195"/>
      <c r="CC153" s="195"/>
      <c r="CD153" s="195"/>
      <c r="CE153" s="195"/>
      <c r="CF153" s="195"/>
      <c r="CG153" s="195"/>
      <c r="CH153" s="195"/>
      <c r="CI153" s="195"/>
      <c r="CJ153" s="195"/>
      <c r="CK153" s="195"/>
      <c r="CL153" s="195"/>
      <c r="CM153" s="195"/>
      <c r="CN153" s="195"/>
      <c r="CO153" s="195"/>
      <c r="CP153" s="195"/>
      <c r="CQ153" s="195"/>
      <c r="CR153" s="195"/>
      <c r="CS153" s="195"/>
      <c r="CT153" s="195"/>
      <c r="CU153" s="195"/>
      <c r="CV153" s="195"/>
      <c r="CW153" s="195"/>
      <c r="CX153" s="195"/>
      <c r="CY153" s="195"/>
      <c r="CZ153" s="195"/>
      <c r="DA153" s="195"/>
      <c r="DB153" s="195"/>
      <c r="DC153" s="195"/>
      <c r="DD153" s="195"/>
      <c r="DE153" s="195"/>
      <c r="DF153" s="195"/>
      <c r="DG153" s="195"/>
      <c r="DH153" s="195"/>
      <c r="DI153" s="195"/>
      <c r="DJ153" s="195"/>
      <c r="DK153" s="195"/>
      <c r="DL153" s="195"/>
      <c r="DM153" s="195"/>
      <c r="DN153" s="195"/>
      <c r="DO153" s="195"/>
      <c r="DP153" s="195"/>
      <c r="DQ153" s="195"/>
      <c r="DR153" s="195"/>
      <c r="DS153" s="195"/>
      <c r="DT153" s="195"/>
      <c r="DU153" s="195"/>
      <c r="DV153" s="195"/>
      <c r="DW153" s="195"/>
      <c r="DX153" s="195"/>
      <c r="DY153" s="195"/>
      <c r="DZ153" s="195"/>
      <c r="EA153" s="195"/>
      <c r="EB153" s="195"/>
      <c r="EC153" s="195"/>
      <c r="ED153" s="195"/>
      <c r="EE153" s="195"/>
      <c r="EF153" s="195"/>
      <c r="EG153" s="195"/>
      <c r="EH153" s="195"/>
      <c r="EI153" s="195"/>
      <c r="EJ153" s="195"/>
      <c r="EK153" s="195"/>
      <c r="EL153" s="195"/>
      <c r="EM153" s="195"/>
      <c r="EN153" s="195"/>
      <c r="EO153" s="195"/>
      <c r="EP153" s="195"/>
      <c r="EQ153" s="195"/>
    </row>
    <row r="154" spans="1:147" s="194" customFormat="1" ht="13" x14ac:dyDescent="0.25">
      <c r="A154" s="231"/>
      <c r="B154" s="229">
        <f>D153</f>
        <v>44144.559488210893</v>
      </c>
      <c r="C154" s="220">
        <f>D153</f>
        <v>44144.559488210893</v>
      </c>
      <c r="D154" s="220">
        <f>C154+(E154+G154)*(1/24)</f>
        <v>44144.706439430403</v>
      </c>
      <c r="E154" s="219">
        <f>INDEX('[1]Work sheet'!$G$2:$G$240,MATCH(I154,'[1]Work sheet'!$K$2:$K$240,0))+IFERROR(IF(FIND("WASH",J152,1)&gt;0,0,0.5),0.25)</f>
        <v>0.77682926829268295</v>
      </c>
      <c r="F154" s="218">
        <f>IFERROR(MROUND((L154/((INDEX('[1]Work sheet'!$G$2:$G$239,MATCH(I154,'[1]Work sheet'!$K$2:$K$239,0))*0.82)*60)),0.5),"")</f>
        <v>4</v>
      </c>
      <c r="G154" s="217">
        <v>2.75</v>
      </c>
      <c r="H154" s="176"/>
      <c r="I154" s="183">
        <f>'[1]Work sheet'!K129</f>
        <v>2005073</v>
      </c>
      <c r="J154" s="174" t="str">
        <f>VLOOKUP(I154,'[1]Work sheet'!$K$2:L714,2,0)</f>
        <v>WIP MN/D-273.50 P1 12UN BAG</v>
      </c>
      <c r="K154" s="173">
        <f>VLOOKUP(I154,'[1]Work sheet'!$K$2:O842,3,0)</f>
        <v>108</v>
      </c>
      <c r="L154" s="173">
        <f>VLOOKUP(I154,'[1]Work sheet'!$K$2:O1226,4,0)</f>
        <v>108</v>
      </c>
      <c r="M154" s="171" t="str">
        <f>VLOOKUP(I154,'[1]Work sheet'!$K$2:T1535,10,0)</f>
        <v>TSO</v>
      </c>
      <c r="N154" s="172" t="str">
        <f>IFERROR(VLOOKUP(I154,'[1]PO Numbers'!$R$2:S317,2,0),"TBC")</f>
        <v>106989537</v>
      </c>
      <c r="O154" s="171" t="str">
        <f>IFERROR(VLOOKUP(VALUE(N154),'[1]PO Numbers'!$F$1:$J$400,5,0),"xxx")</f>
        <v>PI01</v>
      </c>
      <c r="P154" s="214">
        <f>IFERROR(INDEX($B$1:$P$147,MATCH("*"&amp;I154&amp;"*",$P$1:$P$147,0),1),"")</f>
        <v>44146.859626412413</v>
      </c>
      <c r="Q154" s="170">
        <f>VLOOKUP(I154,'[1]Work sheet'!$K$2:AI861,16,0)</f>
        <v>3.6</v>
      </c>
      <c r="R154" s="168" t="str">
        <f>VLOOKUP(I154,'[1]Work sheet'!$K$2:AA511,17,0)</f>
        <v>3-4Kgs TSO</v>
      </c>
      <c r="S154" s="169" t="str">
        <f>VLOOKUP(I154,'[1]Work sheet'!$K$2:AL424,28,0)</f>
        <v/>
      </c>
      <c r="T154" s="168" t="str">
        <f>IFERROR(VLOOKUP(I154,[1]Label!$A$1:C1091,3,0),"")</f>
        <v/>
      </c>
      <c r="U154" s="165" t="str">
        <f>IFERROR(IF(OR(VLOOKUP(I154,'[1]Work sheet'!$K$2:U736,11,0)="530",VLOOKUP(I154,'[1]Work sheet'!$K$2:U736,11,0)="526"),"BTO",""),"")</f>
        <v/>
      </c>
      <c r="V154" s="166"/>
      <c r="W154" s="167" t="str">
        <f>IF(COUNTIF('[1]OB Connect'!$F$13:$F$364,N154),"On Openbatch", "No")</f>
        <v>No</v>
      </c>
      <c r="X154" s="166" t="str">
        <f>X152</f>
        <v>F_D4C</v>
      </c>
      <c r="Y154" s="166"/>
      <c r="Z154" s="166"/>
      <c r="AA154" s="196"/>
      <c r="AB154" s="196"/>
      <c r="AC154" s="196"/>
      <c r="AD154" s="196"/>
      <c r="AE154" s="196"/>
      <c r="AF154" s="196"/>
      <c r="AG154" s="196"/>
      <c r="AH154" s="196"/>
      <c r="AI154" s="196"/>
      <c r="AJ154" s="195"/>
      <c r="AK154" s="195"/>
      <c r="AL154" s="195"/>
      <c r="AM154" s="195"/>
      <c r="AN154" s="195"/>
      <c r="AO154" s="195"/>
      <c r="AP154" s="195"/>
      <c r="AQ154" s="195"/>
      <c r="AR154" s="195"/>
      <c r="AS154" s="195"/>
      <c r="AT154" s="195"/>
      <c r="AU154" s="195"/>
      <c r="AV154" s="195"/>
      <c r="AW154" s="195"/>
      <c r="AX154" s="195"/>
      <c r="AY154" s="195"/>
      <c r="AZ154" s="195"/>
      <c r="BA154" s="195"/>
      <c r="BB154" s="195"/>
      <c r="BC154" s="195"/>
      <c r="BD154" s="195"/>
      <c r="BE154" s="195"/>
      <c r="BF154" s="195"/>
      <c r="BG154" s="195"/>
      <c r="BH154" s="195"/>
      <c r="BI154" s="195"/>
      <c r="BJ154" s="195"/>
      <c r="BK154" s="195"/>
      <c r="BL154" s="195"/>
      <c r="BM154" s="195"/>
      <c r="BN154" s="195"/>
      <c r="BO154" s="195"/>
      <c r="BP154" s="195"/>
      <c r="BQ154" s="195"/>
      <c r="BR154" s="195"/>
      <c r="BS154" s="195"/>
      <c r="BT154" s="195"/>
      <c r="BU154" s="195"/>
      <c r="BV154" s="195"/>
      <c r="BW154" s="195"/>
      <c r="BX154" s="195"/>
      <c r="BY154" s="195"/>
      <c r="BZ154" s="195"/>
      <c r="CA154" s="195"/>
      <c r="CB154" s="195"/>
      <c r="CC154" s="195"/>
      <c r="CD154" s="195"/>
      <c r="CE154" s="195"/>
      <c r="CF154" s="195"/>
      <c r="CG154" s="195"/>
      <c r="CH154" s="195"/>
      <c r="CI154" s="195"/>
      <c r="CJ154" s="195"/>
      <c r="CK154" s="195"/>
      <c r="CL154" s="195"/>
      <c r="CM154" s="195"/>
      <c r="CN154" s="195"/>
      <c r="CO154" s="195"/>
      <c r="CP154" s="195"/>
      <c r="CQ154" s="195"/>
      <c r="CR154" s="195"/>
      <c r="CS154" s="195"/>
      <c r="CT154" s="195"/>
      <c r="CU154" s="195"/>
      <c r="CV154" s="195"/>
      <c r="CW154" s="195"/>
      <c r="CX154" s="195"/>
      <c r="CY154" s="195"/>
      <c r="CZ154" s="195"/>
      <c r="DA154" s="195"/>
      <c r="DB154" s="195"/>
      <c r="DC154" s="195"/>
      <c r="DD154" s="195"/>
      <c r="DE154" s="195"/>
      <c r="DF154" s="195"/>
      <c r="DG154" s="195"/>
      <c r="DH154" s="195"/>
      <c r="DI154" s="195"/>
      <c r="DJ154" s="195"/>
      <c r="DK154" s="195"/>
      <c r="DL154" s="195"/>
      <c r="DM154" s="195"/>
      <c r="DN154" s="195"/>
      <c r="DO154" s="195"/>
      <c r="DP154" s="195"/>
      <c r="DQ154" s="195"/>
      <c r="DR154" s="195"/>
      <c r="DS154" s="195"/>
      <c r="DT154" s="195"/>
      <c r="DU154" s="195"/>
      <c r="DV154" s="195"/>
      <c r="DW154" s="195"/>
      <c r="DX154" s="195"/>
      <c r="DY154" s="195"/>
      <c r="DZ154" s="195"/>
      <c r="EA154" s="195"/>
      <c r="EB154" s="195"/>
      <c r="EC154" s="195"/>
      <c r="ED154" s="195"/>
      <c r="EE154" s="195"/>
      <c r="EF154" s="195"/>
      <c r="EG154" s="195"/>
      <c r="EH154" s="195"/>
      <c r="EI154" s="195"/>
      <c r="EJ154" s="195"/>
      <c r="EK154" s="195"/>
      <c r="EL154" s="195"/>
      <c r="EM154" s="195"/>
      <c r="EN154" s="195"/>
      <c r="EO154" s="195"/>
      <c r="EP154" s="195"/>
      <c r="EQ154" s="195"/>
    </row>
    <row r="155" spans="1:147" s="194" customFormat="1" ht="13" x14ac:dyDescent="0.25">
      <c r="A155" s="249" t="s">
        <v>57</v>
      </c>
      <c r="B155" s="248">
        <f>D154</f>
        <v>44144.706439430403</v>
      </c>
      <c r="C155" s="247">
        <f>D154</f>
        <v>44144.706439430403</v>
      </c>
      <c r="D155" s="247">
        <f>C155+(E155+G155)*(1/24)</f>
        <v>44144.721279965386</v>
      </c>
      <c r="E155" s="246">
        <f>INDEX('[1]Work sheet'!$G$2:$G$240,MATCH(I155,'[1]Work sheet'!$K$2:$K$240,0))+IFERROR(IF(FIND("WASH",J153,1)&gt;0,0,0.5),0.25)</f>
        <v>0.35617283950617284</v>
      </c>
      <c r="F155" s="246">
        <f>IFERROR(MROUND((L155/((INDEX('[1]Work sheet'!$G$2:$G$239,MATCH(I155,'[1]Work sheet'!$K$2:$K$239,0))*0.82)*60)),0.5),"")</f>
        <v>8</v>
      </c>
      <c r="G155" s="245"/>
      <c r="H155" s="244"/>
      <c r="I155" s="243">
        <f>'[1]Work sheet'!K130</f>
        <v>1684601</v>
      </c>
      <c r="J155" s="242" t="str">
        <f>VLOOKUP(I155,'[1]Work sheet'!$K$2:L715,2,0)</f>
        <v>WIP DJ-4251.69 P1C 1UN BAG</v>
      </c>
      <c r="K155" s="241">
        <f>VLOOKUP(I155,'[1]Work sheet'!$K$2:O843,3,0)</f>
        <v>43</v>
      </c>
      <c r="L155" s="241">
        <f>VLOOKUP(I155,'[1]Work sheet'!$K$2:O1227,4,0)</f>
        <v>43</v>
      </c>
      <c r="M155" s="240" t="str">
        <f>VLOOKUP(I155,'[1]Work sheet'!$K$2:T1536,10,0)</f>
        <v>TSO</v>
      </c>
      <c r="N155" s="240" t="str">
        <f>IFERROR(VLOOKUP(I155,'[1]PO Numbers'!$R$2:S318,2,0),"TBC")</f>
        <v>106989538</v>
      </c>
      <c r="O155" s="240" t="str">
        <f>IFERROR(VLOOKUP(VALUE(N155),'[1]PO Numbers'!$F$1:$J$400,5,0),"xxx")</f>
        <v>PI01</v>
      </c>
      <c r="P155" s="239" t="str">
        <f>IFERROR(INDEX($B$1:$P$147,MATCH("*"&amp;I155&amp;"*",$P$1:$P$147,0),1),"")</f>
        <v/>
      </c>
      <c r="Q155" s="238">
        <f>VLOOKUP(I155,'[1]Work sheet'!$K$2:AI862,16,0)</f>
        <v>0.26300000000000001</v>
      </c>
      <c r="R155" s="236" t="str">
        <f>VLOOKUP(I155,'[1]Work sheet'!$K$2:AA512,17,0)</f>
        <v>0-1Kgs TSO</v>
      </c>
      <c r="S155" s="237" t="str">
        <f>VLOOKUP(I155,'[1]Work sheet'!$K$2:AL425,28,0)</f>
        <v/>
      </c>
      <c r="T155" s="236" t="str">
        <f>IFERROR(VLOOKUP(I155,[1]Label!$A$1:C1092,3,0),"")</f>
        <v/>
      </c>
      <c r="U155" s="235" t="str">
        <f>IFERROR(IF(OR(VLOOKUP(I155,'[1]Work sheet'!$K$2:U737,11,0)="530",VLOOKUP(I155,'[1]Work sheet'!$K$2:U737,11,0)="526"),"BTO",""),"")</f>
        <v/>
      </c>
      <c r="V155" s="234"/>
      <c r="W155" s="233" t="str">
        <f>IF(COUNTIF('[1]OB Connect'!$F$13:$F$364,N155),"On Openbatch", "No")</f>
        <v>No</v>
      </c>
      <c r="X155" s="166" t="str">
        <f>X153</f>
        <v>F_D4C</v>
      </c>
      <c r="Y155" s="166"/>
      <c r="Z155" s="166"/>
      <c r="AA155" s="196"/>
      <c r="AB155" s="196"/>
      <c r="AC155" s="196"/>
      <c r="AD155" s="196"/>
      <c r="AE155" s="196"/>
      <c r="AF155" s="196"/>
      <c r="AG155" s="196"/>
      <c r="AH155" s="196"/>
      <c r="AI155" s="196"/>
      <c r="AJ155" s="195"/>
      <c r="AK155" s="195"/>
      <c r="AL155" s="195"/>
      <c r="AM155" s="195"/>
      <c r="AN155" s="195"/>
      <c r="AO155" s="195"/>
      <c r="AP155" s="195"/>
      <c r="AQ155" s="195"/>
      <c r="AR155" s="195"/>
      <c r="AS155" s="195"/>
      <c r="AT155" s="195"/>
      <c r="AU155" s="195"/>
      <c r="AV155" s="195"/>
      <c r="AW155" s="195"/>
      <c r="AX155" s="195"/>
      <c r="AY155" s="195"/>
      <c r="AZ155" s="195"/>
      <c r="BA155" s="195"/>
      <c r="BB155" s="195"/>
      <c r="BC155" s="195"/>
      <c r="BD155" s="195"/>
      <c r="BE155" s="195"/>
      <c r="BF155" s="195"/>
      <c r="BG155" s="195"/>
      <c r="BH155" s="195"/>
      <c r="BI155" s="195"/>
      <c r="BJ155" s="195"/>
      <c r="BK155" s="195"/>
      <c r="BL155" s="195"/>
      <c r="BM155" s="195"/>
      <c r="BN155" s="195"/>
      <c r="BO155" s="195"/>
      <c r="BP155" s="195"/>
      <c r="BQ155" s="195"/>
      <c r="BR155" s="195"/>
      <c r="BS155" s="195"/>
      <c r="BT155" s="195"/>
      <c r="BU155" s="195"/>
      <c r="BV155" s="195"/>
      <c r="BW155" s="195"/>
      <c r="BX155" s="195"/>
      <c r="BY155" s="195"/>
      <c r="BZ155" s="195"/>
      <c r="CA155" s="195"/>
      <c r="CB155" s="195"/>
      <c r="CC155" s="195"/>
      <c r="CD155" s="195"/>
      <c r="CE155" s="195"/>
      <c r="CF155" s="195"/>
      <c r="CG155" s="195"/>
      <c r="CH155" s="195"/>
      <c r="CI155" s="195"/>
      <c r="CJ155" s="195"/>
      <c r="CK155" s="195"/>
      <c r="CL155" s="195"/>
      <c r="CM155" s="195"/>
      <c r="CN155" s="195"/>
      <c r="CO155" s="195"/>
      <c r="CP155" s="195"/>
      <c r="CQ155" s="195"/>
      <c r="CR155" s="195"/>
      <c r="CS155" s="195"/>
      <c r="CT155" s="195"/>
      <c r="CU155" s="195"/>
      <c r="CV155" s="195"/>
      <c r="CW155" s="195"/>
      <c r="CX155" s="195"/>
      <c r="CY155" s="195"/>
      <c r="CZ155" s="195"/>
      <c r="DA155" s="195"/>
      <c r="DB155" s="195"/>
      <c r="DC155" s="195"/>
      <c r="DD155" s="195"/>
      <c r="DE155" s="195"/>
      <c r="DF155" s="195"/>
      <c r="DG155" s="195"/>
      <c r="DH155" s="195"/>
      <c r="DI155" s="195"/>
      <c r="DJ155" s="195"/>
      <c r="DK155" s="195"/>
      <c r="DL155" s="195"/>
      <c r="DM155" s="195"/>
      <c r="DN155" s="195"/>
      <c r="DO155" s="195"/>
      <c r="DP155" s="195"/>
      <c r="DQ155" s="195"/>
      <c r="DR155" s="195"/>
      <c r="DS155" s="195"/>
      <c r="DT155" s="195"/>
      <c r="DU155" s="195"/>
      <c r="DV155" s="195"/>
      <c r="DW155" s="195"/>
      <c r="DX155" s="195"/>
      <c r="DY155" s="195"/>
      <c r="DZ155" s="195"/>
      <c r="EA155" s="195"/>
      <c r="EB155" s="195"/>
      <c r="EC155" s="195"/>
      <c r="ED155" s="195"/>
      <c r="EE155" s="195"/>
      <c r="EF155" s="195"/>
      <c r="EG155" s="195"/>
      <c r="EH155" s="195"/>
      <c r="EI155" s="195"/>
      <c r="EJ155" s="195"/>
      <c r="EK155" s="195"/>
      <c r="EL155" s="195"/>
      <c r="EM155" s="195"/>
      <c r="EN155" s="195"/>
      <c r="EO155" s="195"/>
      <c r="EP155" s="195"/>
      <c r="EQ155" s="195"/>
    </row>
    <row r="156" spans="1:147" s="58" customFormat="1" ht="13" x14ac:dyDescent="0.25">
      <c r="A156" s="118"/>
      <c r="B156" s="126">
        <f>D155</f>
        <v>44144.721279965386</v>
      </c>
      <c r="C156" s="125">
        <f>D155</f>
        <v>44144.721279965386</v>
      </c>
      <c r="D156" s="125">
        <f>C156+(E156+G156)*(1/24)</f>
        <v>44145.304613298722</v>
      </c>
      <c r="E156" s="124"/>
      <c r="F156" s="124"/>
      <c r="G156" s="123">
        <v>14</v>
      </c>
      <c r="H156" s="119"/>
      <c r="I156" s="223"/>
      <c r="J156" s="222" t="s">
        <v>56</v>
      </c>
      <c r="K156" s="221"/>
      <c r="L156" s="120"/>
      <c r="N156" s="118"/>
      <c r="O156" s="118"/>
      <c r="P156" s="117"/>
      <c r="T156" s="117"/>
      <c r="U156" s="23"/>
      <c r="V156" s="21"/>
      <c r="W156" s="22"/>
      <c r="X156" s="22"/>
      <c r="Y156" s="21"/>
      <c r="Z156" s="20"/>
      <c r="AA156" s="60"/>
      <c r="AB156" s="60"/>
      <c r="AC156" s="60"/>
      <c r="AD156" s="60"/>
      <c r="AE156" s="60"/>
      <c r="AF156" s="60"/>
      <c r="AG156" s="60"/>
      <c r="AH156" s="60"/>
      <c r="AI156" s="60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  <c r="BD156" s="59"/>
      <c r="BE156" s="59"/>
      <c r="BF156" s="59"/>
      <c r="BG156" s="59"/>
      <c r="BH156" s="59"/>
      <c r="BI156" s="59"/>
      <c r="BJ156" s="59"/>
      <c r="BK156" s="59"/>
      <c r="BL156" s="59"/>
      <c r="BM156" s="59"/>
      <c r="BN156" s="59"/>
      <c r="BO156" s="59"/>
      <c r="BP156" s="59"/>
      <c r="BQ156" s="59"/>
      <c r="BR156" s="59"/>
      <c r="BS156" s="59"/>
      <c r="BT156" s="59"/>
      <c r="BU156" s="59"/>
      <c r="BV156" s="59"/>
      <c r="BW156" s="59"/>
      <c r="BX156" s="59"/>
      <c r="BY156" s="59"/>
      <c r="BZ156" s="59"/>
      <c r="CA156" s="59"/>
      <c r="CB156" s="59"/>
      <c r="CC156" s="59"/>
      <c r="CD156" s="59"/>
      <c r="CE156" s="59"/>
      <c r="CF156" s="59"/>
      <c r="CG156" s="59"/>
      <c r="CH156" s="59"/>
      <c r="CI156" s="59"/>
      <c r="CJ156" s="59"/>
      <c r="CK156" s="59"/>
      <c r="CL156" s="59"/>
      <c r="CM156" s="59"/>
      <c r="CN156" s="59"/>
      <c r="CO156" s="59"/>
      <c r="CP156" s="59"/>
      <c r="CQ156" s="59"/>
      <c r="CR156" s="59"/>
      <c r="CS156" s="59"/>
      <c r="CT156" s="59"/>
      <c r="CU156" s="59"/>
      <c r="CV156" s="59"/>
      <c r="CW156" s="59"/>
      <c r="CX156" s="59"/>
      <c r="CY156" s="59"/>
      <c r="CZ156" s="59"/>
      <c r="DA156" s="59"/>
      <c r="DB156" s="59"/>
      <c r="DC156" s="59"/>
      <c r="DD156" s="59"/>
      <c r="DE156" s="59"/>
      <c r="DF156" s="59"/>
      <c r="DG156" s="59"/>
      <c r="DH156" s="59"/>
      <c r="DI156" s="59"/>
      <c r="DJ156" s="59"/>
      <c r="DK156" s="59"/>
      <c r="DL156" s="59"/>
      <c r="DM156" s="59"/>
      <c r="DN156" s="59"/>
      <c r="DO156" s="59"/>
      <c r="DP156" s="59"/>
      <c r="DQ156" s="59"/>
      <c r="DR156" s="59"/>
      <c r="DS156" s="59"/>
      <c r="DT156" s="59"/>
      <c r="DU156" s="59"/>
      <c r="DV156" s="59"/>
      <c r="DW156" s="59"/>
      <c r="DX156" s="59"/>
      <c r="DY156" s="59"/>
      <c r="DZ156" s="59"/>
      <c r="EA156" s="59"/>
      <c r="EB156" s="59"/>
      <c r="EC156" s="59"/>
      <c r="ED156" s="59"/>
      <c r="EE156" s="59"/>
      <c r="EF156" s="59"/>
      <c r="EG156" s="59"/>
      <c r="EH156" s="59"/>
      <c r="EI156" s="59"/>
      <c r="EJ156" s="59"/>
      <c r="EK156" s="59"/>
      <c r="EL156" s="59"/>
      <c r="EM156" s="59"/>
      <c r="EN156" s="59"/>
      <c r="EO156" s="59"/>
      <c r="EP156" s="59"/>
      <c r="EQ156" s="59"/>
    </row>
    <row r="157" spans="1:147" s="194" customFormat="1" ht="13" x14ac:dyDescent="0.25">
      <c r="A157" s="231"/>
      <c r="B157" s="229">
        <f>D156</f>
        <v>44145.304613298722</v>
      </c>
      <c r="C157" s="220">
        <f>D156</f>
        <v>44145.304613298722</v>
      </c>
      <c r="D157" s="220">
        <f>C157+(E157+G157)*(1/24)</f>
        <v>44145.403554555553</v>
      </c>
      <c r="E157" s="219">
        <f>INDEX('[1]Work sheet'!$G$2:$G$240,MATCH(I157,'[1]Work sheet'!$K$2:$K$240,0))+IFERROR(IF(FIND("WASH",J154,1)&gt;0,0,0.5),0.25)</f>
        <v>2.374590163934426</v>
      </c>
      <c r="F157" s="218">
        <f>IFERROR(MROUND((L157/((INDEX('[1]Work sheet'!$G$2:$G$239,MATCH(I157,'[1]Work sheet'!$K$2:$K$239,0))*0.82)*60)),0.5),"")</f>
        <v>6</v>
      </c>
      <c r="G157" s="217"/>
      <c r="H157" s="176"/>
      <c r="I157" s="183">
        <f>'[1]Work sheet'!K131</f>
        <v>1843873</v>
      </c>
      <c r="J157" s="174" t="str">
        <f>VLOOKUP(I157,'[1]Work sheet'!$K$2:L716,2,0)</f>
        <v>WIP TE/MA-7.00/TE/MN-4.00 P1C 2UN BAG CQ</v>
      </c>
      <c r="K157" s="173">
        <f>VLOOKUP(I157,'[1]Work sheet'!$K$2:O844,3,0)</f>
        <v>648</v>
      </c>
      <c r="L157" s="173">
        <f>VLOOKUP(I157,'[1]Work sheet'!$K$2:O1228,4,0)</f>
        <v>648</v>
      </c>
      <c r="M157" s="171" t="str">
        <f>VLOOKUP(I157,'[1]Work sheet'!$K$2:T1537,10,0)</f>
        <v>TSO</v>
      </c>
      <c r="N157" s="172" t="str">
        <f>IFERROR(VLOOKUP(I157,'[1]PO Numbers'!$R$2:S319,2,0),"TBC")</f>
        <v>106989541</v>
      </c>
      <c r="O157" s="171" t="str">
        <f>IFERROR(VLOOKUP(VALUE(N157),'[1]PO Numbers'!$F$1:$J$400,5,0),"xxx")</f>
        <v>PI01</v>
      </c>
      <c r="P157" s="214" t="str">
        <f>IFERROR(INDEX($B$1:$P$147,MATCH("*"&amp;I157&amp;"*",$P$1:$P$147,0),1),"")</f>
        <v/>
      </c>
      <c r="Q157" s="170">
        <f>VLOOKUP(I157,'[1]Work sheet'!$K$2:AI863,16,0)</f>
        <v>2.4</v>
      </c>
      <c r="R157" s="168" t="str">
        <f>VLOOKUP(I157,'[1]Work sheet'!$K$2:AA513,17,0)</f>
        <v>2-3Kgs TSO</v>
      </c>
      <c r="S157" s="169" t="str">
        <f>VLOOKUP(I157,'[1]Work sheet'!$K$2:AL426,28,0)</f>
        <v/>
      </c>
      <c r="T157" s="168" t="str">
        <f>IFERROR(VLOOKUP(I157,[1]Label!$A$1:C1093,3,0),"")</f>
        <v/>
      </c>
      <c r="U157" s="165" t="str">
        <f>IFERROR(IF(OR(VLOOKUP(I157,'[1]Work sheet'!$K$2:U738,11,0)="530",VLOOKUP(I157,'[1]Work sheet'!$K$2:U738,11,0)="526"),"BTO",""),"")</f>
        <v/>
      </c>
      <c r="V157" s="166"/>
      <c r="W157" s="167" t="str">
        <f>IF(COUNTIF('[1]OB Connect'!$F$13:$F$364,N157),"On Openbatch", "No")</f>
        <v>No</v>
      </c>
      <c r="X157" s="166" t="str">
        <f>X154</f>
        <v>F_D4C</v>
      </c>
      <c r="Y157" s="166"/>
      <c r="Z157" s="166"/>
      <c r="AA157" s="196"/>
      <c r="AB157" s="196"/>
      <c r="AC157" s="196"/>
      <c r="AD157" s="196"/>
      <c r="AE157" s="196"/>
      <c r="AF157" s="196"/>
      <c r="AG157" s="196"/>
      <c r="AH157" s="196"/>
      <c r="AI157" s="196"/>
      <c r="AJ157" s="195"/>
      <c r="AK157" s="195"/>
      <c r="AL157" s="195"/>
      <c r="AM157" s="195"/>
      <c r="AN157" s="195"/>
      <c r="AO157" s="195"/>
      <c r="AP157" s="195"/>
      <c r="AQ157" s="195"/>
      <c r="AR157" s="195"/>
      <c r="AS157" s="195"/>
      <c r="AT157" s="195"/>
      <c r="AU157" s="195"/>
      <c r="AV157" s="195"/>
      <c r="AW157" s="195"/>
      <c r="AX157" s="195"/>
      <c r="AY157" s="195"/>
      <c r="AZ157" s="195"/>
      <c r="BA157" s="195"/>
      <c r="BB157" s="195"/>
      <c r="BC157" s="195"/>
      <c r="BD157" s="195"/>
      <c r="BE157" s="195"/>
      <c r="BF157" s="195"/>
      <c r="BG157" s="195"/>
      <c r="BH157" s="195"/>
      <c r="BI157" s="195"/>
      <c r="BJ157" s="195"/>
      <c r="BK157" s="195"/>
      <c r="BL157" s="195"/>
      <c r="BM157" s="195"/>
      <c r="BN157" s="195"/>
      <c r="BO157" s="195"/>
      <c r="BP157" s="195"/>
      <c r="BQ157" s="195"/>
      <c r="BR157" s="195"/>
      <c r="BS157" s="195"/>
      <c r="BT157" s="195"/>
      <c r="BU157" s="195"/>
      <c r="BV157" s="195"/>
      <c r="BW157" s="195"/>
      <c r="BX157" s="195"/>
      <c r="BY157" s="195"/>
      <c r="BZ157" s="195"/>
      <c r="CA157" s="195"/>
      <c r="CB157" s="195"/>
      <c r="CC157" s="195"/>
      <c r="CD157" s="195"/>
      <c r="CE157" s="195"/>
      <c r="CF157" s="195"/>
      <c r="CG157" s="195"/>
      <c r="CH157" s="195"/>
      <c r="CI157" s="195"/>
      <c r="CJ157" s="195"/>
      <c r="CK157" s="195"/>
      <c r="CL157" s="195"/>
      <c r="CM157" s="195"/>
      <c r="CN157" s="195"/>
      <c r="CO157" s="195"/>
      <c r="CP157" s="195"/>
      <c r="CQ157" s="195"/>
      <c r="CR157" s="195"/>
      <c r="CS157" s="195"/>
      <c r="CT157" s="195"/>
      <c r="CU157" s="195"/>
      <c r="CV157" s="195"/>
      <c r="CW157" s="195"/>
      <c r="CX157" s="195"/>
      <c r="CY157" s="195"/>
      <c r="CZ157" s="195"/>
      <c r="DA157" s="195"/>
      <c r="DB157" s="195"/>
      <c r="DC157" s="195"/>
      <c r="DD157" s="195"/>
      <c r="DE157" s="195"/>
      <c r="DF157" s="195"/>
      <c r="DG157" s="195"/>
      <c r="DH157" s="195"/>
      <c r="DI157" s="195"/>
      <c r="DJ157" s="195"/>
      <c r="DK157" s="195"/>
      <c r="DL157" s="195"/>
      <c r="DM157" s="195"/>
      <c r="DN157" s="195"/>
      <c r="DO157" s="195"/>
      <c r="DP157" s="195"/>
      <c r="DQ157" s="195"/>
      <c r="DR157" s="195"/>
      <c r="DS157" s="195"/>
      <c r="DT157" s="195"/>
      <c r="DU157" s="195"/>
      <c r="DV157" s="195"/>
      <c r="DW157" s="195"/>
      <c r="DX157" s="195"/>
      <c r="DY157" s="195"/>
      <c r="DZ157" s="195"/>
      <c r="EA157" s="195"/>
      <c r="EB157" s="195"/>
      <c r="EC157" s="195"/>
      <c r="ED157" s="195"/>
      <c r="EE157" s="195"/>
      <c r="EF157" s="195"/>
      <c r="EG157" s="195"/>
      <c r="EH157" s="195"/>
      <c r="EI157" s="195"/>
      <c r="EJ157" s="195"/>
      <c r="EK157" s="195"/>
      <c r="EL157" s="195"/>
      <c r="EM157" s="195"/>
      <c r="EN157" s="195"/>
      <c r="EO157" s="195"/>
      <c r="EP157" s="195"/>
      <c r="EQ157" s="195"/>
    </row>
    <row r="158" spans="1:147" s="58" customFormat="1" ht="13" x14ac:dyDescent="0.25">
      <c r="B158" s="116">
        <f>D157</f>
        <v>44145.403554555553</v>
      </c>
      <c r="C158" s="115">
        <f>D157</f>
        <v>44145.403554555553</v>
      </c>
      <c r="D158" s="115">
        <f>C158+(E158+G158)*(1/24)</f>
        <v>44145.486887888888</v>
      </c>
      <c r="E158" s="114">
        <v>2</v>
      </c>
      <c r="F158" s="114"/>
      <c r="G158" s="113"/>
      <c r="H158" s="109"/>
      <c r="I158" s="112"/>
      <c r="J158" s="58" t="s">
        <v>10</v>
      </c>
      <c r="K158" s="111"/>
      <c r="L158" s="110"/>
      <c r="P158" s="108"/>
      <c r="Q158" s="109"/>
      <c r="S158" s="108"/>
      <c r="T158" s="108"/>
      <c r="U158" s="23"/>
      <c r="V158" s="21"/>
      <c r="W158" s="22"/>
      <c r="X158" s="22"/>
      <c r="Y158" s="21"/>
      <c r="Z158" s="20"/>
      <c r="AA158" s="60"/>
      <c r="AB158" s="60"/>
      <c r="AC158" s="60"/>
      <c r="AD158" s="60"/>
      <c r="AE158" s="60"/>
      <c r="AF158" s="60"/>
      <c r="AG158" s="60"/>
      <c r="AH158" s="60"/>
      <c r="AI158" s="60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  <c r="BD158" s="59"/>
      <c r="BE158" s="59"/>
      <c r="BF158" s="59"/>
      <c r="BG158" s="59"/>
      <c r="BH158" s="59"/>
      <c r="BI158" s="59"/>
      <c r="BJ158" s="59"/>
      <c r="BK158" s="59"/>
      <c r="BL158" s="59"/>
      <c r="BM158" s="59"/>
      <c r="BN158" s="59"/>
      <c r="BO158" s="59"/>
      <c r="BP158" s="59"/>
      <c r="BQ158" s="59"/>
      <c r="BR158" s="59"/>
      <c r="BS158" s="59"/>
      <c r="BT158" s="59"/>
      <c r="BU158" s="59"/>
      <c r="BV158" s="59"/>
      <c r="BW158" s="59"/>
      <c r="BX158" s="59"/>
      <c r="BY158" s="59"/>
      <c r="BZ158" s="59"/>
      <c r="CA158" s="59"/>
      <c r="CB158" s="59"/>
      <c r="CC158" s="59"/>
      <c r="CD158" s="59"/>
      <c r="CE158" s="59"/>
      <c r="CF158" s="59"/>
      <c r="CG158" s="59"/>
      <c r="CH158" s="59"/>
      <c r="CI158" s="59"/>
      <c r="CJ158" s="59"/>
      <c r="CK158" s="59"/>
      <c r="CL158" s="59"/>
      <c r="CM158" s="59"/>
      <c r="CN158" s="59"/>
      <c r="CO158" s="59"/>
      <c r="CP158" s="59"/>
      <c r="CQ158" s="59"/>
      <c r="CR158" s="59"/>
      <c r="CS158" s="59"/>
      <c r="CT158" s="59"/>
      <c r="CU158" s="59"/>
      <c r="CV158" s="59"/>
      <c r="CW158" s="59"/>
      <c r="CX158" s="59"/>
      <c r="CY158" s="59"/>
      <c r="CZ158" s="59"/>
      <c r="DA158" s="59"/>
      <c r="DB158" s="59"/>
      <c r="DC158" s="59"/>
      <c r="DD158" s="59"/>
      <c r="DE158" s="59"/>
      <c r="DF158" s="59"/>
      <c r="DG158" s="59"/>
      <c r="DH158" s="59"/>
      <c r="DI158" s="59"/>
      <c r="DJ158" s="59"/>
      <c r="DK158" s="59"/>
      <c r="DL158" s="59"/>
      <c r="DM158" s="59"/>
      <c r="DN158" s="59"/>
      <c r="DO158" s="59"/>
      <c r="DP158" s="59"/>
      <c r="DQ158" s="59"/>
      <c r="DR158" s="59"/>
      <c r="DS158" s="59"/>
      <c r="DT158" s="59"/>
      <c r="DU158" s="59"/>
      <c r="DV158" s="59"/>
      <c r="DW158" s="59"/>
      <c r="DX158" s="59"/>
      <c r="DY158" s="59"/>
      <c r="DZ158" s="59"/>
      <c r="EA158" s="59"/>
      <c r="EB158" s="59"/>
      <c r="EC158" s="59"/>
      <c r="ED158" s="59"/>
      <c r="EE158" s="59"/>
      <c r="EF158" s="59"/>
      <c r="EG158" s="59"/>
      <c r="EH158" s="59"/>
      <c r="EI158" s="59"/>
      <c r="EJ158" s="59"/>
      <c r="EK158" s="59"/>
      <c r="EL158" s="59"/>
      <c r="EM158" s="59"/>
      <c r="EN158" s="59"/>
      <c r="EO158" s="59"/>
      <c r="EP158" s="59"/>
      <c r="EQ158" s="59"/>
    </row>
    <row r="159" spans="1:147" s="194" customFormat="1" ht="13" x14ac:dyDescent="0.25">
      <c r="A159" s="231"/>
      <c r="B159" s="229">
        <f>D158</f>
        <v>44145.486887888888</v>
      </c>
      <c r="C159" s="220">
        <f>D158</f>
        <v>44145.486887888888</v>
      </c>
      <c r="D159" s="220">
        <f>C159+(E159+G159)*(1/24)</f>
        <v>44145.507592621398</v>
      </c>
      <c r="E159" s="219">
        <f>INDEX('[1]Work sheet'!$G$2:$G$240,MATCH(I159,'[1]Work sheet'!$K$2:$K$240,0))+IFERROR(IF(FIND("WASH",J155,1)&gt;0,0,0.5),0.25)</f>
        <v>0.49691358024691357</v>
      </c>
      <c r="F159" s="218">
        <f>IFERROR(MROUND((L159/((INDEX('[1]Work sheet'!$G$2:$G$239,MATCH(I159,'[1]Work sheet'!$K$2:$K$239,0))*0.82)*60)),0.5),"")</f>
        <v>8</v>
      </c>
      <c r="G159" s="217"/>
      <c r="H159" s="176"/>
      <c r="I159" s="183">
        <f>'[1]Work sheet'!K132</f>
        <v>1434193</v>
      </c>
      <c r="J159" s="174" t="str">
        <f>VLOOKUP(I159,'[1]Work sheet'!$K$2:L717,2,0)</f>
        <v>WIP PART 1B 0.450KG 1UN (811)</v>
      </c>
      <c r="K159" s="173">
        <f>VLOOKUP(I159,'[1]Work sheet'!$K$2:O845,3,0)</f>
        <v>100</v>
      </c>
      <c r="L159" s="173">
        <f>VLOOKUP(I159,'[1]Work sheet'!$K$2:O1229,4,0)</f>
        <v>100</v>
      </c>
      <c r="M159" s="171">
        <f>VLOOKUP(I159,'[1]Work sheet'!$K$2:T1538,10,0)</f>
        <v>811</v>
      </c>
      <c r="N159" s="172" t="str">
        <f>IFERROR(VLOOKUP(I159,'[1]PO Numbers'!$R$2:S320,2,0),"TBC")</f>
        <v>106989539</v>
      </c>
      <c r="O159" s="171" t="str">
        <f>IFERROR(VLOOKUP(VALUE(N159),'[1]PO Numbers'!$F$1:$J$400,5,0),"xxx")</f>
        <v>PI01</v>
      </c>
      <c r="P159" s="214" t="str">
        <f>IFERROR(INDEX($B$1:$P$147,MATCH("*"&amp;I159&amp;"*",$P$1:$P$147,0),1),"")</f>
        <v/>
      </c>
      <c r="Q159" s="170">
        <f>VLOOKUP(I159,'[1]Work sheet'!$K$2:AI864,16,0)</f>
        <v>0.5</v>
      </c>
      <c r="R159" s="168" t="str">
        <f>VLOOKUP(I159,'[1]Work sheet'!$K$2:AA514,17,0)</f>
        <v>0-1Kgs 811</v>
      </c>
      <c r="S159" s="169" t="str">
        <f>VLOOKUP(I159,'[1]Work sheet'!$K$2:AL427,28,0)</f>
        <v/>
      </c>
      <c r="T159" s="168">
        <f>IFERROR(VLOOKUP(I159,[1]Label!$A$1:C1094,3,0),"")</f>
        <v>1561905</v>
      </c>
      <c r="U159" s="165" t="str">
        <f>IFERROR(IF(OR(VLOOKUP(I159,'[1]Work sheet'!$K$2:U739,11,0)="530",VLOOKUP(I159,'[1]Work sheet'!$K$2:U739,11,0)="526"),"BTO",""),"")</f>
        <v/>
      </c>
      <c r="V159" s="166"/>
      <c r="W159" s="167" t="str">
        <f>IF(COUNTIF('[1]OB Connect'!$F$13:$F$364,N159),"On Openbatch", "No")</f>
        <v>No</v>
      </c>
      <c r="X159" s="166" t="str">
        <f>X155</f>
        <v>F_D4C</v>
      </c>
      <c r="Y159" s="166"/>
      <c r="Z159" s="166"/>
      <c r="AA159" s="196"/>
      <c r="AB159" s="196"/>
      <c r="AC159" s="196"/>
      <c r="AD159" s="196"/>
      <c r="AE159" s="196"/>
      <c r="AF159" s="196"/>
      <c r="AG159" s="196"/>
      <c r="AH159" s="196"/>
      <c r="AI159" s="196"/>
      <c r="AJ159" s="195"/>
      <c r="AK159" s="195"/>
      <c r="AL159" s="195"/>
      <c r="AM159" s="195"/>
      <c r="AN159" s="195"/>
      <c r="AO159" s="195"/>
      <c r="AP159" s="195"/>
      <c r="AQ159" s="195"/>
      <c r="AR159" s="195"/>
      <c r="AS159" s="195"/>
      <c r="AT159" s="195"/>
      <c r="AU159" s="195"/>
      <c r="AV159" s="195"/>
      <c r="AW159" s="195"/>
      <c r="AX159" s="195"/>
      <c r="AY159" s="195"/>
      <c r="AZ159" s="195"/>
      <c r="BA159" s="195"/>
      <c r="BB159" s="195"/>
      <c r="BC159" s="195"/>
      <c r="BD159" s="195"/>
      <c r="BE159" s="195"/>
      <c r="BF159" s="195"/>
      <c r="BG159" s="195"/>
      <c r="BH159" s="195"/>
      <c r="BI159" s="195"/>
      <c r="BJ159" s="195"/>
      <c r="BK159" s="195"/>
      <c r="BL159" s="195"/>
      <c r="BM159" s="195"/>
      <c r="BN159" s="195"/>
      <c r="BO159" s="195"/>
      <c r="BP159" s="195"/>
      <c r="BQ159" s="195"/>
      <c r="BR159" s="195"/>
      <c r="BS159" s="195"/>
      <c r="BT159" s="195"/>
      <c r="BU159" s="195"/>
      <c r="BV159" s="195"/>
      <c r="BW159" s="195"/>
      <c r="BX159" s="195"/>
      <c r="BY159" s="195"/>
      <c r="BZ159" s="195"/>
      <c r="CA159" s="195"/>
      <c r="CB159" s="195"/>
      <c r="CC159" s="195"/>
      <c r="CD159" s="195"/>
      <c r="CE159" s="195"/>
      <c r="CF159" s="195"/>
      <c r="CG159" s="195"/>
      <c r="CH159" s="195"/>
      <c r="CI159" s="195"/>
      <c r="CJ159" s="195"/>
      <c r="CK159" s="195"/>
      <c r="CL159" s="195"/>
      <c r="CM159" s="195"/>
      <c r="CN159" s="195"/>
      <c r="CO159" s="195"/>
      <c r="CP159" s="195"/>
      <c r="CQ159" s="195"/>
      <c r="CR159" s="195"/>
      <c r="CS159" s="195"/>
      <c r="CT159" s="195"/>
      <c r="CU159" s="195"/>
      <c r="CV159" s="195"/>
      <c r="CW159" s="195"/>
      <c r="CX159" s="195"/>
      <c r="CY159" s="195"/>
      <c r="CZ159" s="195"/>
      <c r="DA159" s="195"/>
      <c r="DB159" s="195"/>
      <c r="DC159" s="195"/>
      <c r="DD159" s="195"/>
      <c r="DE159" s="195"/>
      <c r="DF159" s="195"/>
      <c r="DG159" s="195"/>
      <c r="DH159" s="195"/>
      <c r="DI159" s="195"/>
      <c r="DJ159" s="195"/>
      <c r="DK159" s="195"/>
      <c r="DL159" s="195"/>
      <c r="DM159" s="195"/>
      <c r="DN159" s="195"/>
      <c r="DO159" s="195"/>
      <c r="DP159" s="195"/>
      <c r="DQ159" s="195"/>
      <c r="DR159" s="195"/>
      <c r="DS159" s="195"/>
      <c r="DT159" s="195"/>
      <c r="DU159" s="195"/>
      <c r="DV159" s="195"/>
      <c r="DW159" s="195"/>
      <c r="DX159" s="195"/>
      <c r="DY159" s="195"/>
      <c r="DZ159" s="195"/>
      <c r="EA159" s="195"/>
      <c r="EB159" s="195"/>
      <c r="EC159" s="195"/>
      <c r="ED159" s="195"/>
      <c r="EE159" s="195"/>
      <c r="EF159" s="195"/>
      <c r="EG159" s="195"/>
      <c r="EH159" s="195"/>
      <c r="EI159" s="195"/>
      <c r="EJ159" s="195"/>
      <c r="EK159" s="195"/>
      <c r="EL159" s="195"/>
      <c r="EM159" s="195"/>
      <c r="EN159" s="195"/>
      <c r="EO159" s="195"/>
      <c r="EP159" s="195"/>
      <c r="EQ159" s="195"/>
    </row>
    <row r="160" spans="1:147" s="194" customFormat="1" ht="13" x14ac:dyDescent="0.25">
      <c r="A160" s="231"/>
      <c r="B160" s="229">
        <f>D159</f>
        <v>44145.507592621398</v>
      </c>
      <c r="C160" s="220">
        <f>D159</f>
        <v>44145.507592621398</v>
      </c>
      <c r="D160" s="220">
        <f>C160+(E160+G160)*(1/24)</f>
        <v>44145.699259288063</v>
      </c>
      <c r="E160" s="219">
        <f>INDEX('[1]Work sheet'!$G$2:$G$240,MATCH(I160,'[1]Work sheet'!$K$2:$K$240,0))+IFERROR(IF(FIND("WASH",J157,1)&gt;0,0,0.5),0.25)</f>
        <v>1.85</v>
      </c>
      <c r="F160" s="218">
        <f>IFERROR(MROUND((L160/((INDEX('[1]Work sheet'!$G$2:$G$239,MATCH(I160,'[1]Work sheet'!$K$2:$K$239,0))*0.82)*60)),0.5),"")</f>
        <v>8</v>
      </c>
      <c r="G160" s="217">
        <v>2.75</v>
      </c>
      <c r="H160" s="176"/>
      <c r="I160" s="183">
        <f>'[1]Work sheet'!K133</f>
        <v>1379547</v>
      </c>
      <c r="J160" s="174" t="str">
        <f>VLOOKUP(I160,'[1]Work sheet'!$K$2:L718,2,0)</f>
        <v>WIP PART 1B 0.814KG 1UN BAG (811)</v>
      </c>
      <c r="K160" s="173">
        <f>VLOOKUP(I160,'[1]Work sheet'!$K$2:O846,3,0)</f>
        <v>648</v>
      </c>
      <c r="L160" s="173">
        <f>VLOOKUP(I160,'[1]Work sheet'!$K$2:O1230,4,0)</f>
        <v>648</v>
      </c>
      <c r="M160" s="171">
        <f>VLOOKUP(I160,'[1]Work sheet'!$K$2:T1539,10,0)</f>
        <v>811</v>
      </c>
      <c r="N160" s="172" t="str">
        <f>IFERROR(VLOOKUP(I160,'[1]PO Numbers'!$R$2:S321,2,0),"TBC")</f>
        <v>106989542</v>
      </c>
      <c r="O160" s="171" t="str">
        <f>IFERROR(VLOOKUP(VALUE(N160),'[1]PO Numbers'!$F$1:$J$400,5,0),"xxx")</f>
        <v>PI01</v>
      </c>
      <c r="P160" s="214"/>
      <c r="Q160" s="170">
        <f>VLOOKUP(I160,'[1]Work sheet'!$K$2:AI865,16,0)</f>
        <v>0.8</v>
      </c>
      <c r="R160" s="168" t="str">
        <f>VLOOKUP(I160,'[1]Work sheet'!$K$2:AA515,17,0)</f>
        <v>0-1Kgs 811</v>
      </c>
      <c r="S160" s="169" t="str">
        <f>VLOOKUP(I160,'[1]Work sheet'!$K$2:AL428,28,0)</f>
        <v/>
      </c>
      <c r="T160" s="168">
        <f>IFERROR(VLOOKUP(I160,[1]Label!$A$1:C1095,3,0),"")</f>
        <v>1561905</v>
      </c>
      <c r="U160" s="165" t="str">
        <f>IFERROR(IF(OR(VLOOKUP(I160,'[1]Work sheet'!$K$2:U740,11,0)="530",VLOOKUP(I160,'[1]Work sheet'!$K$2:U740,11,0)="526"),"BTO",""),"")</f>
        <v/>
      </c>
      <c r="V160" s="166"/>
      <c r="W160" s="167" t="str">
        <f>IF(COUNTIF('[1]OB Connect'!$F$13:$F$364,N160),"On Openbatch", "No")</f>
        <v>No</v>
      </c>
      <c r="X160" s="166" t="str">
        <f>X157</f>
        <v>F_D4C</v>
      </c>
      <c r="Y160" s="166"/>
      <c r="Z160" s="166"/>
      <c r="AA160" s="196"/>
      <c r="AB160" s="196"/>
      <c r="AC160" s="196"/>
      <c r="AD160" s="196"/>
      <c r="AE160" s="196"/>
      <c r="AF160" s="196"/>
      <c r="AG160" s="196"/>
      <c r="AH160" s="196"/>
      <c r="AI160" s="196"/>
      <c r="AJ160" s="195"/>
      <c r="AK160" s="195"/>
      <c r="AL160" s="195"/>
      <c r="AM160" s="195"/>
      <c r="AN160" s="195"/>
      <c r="AO160" s="195"/>
      <c r="AP160" s="195"/>
      <c r="AQ160" s="195"/>
      <c r="AR160" s="195"/>
      <c r="AS160" s="195"/>
      <c r="AT160" s="195"/>
      <c r="AU160" s="195"/>
      <c r="AV160" s="195"/>
      <c r="AW160" s="195"/>
      <c r="AX160" s="195"/>
      <c r="AY160" s="195"/>
      <c r="AZ160" s="195"/>
      <c r="BA160" s="195"/>
      <c r="BB160" s="195"/>
      <c r="BC160" s="195"/>
      <c r="BD160" s="195"/>
      <c r="BE160" s="195"/>
      <c r="BF160" s="195"/>
      <c r="BG160" s="195"/>
      <c r="BH160" s="195"/>
      <c r="BI160" s="195"/>
      <c r="BJ160" s="195"/>
      <c r="BK160" s="195"/>
      <c r="BL160" s="195"/>
      <c r="BM160" s="195"/>
      <c r="BN160" s="195"/>
      <c r="BO160" s="195"/>
      <c r="BP160" s="195"/>
      <c r="BQ160" s="195"/>
      <c r="BR160" s="195"/>
      <c r="BS160" s="195"/>
      <c r="BT160" s="195"/>
      <c r="BU160" s="195"/>
      <c r="BV160" s="195"/>
      <c r="BW160" s="195"/>
      <c r="BX160" s="195"/>
      <c r="BY160" s="195"/>
      <c r="BZ160" s="195"/>
      <c r="CA160" s="195"/>
      <c r="CB160" s="195"/>
      <c r="CC160" s="195"/>
      <c r="CD160" s="195"/>
      <c r="CE160" s="195"/>
      <c r="CF160" s="195"/>
      <c r="CG160" s="195"/>
      <c r="CH160" s="195"/>
      <c r="CI160" s="195"/>
      <c r="CJ160" s="195"/>
      <c r="CK160" s="195"/>
      <c r="CL160" s="195"/>
      <c r="CM160" s="195"/>
      <c r="CN160" s="195"/>
      <c r="CO160" s="195"/>
      <c r="CP160" s="195"/>
      <c r="CQ160" s="195"/>
      <c r="CR160" s="195"/>
      <c r="CS160" s="195"/>
      <c r="CT160" s="195"/>
      <c r="CU160" s="195"/>
      <c r="CV160" s="195"/>
      <c r="CW160" s="195"/>
      <c r="CX160" s="195"/>
      <c r="CY160" s="195"/>
      <c r="CZ160" s="195"/>
      <c r="DA160" s="195"/>
      <c r="DB160" s="195"/>
      <c r="DC160" s="195"/>
      <c r="DD160" s="195"/>
      <c r="DE160" s="195"/>
      <c r="DF160" s="195"/>
      <c r="DG160" s="195"/>
      <c r="DH160" s="195"/>
      <c r="DI160" s="195"/>
      <c r="DJ160" s="195"/>
      <c r="DK160" s="195"/>
      <c r="DL160" s="195"/>
      <c r="DM160" s="195"/>
      <c r="DN160" s="195"/>
      <c r="DO160" s="195"/>
      <c r="DP160" s="195"/>
      <c r="DQ160" s="195"/>
      <c r="DR160" s="195"/>
      <c r="DS160" s="195"/>
      <c r="DT160" s="195"/>
      <c r="DU160" s="195"/>
      <c r="DV160" s="195"/>
      <c r="DW160" s="195"/>
      <c r="DX160" s="195"/>
      <c r="DY160" s="195"/>
      <c r="DZ160" s="195"/>
      <c r="EA160" s="195"/>
      <c r="EB160" s="195"/>
      <c r="EC160" s="195"/>
      <c r="ED160" s="195"/>
      <c r="EE160" s="195"/>
      <c r="EF160" s="195"/>
      <c r="EG160" s="195"/>
      <c r="EH160" s="195"/>
      <c r="EI160" s="195"/>
      <c r="EJ160" s="195"/>
      <c r="EK160" s="195"/>
      <c r="EL160" s="195"/>
      <c r="EM160" s="195"/>
      <c r="EN160" s="195"/>
      <c r="EO160" s="195"/>
      <c r="EP160" s="195"/>
      <c r="EQ160" s="195"/>
    </row>
    <row r="161" spans="1:147" s="194" customFormat="1" ht="13" x14ac:dyDescent="0.25">
      <c r="A161" s="230" t="s">
        <v>46</v>
      </c>
      <c r="B161" s="229">
        <f>D160</f>
        <v>44145.699259288063</v>
      </c>
      <c r="C161" s="220">
        <f>D160</f>
        <v>44145.699259288063</v>
      </c>
      <c r="D161" s="220">
        <f>C161+(E161+G161)*(1/24)</f>
        <v>44145.721772728924</v>
      </c>
      <c r="E161" s="219">
        <f>INDEX('[1]Work sheet'!$G$2:$G$240,MATCH(I161,'[1]Work sheet'!$K$2:$K$240,0))+IFERROR(IF(FIND("WASH",J159,1)&gt;0,0,0.5),0.25)</f>
        <v>0.54032258064516125</v>
      </c>
      <c r="F161" s="218">
        <f>IFERROR(MROUND((L161/((INDEX('[1]Work sheet'!$G$2:$G$239,MATCH(I161,'[1]Work sheet'!$K$2:$K$239,0))*0.82)*60)),0.5),"")</f>
        <v>3</v>
      </c>
      <c r="G161" s="217"/>
      <c r="H161" s="176"/>
      <c r="I161" s="183">
        <f>'[1]Work sheet'!K134</f>
        <v>2003364</v>
      </c>
      <c r="J161" s="174" t="str">
        <f>VLOOKUP(I161,'[1]Work sheet'!$K$2:L719,2,0)</f>
        <v>WIP LE/B-168.901 P1B 10UN BAG</v>
      </c>
      <c r="K161" s="173">
        <f>VLOOKUP(I161,'[1]Work sheet'!$K$2:O847,3,0)</f>
        <v>45</v>
      </c>
      <c r="L161" s="173">
        <f>VLOOKUP(I161,'[1]Work sheet'!$K$2:O1231,4,0)</f>
        <v>45</v>
      </c>
      <c r="M161" s="171">
        <f>VLOOKUP(I161,'[1]Work sheet'!$K$2:T1540,10,0)</f>
        <v>811</v>
      </c>
      <c r="N161" s="172" t="str">
        <f>IFERROR(VLOOKUP(I161,'[1]PO Numbers'!$R$2:S322,2,0),"TBC")</f>
        <v>106989543</v>
      </c>
      <c r="O161" s="171" t="str">
        <f>IFERROR(VLOOKUP(VALUE(N161),'[1]PO Numbers'!$F$1:$J$400,5,0),"xxx")</f>
        <v>PI01</v>
      </c>
      <c r="P161" s="214" t="str">
        <f>IFERROR(INDEX($B$1:$P$147,MATCH("*"&amp;I161&amp;"*",$P$1:$P$147,0),1),"")</f>
        <v/>
      </c>
      <c r="Q161" s="170">
        <f>VLOOKUP(I161,'[1]Work sheet'!$K$2:AI866,16,0)</f>
        <v>3.738</v>
      </c>
      <c r="R161" s="168" t="str">
        <f>VLOOKUP(I161,'[1]Work sheet'!$K$2:AA516,17,0)</f>
        <v>3-4Kgs 811</v>
      </c>
      <c r="S161" s="169" t="str">
        <f>VLOOKUP(I161,'[1]Work sheet'!$K$2:AL429,28,0)</f>
        <v/>
      </c>
      <c r="T161" s="168" t="str">
        <f>IFERROR(VLOOKUP(I161,[1]Label!$A$1:C1096,3,0),"")</f>
        <v/>
      </c>
      <c r="U161" s="165" t="str">
        <f>IFERROR(IF(OR(VLOOKUP(I161,'[1]Work sheet'!$K$2:U741,11,0)="530",VLOOKUP(I161,'[1]Work sheet'!$K$2:U741,11,0)="526"),"BTO",""),"")</f>
        <v/>
      </c>
      <c r="V161" s="166"/>
      <c r="W161" s="167" t="str">
        <f>IF(COUNTIF('[1]OB Connect'!$F$13:$F$364,N161),"On Openbatch", "No")</f>
        <v>No</v>
      </c>
      <c r="X161" s="166" t="str">
        <f>X159</f>
        <v>F_D4C</v>
      </c>
      <c r="Y161" s="166"/>
      <c r="Z161" s="166"/>
      <c r="AA161" s="196"/>
      <c r="AB161" s="196"/>
      <c r="AC161" s="196"/>
      <c r="AD161" s="196"/>
      <c r="AE161" s="196"/>
      <c r="AF161" s="196"/>
      <c r="AG161" s="196"/>
      <c r="AH161" s="196"/>
      <c r="AI161" s="196"/>
      <c r="AJ161" s="195"/>
      <c r="AK161" s="195"/>
      <c r="AL161" s="195"/>
      <c r="AM161" s="195"/>
      <c r="AN161" s="195"/>
      <c r="AO161" s="195"/>
      <c r="AP161" s="195"/>
      <c r="AQ161" s="195"/>
      <c r="AR161" s="195"/>
      <c r="AS161" s="195"/>
      <c r="AT161" s="195"/>
      <c r="AU161" s="195"/>
      <c r="AV161" s="195"/>
      <c r="AW161" s="195"/>
      <c r="AX161" s="195"/>
      <c r="AY161" s="195"/>
      <c r="AZ161" s="195"/>
      <c r="BA161" s="195"/>
      <c r="BB161" s="195"/>
      <c r="BC161" s="195"/>
      <c r="BD161" s="195"/>
      <c r="BE161" s="195"/>
      <c r="BF161" s="195"/>
      <c r="BG161" s="195"/>
      <c r="BH161" s="195"/>
      <c r="BI161" s="195"/>
      <c r="BJ161" s="195"/>
      <c r="BK161" s="195"/>
      <c r="BL161" s="195"/>
      <c r="BM161" s="195"/>
      <c r="BN161" s="195"/>
      <c r="BO161" s="195"/>
      <c r="BP161" s="195"/>
      <c r="BQ161" s="195"/>
      <c r="BR161" s="195"/>
      <c r="BS161" s="195"/>
      <c r="BT161" s="195"/>
      <c r="BU161" s="195"/>
      <c r="BV161" s="195"/>
      <c r="BW161" s="195"/>
      <c r="BX161" s="195"/>
      <c r="BY161" s="195"/>
      <c r="BZ161" s="195"/>
      <c r="CA161" s="195"/>
      <c r="CB161" s="195"/>
      <c r="CC161" s="195"/>
      <c r="CD161" s="195"/>
      <c r="CE161" s="195"/>
      <c r="CF161" s="195"/>
      <c r="CG161" s="195"/>
      <c r="CH161" s="195"/>
      <c r="CI161" s="195"/>
      <c r="CJ161" s="195"/>
      <c r="CK161" s="195"/>
      <c r="CL161" s="195"/>
      <c r="CM161" s="195"/>
      <c r="CN161" s="195"/>
      <c r="CO161" s="195"/>
      <c r="CP161" s="195"/>
      <c r="CQ161" s="195"/>
      <c r="CR161" s="195"/>
      <c r="CS161" s="195"/>
      <c r="CT161" s="195"/>
      <c r="CU161" s="195"/>
      <c r="CV161" s="195"/>
      <c r="CW161" s="195"/>
      <c r="CX161" s="195"/>
      <c r="CY161" s="195"/>
      <c r="CZ161" s="195"/>
      <c r="DA161" s="195"/>
      <c r="DB161" s="195"/>
      <c r="DC161" s="195"/>
      <c r="DD161" s="195"/>
      <c r="DE161" s="195"/>
      <c r="DF161" s="195"/>
      <c r="DG161" s="195"/>
      <c r="DH161" s="195"/>
      <c r="DI161" s="195"/>
      <c r="DJ161" s="195"/>
      <c r="DK161" s="195"/>
      <c r="DL161" s="195"/>
      <c r="DM161" s="195"/>
      <c r="DN161" s="195"/>
      <c r="DO161" s="195"/>
      <c r="DP161" s="195"/>
      <c r="DQ161" s="195"/>
      <c r="DR161" s="195"/>
      <c r="DS161" s="195"/>
      <c r="DT161" s="195"/>
      <c r="DU161" s="195"/>
      <c r="DV161" s="195"/>
      <c r="DW161" s="195"/>
      <c r="DX161" s="195"/>
      <c r="DY161" s="195"/>
      <c r="DZ161" s="195"/>
      <c r="EA161" s="195"/>
      <c r="EB161" s="195"/>
      <c r="EC161" s="195"/>
      <c r="ED161" s="195"/>
      <c r="EE161" s="195"/>
      <c r="EF161" s="195"/>
      <c r="EG161" s="195"/>
      <c r="EH161" s="195"/>
      <c r="EI161" s="195"/>
      <c r="EJ161" s="195"/>
      <c r="EK161" s="195"/>
      <c r="EL161" s="195"/>
      <c r="EM161" s="195"/>
      <c r="EN161" s="195"/>
      <c r="EO161" s="195"/>
      <c r="EP161" s="195"/>
      <c r="EQ161" s="195"/>
    </row>
    <row r="162" spans="1:147" s="194" customFormat="1" ht="13" x14ac:dyDescent="0.25">
      <c r="A162" s="231"/>
      <c r="B162" s="229">
        <f>D161</f>
        <v>44145.721772728924</v>
      </c>
      <c r="C162" s="220">
        <f>D161</f>
        <v>44145.721772728924</v>
      </c>
      <c r="D162" s="220">
        <f>C162+(E162+G162)*(1/24)</f>
        <v>44145.73944746011</v>
      </c>
      <c r="E162" s="219">
        <f>INDEX('[1]Work sheet'!$G$2:$G$240,MATCH(I162,'[1]Work sheet'!$K$2:$K$240,0))+IFERROR(IF(FIND("WASH",J160,1)&gt;0,0,0.5),0.25)</f>
        <v>0.42419354838709677</v>
      </c>
      <c r="F162" s="218">
        <f>IFERROR(MROUND((L162/((INDEX('[1]Work sheet'!$G$2:$G$239,MATCH(I162,'[1]Work sheet'!$K$2:$K$239,0))*0.82)*60)),0.5),"")</f>
        <v>3</v>
      </c>
      <c r="G162" s="217"/>
      <c r="H162" s="176"/>
      <c r="I162" s="183">
        <f>'[1]Work sheet'!K135</f>
        <v>2003376</v>
      </c>
      <c r="J162" s="174" t="str">
        <f>VLOOKUP(I162,'[1]Work sheet'!$K$2:L720,2,0)</f>
        <v>WIP PART 1B 4.5KG 12UN BAG (811)</v>
      </c>
      <c r="K162" s="173">
        <f>VLOOKUP(I162,'[1]Work sheet'!$K$2:O848,3,0)</f>
        <v>27</v>
      </c>
      <c r="L162" s="173">
        <f>VLOOKUP(I162,'[1]Work sheet'!$K$2:O1232,4,0)</f>
        <v>27</v>
      </c>
      <c r="M162" s="171">
        <f>VLOOKUP(I162,'[1]Work sheet'!$K$2:T1541,10,0)</f>
        <v>811</v>
      </c>
      <c r="N162" s="172" t="str">
        <f>IFERROR(VLOOKUP(I162,'[1]PO Numbers'!$R$2:S323,2,0),"TBC")</f>
        <v>106989544</v>
      </c>
      <c r="O162" s="171" t="str">
        <f>IFERROR(VLOOKUP(VALUE(N162),'[1]PO Numbers'!$F$1:$J$400,5,0),"xxx")</f>
        <v>PI01</v>
      </c>
      <c r="P162" s="214" t="str">
        <f>IFERROR(INDEX($B$1:$P$147,MATCH("*"&amp;I162&amp;"*",$P$1:$P$147,0),1),"")</f>
        <v/>
      </c>
      <c r="Q162" s="170">
        <f>VLOOKUP(I162,'[1]Work sheet'!$K$2:AI867,16,0)</f>
        <v>4.5</v>
      </c>
      <c r="R162" s="168" t="str">
        <f>VLOOKUP(I162,'[1]Work sheet'!$K$2:AA517,17,0)</f>
        <v>4-5Kgs 811</v>
      </c>
      <c r="S162" s="169" t="str">
        <f>VLOOKUP(I162,'[1]Work sheet'!$K$2:AL430,28,0)</f>
        <v/>
      </c>
      <c r="T162" s="168" t="str">
        <f>IFERROR(VLOOKUP(I162,[1]Label!$A$1:C1097,3,0),"")</f>
        <v/>
      </c>
      <c r="U162" s="165" t="str">
        <f>IFERROR(IF(OR(VLOOKUP(I162,'[1]Work sheet'!$K$2:U742,11,0)="530",VLOOKUP(I162,'[1]Work sheet'!$K$2:U742,11,0)="526"),"BTO",""),"")</f>
        <v/>
      </c>
      <c r="V162" s="166"/>
      <c r="W162" s="167" t="str">
        <f>IF(COUNTIF('[1]OB Connect'!$F$13:$F$364,N162),"On Openbatch", "No")</f>
        <v>No</v>
      </c>
      <c r="X162" s="166" t="str">
        <f>X160</f>
        <v>F_D4C</v>
      </c>
      <c r="Y162" s="166"/>
      <c r="Z162" s="166"/>
      <c r="AA162" s="196"/>
      <c r="AB162" s="196"/>
      <c r="AC162" s="196"/>
      <c r="AD162" s="196"/>
      <c r="AE162" s="196"/>
      <c r="AF162" s="196"/>
      <c r="AG162" s="196"/>
      <c r="AH162" s="196"/>
      <c r="AI162" s="196"/>
      <c r="AJ162" s="195"/>
      <c r="AK162" s="195"/>
      <c r="AL162" s="195"/>
      <c r="AM162" s="195"/>
      <c r="AN162" s="195"/>
      <c r="AO162" s="195"/>
      <c r="AP162" s="195"/>
      <c r="AQ162" s="195"/>
      <c r="AR162" s="195"/>
      <c r="AS162" s="195"/>
      <c r="AT162" s="195"/>
      <c r="AU162" s="195"/>
      <c r="AV162" s="195"/>
      <c r="AW162" s="195"/>
      <c r="AX162" s="195"/>
      <c r="AY162" s="195"/>
      <c r="AZ162" s="195"/>
      <c r="BA162" s="195"/>
      <c r="BB162" s="195"/>
      <c r="BC162" s="195"/>
      <c r="BD162" s="195"/>
      <c r="BE162" s="195"/>
      <c r="BF162" s="195"/>
      <c r="BG162" s="195"/>
      <c r="BH162" s="195"/>
      <c r="BI162" s="195"/>
      <c r="BJ162" s="195"/>
      <c r="BK162" s="195"/>
      <c r="BL162" s="195"/>
      <c r="BM162" s="195"/>
      <c r="BN162" s="195"/>
      <c r="BO162" s="195"/>
      <c r="BP162" s="195"/>
      <c r="BQ162" s="195"/>
      <c r="BR162" s="195"/>
      <c r="BS162" s="195"/>
      <c r="BT162" s="195"/>
      <c r="BU162" s="195"/>
      <c r="BV162" s="195"/>
      <c r="BW162" s="195"/>
      <c r="BX162" s="195"/>
      <c r="BY162" s="195"/>
      <c r="BZ162" s="195"/>
      <c r="CA162" s="195"/>
      <c r="CB162" s="195"/>
      <c r="CC162" s="195"/>
      <c r="CD162" s="195"/>
      <c r="CE162" s="195"/>
      <c r="CF162" s="195"/>
      <c r="CG162" s="195"/>
      <c r="CH162" s="195"/>
      <c r="CI162" s="195"/>
      <c r="CJ162" s="195"/>
      <c r="CK162" s="195"/>
      <c r="CL162" s="195"/>
      <c r="CM162" s="195"/>
      <c r="CN162" s="195"/>
      <c r="CO162" s="195"/>
      <c r="CP162" s="195"/>
      <c r="CQ162" s="195"/>
      <c r="CR162" s="195"/>
      <c r="CS162" s="195"/>
      <c r="CT162" s="195"/>
      <c r="CU162" s="195"/>
      <c r="CV162" s="195"/>
      <c r="CW162" s="195"/>
      <c r="CX162" s="195"/>
      <c r="CY162" s="195"/>
      <c r="CZ162" s="195"/>
      <c r="DA162" s="195"/>
      <c r="DB162" s="195"/>
      <c r="DC162" s="195"/>
      <c r="DD162" s="195"/>
      <c r="DE162" s="195"/>
      <c r="DF162" s="195"/>
      <c r="DG162" s="195"/>
      <c r="DH162" s="195"/>
      <c r="DI162" s="195"/>
      <c r="DJ162" s="195"/>
      <c r="DK162" s="195"/>
      <c r="DL162" s="195"/>
      <c r="DM162" s="195"/>
      <c r="DN162" s="195"/>
      <c r="DO162" s="195"/>
      <c r="DP162" s="195"/>
      <c r="DQ162" s="195"/>
      <c r="DR162" s="195"/>
      <c r="DS162" s="195"/>
      <c r="DT162" s="195"/>
      <c r="DU162" s="195"/>
      <c r="DV162" s="195"/>
      <c r="DW162" s="195"/>
      <c r="DX162" s="195"/>
      <c r="DY162" s="195"/>
      <c r="DZ162" s="195"/>
      <c r="EA162" s="195"/>
      <c r="EB162" s="195"/>
      <c r="EC162" s="195"/>
      <c r="ED162" s="195"/>
      <c r="EE162" s="195"/>
      <c r="EF162" s="195"/>
      <c r="EG162" s="195"/>
      <c r="EH162" s="195"/>
      <c r="EI162" s="195"/>
      <c r="EJ162" s="195"/>
      <c r="EK162" s="195"/>
      <c r="EL162" s="195"/>
      <c r="EM162" s="195"/>
      <c r="EN162" s="195"/>
      <c r="EO162" s="195"/>
      <c r="EP162" s="195"/>
      <c r="EQ162" s="195"/>
    </row>
    <row r="163" spans="1:147" s="58" customFormat="1" ht="13" x14ac:dyDescent="0.25">
      <c r="A163" s="118"/>
      <c r="B163" s="126">
        <f>D162</f>
        <v>44145.73944746011</v>
      </c>
      <c r="C163" s="125">
        <f>D162</f>
        <v>44145.73944746011</v>
      </c>
      <c r="D163" s="125">
        <f>(E163/24)+C163+(G163/24)</f>
        <v>44145.73944746011</v>
      </c>
      <c r="E163" s="124"/>
      <c r="F163" s="124"/>
      <c r="G163" s="123"/>
      <c r="H163" s="119"/>
      <c r="I163" s="223"/>
      <c r="J163" s="222" t="s">
        <v>55</v>
      </c>
      <c r="K163" s="221"/>
      <c r="L163" s="120"/>
      <c r="N163" s="118"/>
      <c r="O163" s="118"/>
      <c r="P163" s="117"/>
      <c r="T163" s="117"/>
      <c r="U163" s="23"/>
      <c r="V163" s="21"/>
      <c r="W163" s="22"/>
      <c r="X163" s="22"/>
      <c r="Y163" s="21"/>
      <c r="Z163" s="20"/>
      <c r="AA163" s="60"/>
      <c r="AB163" s="60"/>
      <c r="AC163" s="60"/>
      <c r="AD163" s="60"/>
      <c r="AE163" s="60"/>
      <c r="AF163" s="60"/>
      <c r="AG163" s="60"/>
      <c r="AH163" s="60"/>
      <c r="AI163" s="60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  <c r="BC163" s="59"/>
      <c r="BD163" s="59"/>
      <c r="BE163" s="59"/>
      <c r="BF163" s="59"/>
      <c r="BG163" s="59"/>
      <c r="BH163" s="59"/>
      <c r="BI163" s="59"/>
      <c r="BJ163" s="59"/>
      <c r="BK163" s="59"/>
      <c r="BL163" s="59"/>
      <c r="BM163" s="59"/>
      <c r="BN163" s="59"/>
      <c r="BO163" s="59"/>
      <c r="BP163" s="59"/>
      <c r="BQ163" s="59"/>
      <c r="BR163" s="59"/>
      <c r="BS163" s="59"/>
      <c r="BT163" s="59"/>
      <c r="BU163" s="59"/>
      <c r="BV163" s="59"/>
      <c r="BW163" s="59"/>
      <c r="BX163" s="59"/>
      <c r="BY163" s="59"/>
      <c r="BZ163" s="59"/>
      <c r="CA163" s="59"/>
      <c r="CB163" s="59"/>
      <c r="CC163" s="59"/>
      <c r="CD163" s="59"/>
      <c r="CE163" s="59"/>
      <c r="CF163" s="59"/>
      <c r="CG163" s="59"/>
      <c r="CH163" s="59"/>
      <c r="CI163" s="59"/>
      <c r="CJ163" s="59"/>
      <c r="CK163" s="59"/>
      <c r="CL163" s="59"/>
      <c r="CM163" s="59"/>
      <c r="CN163" s="59"/>
      <c r="CO163" s="59"/>
      <c r="CP163" s="59"/>
      <c r="CQ163" s="59"/>
      <c r="CR163" s="59"/>
      <c r="CS163" s="59"/>
      <c r="CT163" s="59"/>
      <c r="CU163" s="59"/>
      <c r="CV163" s="59"/>
      <c r="CW163" s="59"/>
      <c r="CX163" s="59"/>
      <c r="CY163" s="59"/>
      <c r="CZ163" s="59"/>
      <c r="DA163" s="59"/>
      <c r="DB163" s="59"/>
      <c r="DC163" s="59"/>
      <c r="DD163" s="59"/>
      <c r="DE163" s="59"/>
      <c r="DF163" s="59"/>
      <c r="DG163" s="59"/>
      <c r="DH163" s="59"/>
      <c r="DI163" s="59"/>
      <c r="DJ163" s="59"/>
      <c r="DK163" s="59"/>
      <c r="DL163" s="59"/>
      <c r="DM163" s="59"/>
      <c r="DN163" s="59"/>
      <c r="DO163" s="59"/>
      <c r="DP163" s="59"/>
      <c r="DQ163" s="59"/>
      <c r="DR163" s="59"/>
      <c r="DS163" s="59"/>
      <c r="DT163" s="59"/>
      <c r="DU163" s="59"/>
      <c r="DV163" s="59"/>
      <c r="DW163" s="59"/>
      <c r="DX163" s="59"/>
      <c r="DY163" s="59"/>
      <c r="DZ163" s="59"/>
      <c r="EA163" s="59"/>
      <c r="EB163" s="59"/>
      <c r="EC163" s="59"/>
      <c r="ED163" s="59"/>
      <c r="EE163" s="59"/>
      <c r="EF163" s="59"/>
      <c r="EG163" s="59"/>
      <c r="EH163" s="59"/>
      <c r="EI163" s="59"/>
      <c r="EJ163" s="59"/>
      <c r="EK163" s="59"/>
      <c r="EL163" s="59"/>
      <c r="EM163" s="59"/>
      <c r="EN163" s="59"/>
      <c r="EO163" s="59"/>
      <c r="EP163" s="59"/>
      <c r="EQ163" s="59"/>
    </row>
    <row r="164" spans="1:147" s="194" customFormat="1" ht="13" x14ac:dyDescent="0.25">
      <c r="A164" s="231"/>
      <c r="B164" s="232">
        <v>44152.145014762922</v>
      </c>
      <c r="C164" s="220">
        <v>44152.145014762922</v>
      </c>
      <c r="D164" s="220">
        <v>44152.161953168717</v>
      </c>
      <c r="E164" s="219">
        <v>0.40652173913043477</v>
      </c>
      <c r="F164" s="218">
        <v>7</v>
      </c>
      <c r="G164" s="217"/>
      <c r="H164" s="176"/>
      <c r="I164" s="228">
        <v>1001494</v>
      </c>
      <c r="J164" s="174" t="s">
        <v>54</v>
      </c>
      <c r="K164" s="173">
        <v>54</v>
      </c>
      <c r="L164" s="173">
        <v>54</v>
      </c>
      <c r="M164" s="171" t="s">
        <v>44</v>
      </c>
      <c r="N164" s="172">
        <v>106999083</v>
      </c>
      <c r="O164" s="171" t="s">
        <v>17</v>
      </c>
      <c r="P164" s="214" t="s">
        <v>42</v>
      </c>
      <c r="Q164" s="170">
        <v>0.9</v>
      </c>
      <c r="R164" s="168" t="s">
        <v>48</v>
      </c>
      <c r="S164" s="169" t="s">
        <v>42</v>
      </c>
      <c r="T164" s="168" t="s">
        <v>42</v>
      </c>
      <c r="U164" s="165" t="s">
        <v>42</v>
      </c>
      <c r="V164" s="166"/>
      <c r="W164" s="167" t="s">
        <v>41</v>
      </c>
      <c r="X164" s="166" t="s">
        <v>40</v>
      </c>
      <c r="Y164" s="166"/>
      <c r="Z164" s="166"/>
      <c r="AA164" s="196"/>
      <c r="AB164" s="196"/>
      <c r="AC164" s="196"/>
      <c r="AD164" s="196"/>
      <c r="AE164" s="196"/>
      <c r="AF164" s="196"/>
      <c r="AG164" s="196"/>
      <c r="AH164" s="196"/>
      <c r="AI164" s="196"/>
      <c r="AJ164" s="195"/>
      <c r="AK164" s="195"/>
      <c r="AL164" s="195"/>
      <c r="AM164" s="195"/>
      <c r="AN164" s="195"/>
      <c r="AO164" s="195"/>
      <c r="AP164" s="195"/>
      <c r="AQ164" s="195"/>
      <c r="AR164" s="195"/>
      <c r="AS164" s="195"/>
      <c r="AT164" s="195"/>
      <c r="AU164" s="195"/>
      <c r="AV164" s="195"/>
      <c r="AW164" s="195"/>
      <c r="AX164" s="195"/>
      <c r="AY164" s="195"/>
      <c r="AZ164" s="195"/>
      <c r="BA164" s="195"/>
      <c r="BB164" s="195"/>
      <c r="BC164" s="195"/>
      <c r="BD164" s="195"/>
      <c r="BE164" s="195"/>
      <c r="BF164" s="195"/>
      <c r="BG164" s="195"/>
      <c r="BH164" s="195"/>
      <c r="BI164" s="195"/>
      <c r="BJ164" s="195"/>
      <c r="BK164" s="195"/>
      <c r="BL164" s="195"/>
      <c r="BM164" s="195"/>
      <c r="BN164" s="195"/>
      <c r="BO164" s="195"/>
      <c r="BP164" s="195"/>
      <c r="BQ164" s="195"/>
      <c r="BR164" s="195"/>
      <c r="BS164" s="195"/>
      <c r="BT164" s="195"/>
      <c r="BU164" s="195"/>
      <c r="BV164" s="195"/>
      <c r="BW164" s="195"/>
      <c r="BX164" s="195"/>
      <c r="BY164" s="195"/>
      <c r="BZ164" s="195"/>
      <c r="CA164" s="195"/>
      <c r="CB164" s="195"/>
      <c r="CC164" s="195"/>
      <c r="CD164" s="195"/>
      <c r="CE164" s="195"/>
      <c r="CF164" s="195"/>
      <c r="CG164" s="195"/>
      <c r="CH164" s="195"/>
      <c r="CI164" s="195"/>
      <c r="CJ164" s="195"/>
      <c r="CK164" s="195"/>
      <c r="CL164" s="195"/>
      <c r="CM164" s="195"/>
      <c r="CN164" s="195"/>
      <c r="CO164" s="195"/>
      <c r="CP164" s="195"/>
      <c r="CQ164" s="195"/>
      <c r="CR164" s="195"/>
      <c r="CS164" s="195"/>
      <c r="CT164" s="195"/>
      <c r="CU164" s="195"/>
      <c r="CV164" s="195"/>
      <c r="CW164" s="195"/>
      <c r="CX164" s="195"/>
      <c r="CY164" s="195"/>
      <c r="CZ164" s="195"/>
      <c r="DA164" s="195"/>
      <c r="DB164" s="195"/>
      <c r="DC164" s="195"/>
      <c r="DD164" s="195"/>
      <c r="DE164" s="195"/>
      <c r="DF164" s="195"/>
      <c r="DG164" s="195"/>
      <c r="DH164" s="195"/>
      <c r="DI164" s="195"/>
      <c r="DJ164" s="195"/>
      <c r="DK164" s="195"/>
      <c r="DL164" s="195"/>
      <c r="DM164" s="195"/>
      <c r="DN164" s="195"/>
      <c r="DO164" s="195"/>
      <c r="DP164" s="195"/>
      <c r="DQ164" s="195"/>
      <c r="DR164" s="195"/>
      <c r="DS164" s="195"/>
      <c r="DT164" s="195"/>
      <c r="DU164" s="195"/>
      <c r="DV164" s="195"/>
      <c r="DW164" s="195"/>
      <c r="DX164" s="195"/>
      <c r="DY164" s="195"/>
      <c r="DZ164" s="195"/>
      <c r="EA164" s="195"/>
      <c r="EB164" s="195"/>
      <c r="EC164" s="195"/>
      <c r="ED164" s="195"/>
      <c r="EE164" s="195"/>
      <c r="EF164" s="195"/>
      <c r="EG164" s="195"/>
      <c r="EH164" s="195"/>
      <c r="EI164" s="195"/>
      <c r="EJ164" s="195"/>
      <c r="EK164" s="195"/>
      <c r="EL164" s="195"/>
      <c r="EM164" s="195"/>
      <c r="EN164" s="195"/>
      <c r="EO164" s="195"/>
      <c r="EP164" s="195"/>
      <c r="EQ164" s="195"/>
    </row>
    <row r="165" spans="1:147" s="194" customFormat="1" ht="13" x14ac:dyDescent="0.25">
      <c r="A165" s="231"/>
      <c r="B165" s="229">
        <v>44152.161953168717</v>
      </c>
      <c r="C165" s="220">
        <v>44152.161953168717</v>
      </c>
      <c r="D165" s="220">
        <v>44152.235074753415</v>
      </c>
      <c r="E165" s="219">
        <v>1.7549180327868852</v>
      </c>
      <c r="F165" s="218">
        <v>6</v>
      </c>
      <c r="G165" s="217"/>
      <c r="H165" s="176"/>
      <c r="I165" s="228">
        <v>1875899</v>
      </c>
      <c r="J165" s="174" t="s">
        <v>53</v>
      </c>
      <c r="K165" s="173">
        <v>459</v>
      </c>
      <c r="L165" s="173">
        <v>459</v>
      </c>
      <c r="M165" s="171" t="s">
        <v>44</v>
      </c>
      <c r="N165" s="172">
        <v>106999084</v>
      </c>
      <c r="O165" s="171" t="s">
        <v>17</v>
      </c>
      <c r="P165" s="214" t="s">
        <v>42</v>
      </c>
      <c r="Q165" s="170">
        <v>1.3440000000000001</v>
      </c>
      <c r="R165" s="168" t="s">
        <v>51</v>
      </c>
      <c r="S165" s="169" t="s">
        <v>42</v>
      </c>
      <c r="T165" s="168" t="s">
        <v>42</v>
      </c>
      <c r="U165" s="165" t="s">
        <v>42</v>
      </c>
      <c r="V165" s="166"/>
      <c r="W165" s="167" t="s">
        <v>41</v>
      </c>
      <c r="X165" s="166" t="s">
        <v>40</v>
      </c>
      <c r="Y165" s="166"/>
      <c r="Z165" s="166"/>
      <c r="AA165" s="196"/>
      <c r="AB165" s="196"/>
      <c r="AC165" s="196"/>
      <c r="AD165" s="196"/>
      <c r="AE165" s="196"/>
      <c r="AF165" s="196"/>
      <c r="AG165" s="196"/>
      <c r="AH165" s="196"/>
      <c r="AI165" s="196"/>
      <c r="AJ165" s="195"/>
      <c r="AK165" s="195"/>
      <c r="AL165" s="195"/>
      <c r="AM165" s="195"/>
      <c r="AN165" s="195"/>
      <c r="AO165" s="195"/>
      <c r="AP165" s="195"/>
      <c r="AQ165" s="195"/>
      <c r="AR165" s="195"/>
      <c r="AS165" s="195"/>
      <c r="AT165" s="195"/>
      <c r="AU165" s="195"/>
      <c r="AV165" s="195"/>
      <c r="AW165" s="195"/>
      <c r="AX165" s="195"/>
      <c r="AY165" s="195"/>
      <c r="AZ165" s="195"/>
      <c r="BA165" s="195"/>
      <c r="BB165" s="195"/>
      <c r="BC165" s="195"/>
      <c r="BD165" s="195"/>
      <c r="BE165" s="195"/>
      <c r="BF165" s="195"/>
      <c r="BG165" s="195"/>
      <c r="BH165" s="195"/>
      <c r="BI165" s="195"/>
      <c r="BJ165" s="195"/>
      <c r="BK165" s="195"/>
      <c r="BL165" s="195"/>
      <c r="BM165" s="195"/>
      <c r="BN165" s="195"/>
      <c r="BO165" s="195"/>
      <c r="BP165" s="195"/>
      <c r="BQ165" s="195"/>
      <c r="BR165" s="195"/>
      <c r="BS165" s="195"/>
      <c r="BT165" s="195"/>
      <c r="BU165" s="195"/>
      <c r="BV165" s="195"/>
      <c r="BW165" s="195"/>
      <c r="BX165" s="195"/>
      <c r="BY165" s="195"/>
      <c r="BZ165" s="195"/>
      <c r="CA165" s="195"/>
      <c r="CB165" s="195"/>
      <c r="CC165" s="195"/>
      <c r="CD165" s="195"/>
      <c r="CE165" s="195"/>
      <c r="CF165" s="195"/>
      <c r="CG165" s="195"/>
      <c r="CH165" s="195"/>
      <c r="CI165" s="195"/>
      <c r="CJ165" s="195"/>
      <c r="CK165" s="195"/>
      <c r="CL165" s="195"/>
      <c r="CM165" s="195"/>
      <c r="CN165" s="195"/>
      <c r="CO165" s="195"/>
      <c r="CP165" s="195"/>
      <c r="CQ165" s="195"/>
      <c r="CR165" s="195"/>
      <c r="CS165" s="195"/>
      <c r="CT165" s="195"/>
      <c r="CU165" s="195"/>
      <c r="CV165" s="195"/>
      <c r="CW165" s="195"/>
      <c r="CX165" s="195"/>
      <c r="CY165" s="195"/>
      <c r="CZ165" s="195"/>
      <c r="DA165" s="195"/>
      <c r="DB165" s="195"/>
      <c r="DC165" s="195"/>
      <c r="DD165" s="195"/>
      <c r="DE165" s="195"/>
      <c r="DF165" s="195"/>
      <c r="DG165" s="195"/>
      <c r="DH165" s="195"/>
      <c r="DI165" s="195"/>
      <c r="DJ165" s="195"/>
      <c r="DK165" s="195"/>
      <c r="DL165" s="195"/>
      <c r="DM165" s="195"/>
      <c r="DN165" s="195"/>
      <c r="DO165" s="195"/>
      <c r="DP165" s="195"/>
      <c r="DQ165" s="195"/>
      <c r="DR165" s="195"/>
      <c r="DS165" s="195"/>
      <c r="DT165" s="195"/>
      <c r="DU165" s="195"/>
      <c r="DV165" s="195"/>
      <c r="DW165" s="195"/>
      <c r="DX165" s="195"/>
      <c r="DY165" s="195"/>
      <c r="DZ165" s="195"/>
      <c r="EA165" s="195"/>
      <c r="EB165" s="195"/>
      <c r="EC165" s="195"/>
      <c r="ED165" s="195"/>
      <c r="EE165" s="195"/>
      <c r="EF165" s="195"/>
      <c r="EG165" s="195"/>
      <c r="EH165" s="195"/>
      <c r="EI165" s="195"/>
      <c r="EJ165" s="195"/>
      <c r="EK165" s="195"/>
      <c r="EL165" s="195"/>
      <c r="EM165" s="195"/>
      <c r="EN165" s="195"/>
      <c r="EO165" s="195"/>
      <c r="EP165" s="195"/>
      <c r="EQ165" s="195"/>
    </row>
    <row r="166" spans="1:147" s="194" customFormat="1" ht="13" x14ac:dyDescent="0.25">
      <c r="A166" s="231"/>
      <c r="B166" s="229">
        <v>44152.235074753415</v>
      </c>
      <c r="C166" s="220">
        <v>44152.235074753415</v>
      </c>
      <c r="D166" s="220">
        <v>44152.259152622268</v>
      </c>
      <c r="E166" s="219">
        <v>0.57786885245901631</v>
      </c>
      <c r="F166" s="218">
        <v>6</v>
      </c>
      <c r="G166" s="217"/>
      <c r="H166" s="176"/>
      <c r="I166" s="228">
        <v>1822396</v>
      </c>
      <c r="J166" s="174" t="s">
        <v>52</v>
      </c>
      <c r="K166" s="173">
        <v>100</v>
      </c>
      <c r="L166" s="173">
        <v>100</v>
      </c>
      <c r="M166" s="171" t="s">
        <v>44</v>
      </c>
      <c r="N166" s="172">
        <v>106999085</v>
      </c>
      <c r="O166" s="171" t="s">
        <v>17</v>
      </c>
      <c r="P166" s="214" t="s">
        <v>42</v>
      </c>
      <c r="Q166" s="170">
        <v>1.7</v>
      </c>
      <c r="R166" s="168" t="s">
        <v>51</v>
      </c>
      <c r="S166" s="169" t="s">
        <v>42</v>
      </c>
      <c r="T166" s="168" t="s">
        <v>42</v>
      </c>
      <c r="U166" s="165" t="s">
        <v>42</v>
      </c>
      <c r="V166" s="166"/>
      <c r="W166" s="167" t="s">
        <v>41</v>
      </c>
      <c r="X166" s="166" t="s">
        <v>40</v>
      </c>
      <c r="Y166" s="166"/>
      <c r="Z166" s="166"/>
      <c r="AA166" s="196"/>
      <c r="AB166" s="196"/>
      <c r="AC166" s="196"/>
      <c r="AD166" s="196"/>
      <c r="AE166" s="196"/>
      <c r="AF166" s="196"/>
      <c r="AG166" s="196"/>
      <c r="AH166" s="196"/>
      <c r="AI166" s="196"/>
      <c r="AJ166" s="195"/>
      <c r="AK166" s="195"/>
      <c r="AL166" s="195"/>
      <c r="AM166" s="195"/>
      <c r="AN166" s="195"/>
      <c r="AO166" s="195"/>
      <c r="AP166" s="195"/>
      <c r="AQ166" s="195"/>
      <c r="AR166" s="195"/>
      <c r="AS166" s="195"/>
      <c r="AT166" s="195"/>
      <c r="AU166" s="195"/>
      <c r="AV166" s="195"/>
      <c r="AW166" s="195"/>
      <c r="AX166" s="195"/>
      <c r="AY166" s="195"/>
      <c r="AZ166" s="195"/>
      <c r="BA166" s="195"/>
      <c r="BB166" s="195"/>
      <c r="BC166" s="195"/>
      <c r="BD166" s="195"/>
      <c r="BE166" s="195"/>
      <c r="BF166" s="195"/>
      <c r="BG166" s="195"/>
      <c r="BH166" s="195"/>
      <c r="BI166" s="195"/>
      <c r="BJ166" s="195"/>
      <c r="BK166" s="195"/>
      <c r="BL166" s="195"/>
      <c r="BM166" s="195"/>
      <c r="BN166" s="195"/>
      <c r="BO166" s="195"/>
      <c r="BP166" s="195"/>
      <c r="BQ166" s="195"/>
      <c r="BR166" s="195"/>
      <c r="BS166" s="195"/>
      <c r="BT166" s="195"/>
      <c r="BU166" s="195"/>
      <c r="BV166" s="195"/>
      <c r="BW166" s="195"/>
      <c r="BX166" s="195"/>
      <c r="BY166" s="195"/>
      <c r="BZ166" s="195"/>
      <c r="CA166" s="195"/>
      <c r="CB166" s="195"/>
      <c r="CC166" s="195"/>
      <c r="CD166" s="195"/>
      <c r="CE166" s="195"/>
      <c r="CF166" s="195"/>
      <c r="CG166" s="195"/>
      <c r="CH166" s="195"/>
      <c r="CI166" s="195"/>
      <c r="CJ166" s="195"/>
      <c r="CK166" s="195"/>
      <c r="CL166" s="195"/>
      <c r="CM166" s="195"/>
      <c r="CN166" s="195"/>
      <c r="CO166" s="195"/>
      <c r="CP166" s="195"/>
      <c r="CQ166" s="195"/>
      <c r="CR166" s="195"/>
      <c r="CS166" s="195"/>
      <c r="CT166" s="195"/>
      <c r="CU166" s="195"/>
      <c r="CV166" s="195"/>
      <c r="CW166" s="195"/>
      <c r="CX166" s="195"/>
      <c r="CY166" s="195"/>
      <c r="CZ166" s="195"/>
      <c r="DA166" s="195"/>
      <c r="DB166" s="195"/>
      <c r="DC166" s="195"/>
      <c r="DD166" s="195"/>
      <c r="DE166" s="195"/>
      <c r="DF166" s="195"/>
      <c r="DG166" s="195"/>
      <c r="DH166" s="195"/>
      <c r="DI166" s="195"/>
      <c r="DJ166" s="195"/>
      <c r="DK166" s="195"/>
      <c r="DL166" s="195"/>
      <c r="DM166" s="195"/>
      <c r="DN166" s="195"/>
      <c r="DO166" s="195"/>
      <c r="DP166" s="195"/>
      <c r="DQ166" s="195"/>
      <c r="DR166" s="195"/>
      <c r="DS166" s="195"/>
      <c r="DT166" s="195"/>
      <c r="DU166" s="195"/>
      <c r="DV166" s="195"/>
      <c r="DW166" s="195"/>
      <c r="DX166" s="195"/>
      <c r="DY166" s="195"/>
      <c r="DZ166" s="195"/>
      <c r="EA166" s="195"/>
      <c r="EB166" s="195"/>
      <c r="EC166" s="195"/>
      <c r="ED166" s="195"/>
      <c r="EE166" s="195"/>
      <c r="EF166" s="195"/>
      <c r="EG166" s="195"/>
      <c r="EH166" s="195"/>
      <c r="EI166" s="195"/>
      <c r="EJ166" s="195"/>
      <c r="EK166" s="195"/>
      <c r="EL166" s="195"/>
      <c r="EM166" s="195"/>
      <c r="EN166" s="195"/>
      <c r="EO166" s="195"/>
      <c r="EP166" s="195"/>
      <c r="EQ166" s="195"/>
    </row>
    <row r="167" spans="1:147" s="194" customFormat="1" ht="13" x14ac:dyDescent="0.25">
      <c r="A167" s="231"/>
      <c r="B167" s="229">
        <v>44152.259152622268</v>
      </c>
      <c r="C167" s="220">
        <v>44152.259152622268</v>
      </c>
      <c r="D167" s="220">
        <v>44152.275970255119</v>
      </c>
      <c r="E167" s="219">
        <v>0.40362318840579714</v>
      </c>
      <c r="F167" s="218">
        <v>7</v>
      </c>
      <c r="G167" s="217"/>
      <c r="H167" s="176"/>
      <c r="I167" s="228">
        <v>1650628</v>
      </c>
      <c r="J167" s="174" t="s">
        <v>50</v>
      </c>
      <c r="K167" s="173">
        <v>53</v>
      </c>
      <c r="L167" s="173">
        <v>53</v>
      </c>
      <c r="M167" s="171" t="s">
        <v>44</v>
      </c>
      <c r="N167" s="172">
        <v>106999086</v>
      </c>
      <c r="O167" s="171" t="s">
        <v>17</v>
      </c>
      <c r="P167" s="214"/>
      <c r="Q167" s="170">
        <v>0.82</v>
      </c>
      <c r="R167" s="168" t="s">
        <v>48</v>
      </c>
      <c r="S167" s="169" t="s">
        <v>42</v>
      </c>
      <c r="T167" s="168" t="s">
        <v>42</v>
      </c>
      <c r="U167" s="165" t="s">
        <v>42</v>
      </c>
      <c r="V167" s="166"/>
      <c r="W167" s="167" t="s">
        <v>41</v>
      </c>
      <c r="X167" s="166" t="s">
        <v>40</v>
      </c>
      <c r="Y167" s="166"/>
      <c r="Z167" s="166"/>
      <c r="AA167" s="196"/>
      <c r="AB167" s="196"/>
      <c r="AC167" s="196"/>
      <c r="AD167" s="196"/>
      <c r="AE167" s="196"/>
      <c r="AF167" s="196"/>
      <c r="AG167" s="196"/>
      <c r="AH167" s="196"/>
      <c r="AI167" s="196"/>
      <c r="AJ167" s="195"/>
      <c r="AK167" s="195"/>
      <c r="AL167" s="195"/>
      <c r="AM167" s="195"/>
      <c r="AN167" s="195"/>
      <c r="AO167" s="195"/>
      <c r="AP167" s="195"/>
      <c r="AQ167" s="195"/>
      <c r="AR167" s="195"/>
      <c r="AS167" s="195"/>
      <c r="AT167" s="195"/>
      <c r="AU167" s="195"/>
      <c r="AV167" s="195"/>
      <c r="AW167" s="195"/>
      <c r="AX167" s="195"/>
      <c r="AY167" s="195"/>
      <c r="AZ167" s="195"/>
      <c r="BA167" s="195"/>
      <c r="BB167" s="195"/>
      <c r="BC167" s="195"/>
      <c r="BD167" s="195"/>
      <c r="BE167" s="195"/>
      <c r="BF167" s="195"/>
      <c r="BG167" s="195"/>
      <c r="BH167" s="195"/>
      <c r="BI167" s="195"/>
      <c r="BJ167" s="195"/>
      <c r="BK167" s="195"/>
      <c r="BL167" s="195"/>
      <c r="BM167" s="195"/>
      <c r="BN167" s="195"/>
      <c r="BO167" s="195"/>
      <c r="BP167" s="195"/>
      <c r="BQ167" s="195"/>
      <c r="BR167" s="195"/>
      <c r="BS167" s="195"/>
      <c r="BT167" s="195"/>
      <c r="BU167" s="195"/>
      <c r="BV167" s="195"/>
      <c r="BW167" s="195"/>
      <c r="BX167" s="195"/>
      <c r="BY167" s="195"/>
      <c r="BZ167" s="195"/>
      <c r="CA167" s="195"/>
      <c r="CB167" s="195"/>
      <c r="CC167" s="195"/>
      <c r="CD167" s="195"/>
      <c r="CE167" s="195"/>
      <c r="CF167" s="195"/>
      <c r="CG167" s="195"/>
      <c r="CH167" s="195"/>
      <c r="CI167" s="195"/>
      <c r="CJ167" s="195"/>
      <c r="CK167" s="195"/>
      <c r="CL167" s="195"/>
      <c r="CM167" s="195"/>
      <c r="CN167" s="195"/>
      <c r="CO167" s="195"/>
      <c r="CP167" s="195"/>
      <c r="CQ167" s="195"/>
      <c r="CR167" s="195"/>
      <c r="CS167" s="195"/>
      <c r="CT167" s="195"/>
      <c r="CU167" s="195"/>
      <c r="CV167" s="195"/>
      <c r="CW167" s="195"/>
      <c r="CX167" s="195"/>
      <c r="CY167" s="195"/>
      <c r="CZ167" s="195"/>
      <c r="DA167" s="195"/>
      <c r="DB167" s="195"/>
      <c r="DC167" s="195"/>
      <c r="DD167" s="195"/>
      <c r="DE167" s="195"/>
      <c r="DF167" s="195"/>
      <c r="DG167" s="195"/>
      <c r="DH167" s="195"/>
      <c r="DI167" s="195"/>
      <c r="DJ167" s="195"/>
      <c r="DK167" s="195"/>
      <c r="DL167" s="195"/>
      <c r="DM167" s="195"/>
      <c r="DN167" s="195"/>
      <c r="DO167" s="195"/>
      <c r="DP167" s="195"/>
      <c r="DQ167" s="195"/>
      <c r="DR167" s="195"/>
      <c r="DS167" s="195"/>
      <c r="DT167" s="195"/>
      <c r="DU167" s="195"/>
      <c r="DV167" s="195"/>
      <c r="DW167" s="195"/>
      <c r="DX167" s="195"/>
      <c r="DY167" s="195"/>
      <c r="DZ167" s="195"/>
      <c r="EA167" s="195"/>
      <c r="EB167" s="195"/>
      <c r="EC167" s="195"/>
      <c r="ED167" s="195"/>
      <c r="EE167" s="195"/>
      <c r="EF167" s="195"/>
      <c r="EG167" s="195"/>
      <c r="EH167" s="195"/>
      <c r="EI167" s="195"/>
      <c r="EJ167" s="195"/>
      <c r="EK167" s="195"/>
      <c r="EL167" s="195"/>
      <c r="EM167" s="195"/>
      <c r="EN167" s="195"/>
      <c r="EO167" s="195"/>
      <c r="EP167" s="195"/>
      <c r="EQ167" s="195"/>
    </row>
    <row r="168" spans="1:147" s="194" customFormat="1" ht="13" x14ac:dyDescent="0.25">
      <c r="A168" s="230" t="s">
        <v>46</v>
      </c>
      <c r="B168" s="229">
        <v>44152.275970255119</v>
      </c>
      <c r="C168" s="220">
        <v>44152.275970255119</v>
      </c>
      <c r="D168" s="220">
        <v>44152.300396583625</v>
      </c>
      <c r="E168" s="219">
        <v>0.586231884057971</v>
      </c>
      <c r="F168" s="218">
        <v>7</v>
      </c>
      <c r="G168" s="217"/>
      <c r="H168" s="176"/>
      <c r="I168" s="228">
        <v>1001508</v>
      </c>
      <c r="J168" s="174" t="s">
        <v>49</v>
      </c>
      <c r="K168" s="173">
        <v>116</v>
      </c>
      <c r="L168" s="173">
        <v>116</v>
      </c>
      <c r="M168" s="171" t="s">
        <v>44</v>
      </c>
      <c r="N168" s="172">
        <v>106999089</v>
      </c>
      <c r="O168" s="171" t="s">
        <v>17</v>
      </c>
      <c r="P168" s="214"/>
      <c r="Q168" s="170">
        <v>0.7</v>
      </c>
      <c r="R168" s="168" t="s">
        <v>48</v>
      </c>
      <c r="S168" s="169" t="s">
        <v>42</v>
      </c>
      <c r="T168" s="168" t="s">
        <v>42</v>
      </c>
      <c r="U168" s="165" t="s">
        <v>42</v>
      </c>
      <c r="V168" s="166"/>
      <c r="W168" s="167" t="s">
        <v>47</v>
      </c>
      <c r="X168" s="166" t="s">
        <v>40</v>
      </c>
      <c r="Y168" s="166"/>
      <c r="Z168" s="166"/>
      <c r="AA168" s="196"/>
      <c r="AB168" s="196"/>
      <c r="AC168" s="196"/>
      <c r="AD168" s="196"/>
      <c r="AE168" s="196"/>
      <c r="AF168" s="196"/>
      <c r="AG168" s="196"/>
      <c r="AH168" s="196"/>
      <c r="AI168" s="196"/>
      <c r="AJ168" s="195"/>
      <c r="AK168" s="195"/>
      <c r="AL168" s="195"/>
      <c r="AM168" s="195"/>
      <c r="AN168" s="195"/>
      <c r="AO168" s="195"/>
      <c r="AP168" s="195"/>
      <c r="AQ168" s="195"/>
      <c r="AR168" s="195"/>
      <c r="AS168" s="195"/>
      <c r="AT168" s="195"/>
      <c r="AU168" s="195"/>
      <c r="AV168" s="195"/>
      <c r="AW168" s="195"/>
      <c r="AX168" s="195"/>
      <c r="AY168" s="195"/>
      <c r="AZ168" s="195"/>
      <c r="BA168" s="195"/>
      <c r="BB168" s="195"/>
      <c r="BC168" s="195"/>
      <c r="BD168" s="195"/>
      <c r="BE168" s="195"/>
      <c r="BF168" s="195"/>
      <c r="BG168" s="195"/>
      <c r="BH168" s="195"/>
      <c r="BI168" s="195"/>
      <c r="BJ168" s="195"/>
      <c r="BK168" s="195"/>
      <c r="BL168" s="195"/>
      <c r="BM168" s="195"/>
      <c r="BN168" s="195"/>
      <c r="BO168" s="195"/>
      <c r="BP168" s="195"/>
      <c r="BQ168" s="195"/>
      <c r="BR168" s="195"/>
      <c r="BS168" s="195"/>
      <c r="BT168" s="195"/>
      <c r="BU168" s="195"/>
      <c r="BV168" s="195"/>
      <c r="BW168" s="195"/>
      <c r="BX168" s="195"/>
      <c r="BY168" s="195"/>
      <c r="BZ168" s="195"/>
      <c r="CA168" s="195"/>
      <c r="CB168" s="195"/>
      <c r="CC168" s="195"/>
      <c r="CD168" s="195"/>
      <c r="CE168" s="195"/>
      <c r="CF168" s="195"/>
      <c r="CG168" s="195"/>
      <c r="CH168" s="195"/>
      <c r="CI168" s="195"/>
      <c r="CJ168" s="195"/>
      <c r="CK168" s="195"/>
      <c r="CL168" s="195"/>
      <c r="CM168" s="195"/>
      <c r="CN168" s="195"/>
      <c r="CO168" s="195"/>
      <c r="CP168" s="195"/>
      <c r="CQ168" s="195"/>
      <c r="CR168" s="195"/>
      <c r="CS168" s="195"/>
      <c r="CT168" s="195"/>
      <c r="CU168" s="195"/>
      <c r="CV168" s="195"/>
      <c r="CW168" s="195"/>
      <c r="CX168" s="195"/>
      <c r="CY168" s="195"/>
      <c r="CZ168" s="195"/>
      <c r="DA168" s="195"/>
      <c r="DB168" s="195"/>
      <c r="DC168" s="195"/>
      <c r="DD168" s="195"/>
      <c r="DE168" s="195"/>
      <c r="DF168" s="195"/>
      <c r="DG168" s="195"/>
      <c r="DH168" s="195"/>
      <c r="DI168" s="195"/>
      <c r="DJ168" s="195"/>
      <c r="DK168" s="195"/>
      <c r="DL168" s="195"/>
      <c r="DM168" s="195"/>
      <c r="DN168" s="195"/>
      <c r="DO168" s="195"/>
      <c r="DP168" s="195"/>
      <c r="DQ168" s="195"/>
      <c r="DR168" s="195"/>
      <c r="DS168" s="195"/>
      <c r="DT168" s="195"/>
      <c r="DU168" s="195"/>
      <c r="DV168" s="195"/>
      <c r="DW168" s="195"/>
      <c r="DX168" s="195"/>
      <c r="DY168" s="195"/>
      <c r="DZ168" s="195"/>
      <c r="EA168" s="195"/>
      <c r="EB168" s="195"/>
      <c r="EC168" s="195"/>
      <c r="ED168" s="195"/>
      <c r="EE168" s="195"/>
      <c r="EF168" s="195"/>
      <c r="EG168" s="195"/>
      <c r="EH168" s="195"/>
      <c r="EI168" s="195"/>
      <c r="EJ168" s="195"/>
      <c r="EK168" s="195"/>
      <c r="EL168" s="195"/>
      <c r="EM168" s="195"/>
      <c r="EN168" s="195"/>
      <c r="EO168" s="195"/>
      <c r="EP168" s="195"/>
      <c r="EQ168" s="195"/>
    </row>
    <row r="169" spans="1:147" s="194" customFormat="1" ht="13" x14ac:dyDescent="0.25">
      <c r="A169" s="230" t="s">
        <v>46</v>
      </c>
      <c r="B169" s="229">
        <v>44152.300396583625</v>
      </c>
      <c r="C169" s="220">
        <v>44152.300396583625</v>
      </c>
      <c r="D169" s="220">
        <v>44152.376666908829</v>
      </c>
      <c r="E169" s="219">
        <v>1.8304878048780489</v>
      </c>
      <c r="F169" s="218">
        <v>4</v>
      </c>
      <c r="G169" s="217"/>
      <c r="H169" s="176"/>
      <c r="I169" s="228">
        <v>1063337</v>
      </c>
      <c r="J169" s="174" t="s">
        <v>45</v>
      </c>
      <c r="K169" s="173">
        <v>324</v>
      </c>
      <c r="L169" s="173">
        <v>324</v>
      </c>
      <c r="M169" s="171" t="s">
        <v>44</v>
      </c>
      <c r="N169" s="172">
        <v>107000005</v>
      </c>
      <c r="O169" s="171" t="s">
        <v>17</v>
      </c>
      <c r="P169" s="214" t="s">
        <v>42</v>
      </c>
      <c r="Q169" s="170">
        <v>2</v>
      </c>
      <c r="R169" s="168" t="s">
        <v>43</v>
      </c>
      <c r="S169" s="169" t="s">
        <v>42</v>
      </c>
      <c r="T169" s="168" t="s">
        <v>42</v>
      </c>
      <c r="U169" s="165" t="s">
        <v>42</v>
      </c>
      <c r="V169" s="166"/>
      <c r="W169" s="167" t="s">
        <v>41</v>
      </c>
      <c r="X169" s="166" t="s">
        <v>40</v>
      </c>
      <c r="Y169" s="166"/>
      <c r="Z169" s="166"/>
      <c r="AA169" s="196"/>
      <c r="AB169" s="196"/>
      <c r="AC169" s="196"/>
      <c r="AD169" s="196"/>
      <c r="AE169" s="196"/>
      <c r="AF169" s="196"/>
      <c r="AG169" s="196"/>
      <c r="AH169" s="196"/>
      <c r="AI169" s="196"/>
      <c r="AJ169" s="195"/>
      <c r="AK169" s="195"/>
      <c r="AL169" s="195"/>
      <c r="AM169" s="195"/>
      <c r="AN169" s="195"/>
      <c r="AO169" s="195"/>
      <c r="AP169" s="195"/>
      <c r="AQ169" s="195"/>
      <c r="AR169" s="195"/>
      <c r="AS169" s="195"/>
      <c r="AT169" s="195"/>
      <c r="AU169" s="195"/>
      <c r="AV169" s="195"/>
      <c r="AW169" s="195"/>
      <c r="AX169" s="195"/>
      <c r="AY169" s="195"/>
      <c r="AZ169" s="195"/>
      <c r="BA169" s="195"/>
      <c r="BB169" s="195"/>
      <c r="BC169" s="195"/>
      <c r="BD169" s="195"/>
      <c r="BE169" s="195"/>
      <c r="BF169" s="195"/>
      <c r="BG169" s="195"/>
      <c r="BH169" s="195"/>
      <c r="BI169" s="195"/>
      <c r="BJ169" s="195"/>
      <c r="BK169" s="195"/>
      <c r="BL169" s="195"/>
      <c r="BM169" s="195"/>
      <c r="BN169" s="195"/>
      <c r="BO169" s="195"/>
      <c r="BP169" s="195"/>
      <c r="BQ169" s="195"/>
      <c r="BR169" s="195"/>
      <c r="BS169" s="195"/>
      <c r="BT169" s="195"/>
      <c r="BU169" s="195"/>
      <c r="BV169" s="195"/>
      <c r="BW169" s="195"/>
      <c r="BX169" s="195"/>
      <c r="BY169" s="195"/>
      <c r="BZ169" s="195"/>
      <c r="CA169" s="195"/>
      <c r="CB169" s="195"/>
      <c r="CC169" s="195"/>
      <c r="CD169" s="195"/>
      <c r="CE169" s="195"/>
      <c r="CF169" s="195"/>
      <c r="CG169" s="195"/>
      <c r="CH169" s="195"/>
      <c r="CI169" s="195"/>
      <c r="CJ169" s="195"/>
      <c r="CK169" s="195"/>
      <c r="CL169" s="195"/>
      <c r="CM169" s="195"/>
      <c r="CN169" s="195"/>
      <c r="CO169" s="195"/>
      <c r="CP169" s="195"/>
      <c r="CQ169" s="195"/>
      <c r="CR169" s="195"/>
      <c r="CS169" s="195"/>
      <c r="CT169" s="195"/>
      <c r="CU169" s="195"/>
      <c r="CV169" s="195"/>
      <c r="CW169" s="195"/>
      <c r="CX169" s="195"/>
      <c r="CY169" s="195"/>
      <c r="CZ169" s="195"/>
      <c r="DA169" s="195"/>
      <c r="DB169" s="195"/>
      <c r="DC169" s="195"/>
      <c r="DD169" s="195"/>
      <c r="DE169" s="195"/>
      <c r="DF169" s="195"/>
      <c r="DG169" s="195"/>
      <c r="DH169" s="195"/>
      <c r="DI169" s="195"/>
      <c r="DJ169" s="195"/>
      <c r="DK169" s="195"/>
      <c r="DL169" s="195"/>
      <c r="DM169" s="195"/>
      <c r="DN169" s="195"/>
      <c r="DO169" s="195"/>
      <c r="DP169" s="195"/>
      <c r="DQ169" s="195"/>
      <c r="DR169" s="195"/>
      <c r="DS169" s="195"/>
      <c r="DT169" s="195"/>
      <c r="DU169" s="195"/>
      <c r="DV169" s="195"/>
      <c r="DW169" s="195"/>
      <c r="DX169" s="195"/>
      <c r="DY169" s="195"/>
      <c r="DZ169" s="195"/>
      <c r="EA169" s="195"/>
      <c r="EB169" s="195"/>
      <c r="EC169" s="195"/>
      <c r="ED169" s="195"/>
      <c r="EE169" s="195"/>
      <c r="EF169" s="195"/>
      <c r="EG169" s="195"/>
      <c r="EH169" s="195"/>
      <c r="EI169" s="195"/>
      <c r="EJ169" s="195"/>
      <c r="EK169" s="195"/>
      <c r="EL169" s="195"/>
      <c r="EM169" s="195"/>
      <c r="EN169" s="195"/>
      <c r="EO169" s="195"/>
      <c r="EP169" s="195"/>
      <c r="EQ169" s="195"/>
    </row>
    <row r="170" spans="1:147" ht="13" x14ac:dyDescent="0.25">
      <c r="A170" s="4"/>
      <c r="B170" s="163">
        <f>D162</f>
        <v>44145.73944746011</v>
      </c>
      <c r="C170" s="162">
        <f>D162</f>
        <v>44145.73944746011</v>
      </c>
      <c r="D170" s="162">
        <f>C170+(E170+G170)*(1/24)</f>
        <v>44145.822780793445</v>
      </c>
      <c r="E170" s="64">
        <v>2</v>
      </c>
      <c r="F170" s="64"/>
      <c r="G170" s="161"/>
      <c r="H170" s="160"/>
      <c r="I170" s="159">
        <f>COUNT(I151:I169)</f>
        <v>16</v>
      </c>
      <c r="J170" s="158" t="s">
        <v>33</v>
      </c>
      <c r="K170" s="157">
        <f>SUM(K151:K169)</f>
        <v>4168</v>
      </c>
      <c r="L170" s="157">
        <f>SUM(L151:L169)</f>
        <v>4168</v>
      </c>
      <c r="M170" s="156"/>
      <c r="N170" s="155"/>
      <c r="O170" s="155"/>
      <c r="P170" s="153"/>
      <c r="Q170" s="154"/>
      <c r="R170" s="153"/>
      <c r="S170" s="153"/>
      <c r="T170" s="152"/>
      <c r="U170" s="23"/>
      <c r="V170" s="61"/>
      <c r="W170" s="61"/>
      <c r="X170" s="61"/>
      <c r="Y170" s="61"/>
      <c r="Z170" s="131"/>
    </row>
    <row r="171" spans="1:147" ht="13" x14ac:dyDescent="0.25">
      <c r="A171" s="57"/>
      <c r="B171" s="147"/>
      <c r="C171" s="227"/>
      <c r="D171" s="227"/>
      <c r="E171" s="178"/>
      <c r="F171" s="178"/>
      <c r="G171" s="177"/>
      <c r="H171" s="205"/>
      <c r="I171" s="204"/>
      <c r="J171" s="203"/>
      <c r="K171" s="202"/>
      <c r="L171" s="202"/>
      <c r="M171" s="201"/>
      <c r="N171" s="201"/>
      <c r="O171" s="201"/>
      <c r="P171" s="199"/>
      <c r="Q171" s="200"/>
      <c r="R171" s="199"/>
      <c r="S171" s="198"/>
      <c r="T171" s="197"/>
      <c r="U171" s="23"/>
      <c r="V171" s="61"/>
      <c r="W171" s="61"/>
      <c r="X171" s="61"/>
      <c r="Y171" s="61"/>
      <c r="Z171" s="131"/>
    </row>
    <row r="172" spans="1:147" s="149" customFormat="1" ht="26" x14ac:dyDescent="0.25">
      <c r="A172" s="164"/>
      <c r="B172" s="193" t="s">
        <v>39</v>
      </c>
      <c r="C172" s="192"/>
      <c r="D172" s="192"/>
      <c r="E172" s="192"/>
      <c r="F172" s="192"/>
      <c r="G172" s="191"/>
      <c r="H172" s="190" t="s">
        <v>30</v>
      </c>
      <c r="I172" s="189" t="s">
        <v>29</v>
      </c>
      <c r="J172" s="189" t="s">
        <v>28</v>
      </c>
      <c r="K172" s="188" t="s">
        <v>27</v>
      </c>
      <c r="L172" s="188" t="s">
        <v>26</v>
      </c>
      <c r="M172" s="187" t="s">
        <v>25</v>
      </c>
      <c r="N172" s="186" t="s">
        <v>24</v>
      </c>
      <c r="O172" s="184" t="s">
        <v>23</v>
      </c>
      <c r="P172" s="184" t="s">
        <v>22</v>
      </c>
      <c r="Q172" s="185" t="s">
        <v>21</v>
      </c>
      <c r="R172" s="184" t="s">
        <v>20</v>
      </c>
      <c r="S172" s="184" t="s">
        <v>19</v>
      </c>
      <c r="T172" s="184" t="s">
        <v>18</v>
      </c>
      <c r="U172" s="23"/>
      <c r="V172" s="61"/>
      <c r="W172" s="61"/>
      <c r="X172" s="61"/>
      <c r="Y172" s="61"/>
      <c r="Z172" s="131"/>
      <c r="AA172" s="151"/>
      <c r="AB172" s="151"/>
      <c r="AC172" s="151"/>
      <c r="AD172" s="151"/>
      <c r="AE172" s="151"/>
      <c r="AF172" s="151"/>
      <c r="AG172" s="151"/>
      <c r="AH172" s="151"/>
      <c r="AI172" s="151"/>
      <c r="AJ172" s="150"/>
      <c r="AK172" s="150"/>
      <c r="AL172" s="150"/>
      <c r="AM172" s="150"/>
      <c r="AN172" s="150"/>
      <c r="AO172" s="150"/>
      <c r="AP172" s="150"/>
      <c r="AQ172" s="150"/>
      <c r="AR172" s="150"/>
      <c r="AS172" s="150"/>
      <c r="AT172" s="150"/>
      <c r="AU172" s="150"/>
      <c r="AV172" s="150"/>
      <c r="AW172" s="150"/>
      <c r="AX172" s="150"/>
      <c r="AY172" s="150"/>
      <c r="AZ172" s="150"/>
      <c r="BA172" s="150"/>
      <c r="BB172" s="150"/>
      <c r="BC172" s="150"/>
      <c r="BD172" s="150"/>
      <c r="BE172" s="150"/>
      <c r="BF172" s="150"/>
      <c r="BG172" s="150"/>
      <c r="BH172" s="150"/>
      <c r="BI172" s="150"/>
      <c r="BJ172" s="150"/>
      <c r="BK172" s="150"/>
      <c r="BL172" s="150"/>
      <c r="BM172" s="150"/>
      <c r="BN172" s="150"/>
      <c r="BO172" s="150"/>
      <c r="BP172" s="150"/>
      <c r="BQ172" s="150"/>
      <c r="BR172" s="150"/>
      <c r="BS172" s="150"/>
      <c r="BT172" s="150"/>
      <c r="BU172" s="150"/>
      <c r="BV172" s="150"/>
      <c r="BW172" s="150"/>
      <c r="BX172" s="150"/>
      <c r="BY172" s="150"/>
      <c r="BZ172" s="150"/>
      <c r="CA172" s="150"/>
      <c r="CB172" s="150"/>
      <c r="CC172" s="150"/>
      <c r="CD172" s="150"/>
      <c r="CE172" s="150"/>
      <c r="CF172" s="150"/>
      <c r="CG172" s="150"/>
      <c r="CH172" s="150"/>
      <c r="CI172" s="150"/>
      <c r="CJ172" s="150"/>
      <c r="CK172" s="150"/>
      <c r="CL172" s="150"/>
      <c r="CM172" s="150"/>
      <c r="CN172" s="150"/>
      <c r="CO172" s="150"/>
      <c r="CP172" s="150"/>
      <c r="CQ172" s="150"/>
      <c r="CR172" s="150"/>
      <c r="CS172" s="150"/>
      <c r="CT172" s="150"/>
      <c r="CU172" s="150"/>
      <c r="CV172" s="150"/>
      <c r="CW172" s="150"/>
      <c r="CX172" s="150"/>
      <c r="CY172" s="150"/>
      <c r="CZ172" s="150"/>
      <c r="DA172" s="150"/>
      <c r="DB172" s="150"/>
      <c r="DC172" s="150"/>
      <c r="DD172" s="150"/>
      <c r="DE172" s="150"/>
      <c r="DF172" s="150"/>
      <c r="DG172" s="150"/>
      <c r="DH172" s="150"/>
      <c r="DI172" s="150"/>
      <c r="DJ172" s="150"/>
      <c r="DK172" s="150"/>
      <c r="DL172" s="150"/>
      <c r="DM172" s="150"/>
      <c r="DN172" s="150"/>
      <c r="DO172" s="150"/>
      <c r="DP172" s="150"/>
      <c r="DQ172" s="150"/>
      <c r="DR172" s="150"/>
      <c r="DS172" s="150"/>
      <c r="DT172" s="150"/>
      <c r="DU172" s="150"/>
      <c r="DV172" s="150"/>
      <c r="DW172" s="150"/>
      <c r="DX172" s="150"/>
      <c r="DY172" s="150"/>
      <c r="DZ172" s="150"/>
      <c r="EA172" s="150"/>
      <c r="EB172" s="150"/>
      <c r="EC172" s="150"/>
      <c r="ED172" s="150"/>
      <c r="EE172" s="150"/>
      <c r="EF172" s="150"/>
      <c r="EG172" s="150"/>
      <c r="EH172" s="150"/>
      <c r="EI172" s="150"/>
      <c r="EJ172" s="150"/>
      <c r="EK172" s="150"/>
      <c r="EL172" s="150"/>
      <c r="EM172" s="150"/>
      <c r="EN172" s="150"/>
      <c r="EO172" s="150"/>
      <c r="EP172" s="150"/>
      <c r="EQ172" s="150"/>
    </row>
    <row r="173" spans="1:147" ht="13" x14ac:dyDescent="0.25">
      <c r="B173" s="226">
        <v>44144.833333333336</v>
      </c>
      <c r="C173" s="220">
        <f>B173</f>
        <v>44144.833333333336</v>
      </c>
      <c r="D173" s="220">
        <f>C173+(E173+G173)*(1/24)</f>
        <v>44144.86400273224</v>
      </c>
      <c r="E173" s="219">
        <f>INDEX('[1]Work sheet'!$G$2:$G$240,MATCH(I173,'[1]Work sheet'!$K$2:$K$240,0))+IFERROR(IF(FIND("WASH",J172,1)&gt;0,0,0.5),0.5)</f>
        <v>0.73606557377049175</v>
      </c>
      <c r="F173" s="218">
        <f>IFERROR(MROUND((L173/((INDEX('[1]Work sheet'!$G$2:$G$239,MATCH(I173,'[1]Work sheet'!$K$2:$K$239,0))*0.82)*60)),0.5),"")</f>
        <v>6</v>
      </c>
      <c r="G173" s="217"/>
      <c r="H173" s="176"/>
      <c r="I173" s="183">
        <f>'[1]Work sheet'!K136</f>
        <v>1985096</v>
      </c>
      <c r="J173" s="174" t="str">
        <f>VLOOKUP(I173,'[1]Work sheet'!$K$2:L740,2,0)</f>
        <v>WIP LE/D-718.50 P3A 6UN BAG</v>
      </c>
      <c r="K173" s="173">
        <f>VLOOKUP(I173,'[1]Work sheet'!$K$2:O868,3,0)</f>
        <v>72</v>
      </c>
      <c r="L173" s="173">
        <f>VLOOKUP(I173,'[1]Work sheet'!$K$2:O1252,4,0)</f>
        <v>72</v>
      </c>
      <c r="M173" s="171">
        <f>VLOOKUP(I173,'[1]Work sheet'!$K$2:T1561,10,0)</f>
        <v>6159</v>
      </c>
      <c r="N173" s="172" t="str">
        <f>IFERROR(VLOOKUP(I173,'[1]PO Numbers'!$R$2:S341,2,0),"TBC")</f>
        <v>106991058</v>
      </c>
      <c r="O173" s="171" t="str">
        <f>IFERROR(VLOOKUP(VALUE(N173),'[1]PO Numbers'!$F$1:$J$400,5,0),"xxx")</f>
        <v>PI01</v>
      </c>
      <c r="P173" s="214" t="str">
        <f>IFERROR(INDEX($B$1:$P$147,MATCH("*"&amp;I173&amp;"*",$P$1:$P$147,0),1),"")</f>
        <v/>
      </c>
      <c r="Q173" s="170">
        <f>VLOOKUP(I173,'[1]Work sheet'!$K$2:AI880,16,0)</f>
        <v>0.18</v>
      </c>
      <c r="R173" s="168" t="str">
        <f>VLOOKUP(I173,'[1]Work sheet'!$K$2:AA537,17,0)</f>
        <v>0-1Kgs 6159</v>
      </c>
      <c r="S173" s="169" t="str">
        <f>VLOOKUP(I173,'[1]Work sheet'!$K$2:AL450,28,0)</f>
        <v/>
      </c>
      <c r="T173" s="168" t="str">
        <f>IFERROR(VLOOKUP(I173,[1]Label!$A$1:C1111,3,0),"")</f>
        <v/>
      </c>
      <c r="U173" s="165" t="str">
        <f>IFERROR(IF(OR(VLOOKUP(I173,'[1]Work sheet'!$K$2:U756,11,0)="530",VLOOKUP(I173,'[1]Work sheet'!$K$2:U756,11,0)="526"),"BTO",""),"")</f>
        <v/>
      </c>
      <c r="V173" s="165"/>
      <c r="W173" s="167" t="str">
        <f>IF(COUNTIF('[1]OB Connect'!$F$13:$F$364,N173),"On Openbatch", "No")</f>
        <v>No</v>
      </c>
      <c r="X173" s="166" t="s">
        <v>38</v>
      </c>
      <c r="Y173" s="166"/>
      <c r="Z173" s="165"/>
      <c r="AA173" s="151"/>
      <c r="AB173" s="151"/>
    </row>
    <row r="174" spans="1:147" ht="39" x14ac:dyDescent="0.25">
      <c r="A174" s="194" t="s">
        <v>37</v>
      </c>
      <c r="B174" s="116">
        <f>D173</f>
        <v>44144.86400273224</v>
      </c>
      <c r="C174" s="220">
        <f>D173</f>
        <v>44144.86400273224</v>
      </c>
      <c r="D174" s="220">
        <f>(E174/24)+C174+(G174/24)</f>
        <v>44145.032206284151</v>
      </c>
      <c r="E174" s="219">
        <f>INDEX('[1]Work sheet'!$G$2:$G$240,MATCH(I174,'[1]Work sheet'!$K$2:$K$240,0))+IFERROR(IF(FIND("WASH",J173,1)&gt;0,0,0.5),0.5)</f>
        <v>1.2868852459016393</v>
      </c>
      <c r="F174" s="218">
        <f>IFERROR(MROUND((L174/((INDEX('[1]Work sheet'!$G$2:$G$239,MATCH(I174,'[1]Work sheet'!$K$2:$K$239,0))*0.82)*60)),0.5),"")</f>
        <v>6</v>
      </c>
      <c r="G174" s="217">
        <v>2.75</v>
      </c>
      <c r="H174" s="176"/>
      <c r="I174" s="183">
        <f>'[1]Work sheet'!K137</f>
        <v>1662894</v>
      </c>
      <c r="J174" s="174" t="str">
        <f>VLOOKUP(I174,'[1]Work sheet'!$K$2:L741,2,0)</f>
        <v>GENERIC REBIANA 8.00KG CTN 10 BAGS</v>
      </c>
      <c r="K174" s="173">
        <v>24</v>
      </c>
      <c r="L174" s="173">
        <f>VLOOKUP(I174,'[1]Work sheet'!$K$2:O1253,4,0)</f>
        <v>240</v>
      </c>
      <c r="M174" s="171">
        <f>VLOOKUP(I174,'[1]Work sheet'!$K$2:T1562,10,0)</f>
        <v>6159</v>
      </c>
      <c r="N174" s="182">
        <v>106994980</v>
      </c>
      <c r="O174" s="171" t="s">
        <v>17</v>
      </c>
      <c r="P174" s="214" t="str">
        <f>IFERROR(INDEX($B$1:$P$147,MATCH("*"&amp;I174&amp;"*",$P$1:$P$147,0),1),"")</f>
        <v/>
      </c>
      <c r="Q174" s="170">
        <f>VLOOKUP(I174,'[1]Work sheet'!$K$2:AI881,16,0)</f>
        <v>0.8</v>
      </c>
      <c r="R174" s="168" t="str">
        <f>VLOOKUP(I174,'[1]Work sheet'!$K$2:AA538,17,0)</f>
        <v>0-1Kgs 6159</v>
      </c>
      <c r="S174" s="181" t="s">
        <v>16</v>
      </c>
      <c r="T174" s="168" t="str">
        <f>IFERROR(VLOOKUP(I174,[1]Label!$A$1:C1112,3,0),"")</f>
        <v/>
      </c>
      <c r="U174" s="165" t="str">
        <f>IFERROR(IF(OR(VLOOKUP(I174,'[1]Work sheet'!$K$2:U757,11,0)="530",VLOOKUP(I174,'[1]Work sheet'!$K$2:U757,11,0)="526"),"BTO",""),"")</f>
        <v>BTO</v>
      </c>
      <c r="V174" s="165"/>
      <c r="W174" s="167" t="str">
        <f>IF(COUNTIF('[1]OB Connect'!$F$13:$F$364,N174),"On Openbatch", "No")</f>
        <v>On Openbatch</v>
      </c>
      <c r="X174" s="166" t="str">
        <f>X173</f>
        <v>F_D4E</v>
      </c>
      <c r="Y174" s="166"/>
      <c r="Z174" s="165"/>
      <c r="AA174" s="151"/>
      <c r="AB174" s="151"/>
    </row>
    <row r="175" spans="1:147" s="58" customFormat="1" ht="13" x14ac:dyDescent="0.25">
      <c r="B175" s="116">
        <f>D174</f>
        <v>44145.032206284151</v>
      </c>
      <c r="C175" s="115">
        <f>D174</f>
        <v>44145.032206284151</v>
      </c>
      <c r="D175" s="115">
        <f>(E175/24)+C175+(G175/24)</f>
        <v>44145.157206284151</v>
      </c>
      <c r="E175" s="114">
        <v>3</v>
      </c>
      <c r="F175" s="114"/>
      <c r="G175" s="113"/>
      <c r="H175" s="109"/>
      <c r="I175" s="112"/>
      <c r="J175" s="58" t="s">
        <v>10</v>
      </c>
      <c r="K175" s="111"/>
      <c r="L175" s="110"/>
      <c r="P175" s="108"/>
      <c r="Q175" s="109"/>
      <c r="S175" s="108"/>
      <c r="T175" s="108"/>
      <c r="U175" s="23"/>
      <c r="V175" s="21"/>
      <c r="W175" s="22"/>
      <c r="X175" s="22"/>
      <c r="Y175" s="21"/>
      <c r="Z175" s="20"/>
      <c r="AA175" s="60"/>
      <c r="AB175" s="60"/>
      <c r="AC175" s="60"/>
      <c r="AD175" s="60"/>
      <c r="AE175" s="60"/>
      <c r="AF175" s="60"/>
      <c r="AG175" s="60"/>
      <c r="AH175" s="60"/>
      <c r="AI175" s="60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9"/>
      <c r="BD175" s="59"/>
      <c r="BE175" s="59"/>
      <c r="BF175" s="59"/>
      <c r="BG175" s="59"/>
      <c r="BH175" s="59"/>
      <c r="BI175" s="59"/>
      <c r="BJ175" s="59"/>
      <c r="BK175" s="59"/>
      <c r="BL175" s="59"/>
      <c r="BM175" s="59"/>
      <c r="BN175" s="59"/>
      <c r="BO175" s="59"/>
      <c r="BP175" s="59"/>
      <c r="BQ175" s="59"/>
      <c r="BR175" s="59"/>
      <c r="BS175" s="59"/>
      <c r="BT175" s="59"/>
      <c r="BU175" s="59"/>
      <c r="BV175" s="59"/>
      <c r="BW175" s="59"/>
      <c r="BX175" s="59"/>
      <c r="BY175" s="59"/>
      <c r="BZ175" s="59"/>
      <c r="CA175" s="59"/>
      <c r="CB175" s="59"/>
      <c r="CC175" s="59"/>
      <c r="CD175" s="59"/>
      <c r="CE175" s="59"/>
      <c r="CF175" s="59"/>
      <c r="CG175" s="59"/>
      <c r="CH175" s="59"/>
      <c r="CI175" s="59"/>
      <c r="CJ175" s="59"/>
      <c r="CK175" s="59"/>
      <c r="CL175" s="59"/>
      <c r="CM175" s="59"/>
      <c r="CN175" s="59"/>
      <c r="CO175" s="59"/>
      <c r="CP175" s="59"/>
      <c r="CQ175" s="59"/>
      <c r="CR175" s="59"/>
      <c r="CS175" s="59"/>
      <c r="CT175" s="59"/>
      <c r="CU175" s="59"/>
      <c r="CV175" s="59"/>
      <c r="CW175" s="59"/>
      <c r="CX175" s="59"/>
      <c r="CY175" s="59"/>
      <c r="CZ175" s="59"/>
      <c r="DA175" s="59"/>
      <c r="DB175" s="59"/>
      <c r="DC175" s="59"/>
      <c r="DD175" s="59"/>
      <c r="DE175" s="59"/>
      <c r="DF175" s="59"/>
      <c r="DG175" s="59"/>
      <c r="DH175" s="59"/>
      <c r="DI175" s="59"/>
      <c r="DJ175" s="59"/>
      <c r="DK175" s="59"/>
      <c r="DL175" s="59"/>
      <c r="DM175" s="59"/>
      <c r="DN175" s="59"/>
      <c r="DO175" s="59"/>
      <c r="DP175" s="59"/>
      <c r="DQ175" s="59"/>
      <c r="DR175" s="59"/>
      <c r="DS175" s="59"/>
      <c r="DT175" s="59"/>
      <c r="DU175" s="59"/>
      <c r="DV175" s="59"/>
      <c r="DW175" s="59"/>
      <c r="DX175" s="59"/>
      <c r="DY175" s="59"/>
      <c r="DZ175" s="59"/>
      <c r="EA175" s="59"/>
      <c r="EB175" s="59"/>
      <c r="EC175" s="59"/>
      <c r="ED175" s="59"/>
      <c r="EE175" s="59"/>
      <c r="EF175" s="59"/>
      <c r="EG175" s="59"/>
      <c r="EH175" s="59"/>
      <c r="EI175" s="59"/>
      <c r="EJ175" s="59"/>
      <c r="EK175" s="59"/>
      <c r="EL175" s="59"/>
      <c r="EM175" s="59"/>
      <c r="EN175" s="59"/>
      <c r="EO175" s="59"/>
      <c r="EP175" s="59"/>
      <c r="EQ175" s="59"/>
    </row>
    <row r="176" spans="1:147" ht="13" x14ac:dyDescent="0.25">
      <c r="B176" s="116">
        <f>D175</f>
        <v>44145.157206284151</v>
      </c>
      <c r="C176" s="220">
        <f>D175</f>
        <v>44145.157206284151</v>
      </c>
      <c r="D176" s="220">
        <f>(E176/24)+C176+(G176/24)</f>
        <v>44145.230980793953</v>
      </c>
      <c r="E176" s="219">
        <f>INDEX('[1]Work sheet'!$G$2:$G$240,MATCH(I176,'[1]Work sheet'!$K$2:$K$240,0))+IFERROR(IF(FIND("WASH",J174,1)&gt;0,0,0.5),0.5)</f>
        <v>1.7705882352941176</v>
      </c>
      <c r="F176" s="218">
        <f>IFERROR(MROUND((L176/((INDEX('[1]Work sheet'!$G$2:$G$239,MATCH(I176,'[1]Work sheet'!$K$2:$K$239,0))*0.82)*60)),0.5),"")</f>
        <v>5</v>
      </c>
      <c r="G176" s="217"/>
      <c r="H176" s="225"/>
      <c r="I176" s="183">
        <f>'[1]Work sheet'!K138</f>
        <v>1944610</v>
      </c>
      <c r="J176" s="174" t="str">
        <f>VLOOKUP(I176,'[1]Work sheet'!$K$2:L742,2,0)</f>
        <v>WIP TE/PE/B-35.00 P3 6UN BAG</v>
      </c>
      <c r="K176" s="173">
        <f>VLOOKUP(I176,'[1]Work sheet'!$K$2:O870,3,0)</f>
        <v>324</v>
      </c>
      <c r="L176" s="173">
        <f>VLOOKUP(I176,'[1]Work sheet'!$K$2:O1254,4,0)</f>
        <v>324</v>
      </c>
      <c r="M176" s="171" t="str">
        <f>VLOOKUP(I176,'[1]Work sheet'!$K$2:T1563,10,0)</f>
        <v>6154.1 STEVIA LEAF</v>
      </c>
      <c r="N176" s="172" t="str">
        <f>IFERROR(VLOOKUP(I176,'[1]PO Numbers'!$R$2:S343,2,0),"TBC")</f>
        <v>106991057</v>
      </c>
      <c r="O176" s="171" t="str">
        <f>IFERROR(VLOOKUP(VALUE(N176),'[1]PO Numbers'!$F$1:$J$400,5,0),"xxx")</f>
        <v>PI01</v>
      </c>
      <c r="P176" s="214" t="str">
        <f>IFERROR(INDEX($B$1:$P$147,MATCH("*"&amp;I176&amp;"*",$P$1:$P$147,0),1),"")</f>
        <v/>
      </c>
      <c r="Q176" s="170">
        <f>VLOOKUP(I176,'[1]Work sheet'!$K$2:AI882,16,0)</f>
        <v>0.67200000000000004</v>
      </c>
      <c r="R176" s="168" t="str">
        <f>VLOOKUP(I176,'[1]Work sheet'!$K$2:AA539,17,0)</f>
        <v>0-1Kgs 6154.1</v>
      </c>
      <c r="S176" s="169" t="str">
        <f>VLOOKUP(I176,'[1]Work sheet'!$K$2:AL452,28,0)</f>
        <v/>
      </c>
      <c r="T176" s="168" t="str">
        <f>IFERROR(VLOOKUP(I176,[1]Label!$A$1:C1113,3,0),"")</f>
        <v/>
      </c>
      <c r="U176" s="165" t="str">
        <f>IFERROR(IF(OR(VLOOKUP(I176,'[1]Work sheet'!$K$2:U758,11,0)="530",VLOOKUP(I176,'[1]Work sheet'!$K$2:U758,11,0)="526"),"BTO",""),"")</f>
        <v/>
      </c>
      <c r="V176" s="165"/>
      <c r="W176" s="167" t="str">
        <f>IF(COUNTIF('[1]OB Connect'!$F$13:$F$364,N176),"On Openbatch", "No")</f>
        <v>No</v>
      </c>
      <c r="X176" s="166" t="str">
        <f>X174</f>
        <v>F_D4E</v>
      </c>
      <c r="Y176" s="166"/>
      <c r="Z176" s="165"/>
      <c r="AA176" s="151"/>
      <c r="AB176" s="151"/>
    </row>
    <row r="177" spans="1:147" ht="13" x14ac:dyDescent="0.25">
      <c r="B177" s="116">
        <f>D176</f>
        <v>44145.230980793953</v>
      </c>
      <c r="C177" s="220">
        <f>D176</f>
        <v>44145.230980793953</v>
      </c>
      <c r="D177" s="220">
        <f>(E177/24)+C177+(G177/24)</f>
        <v>44145.269461186108</v>
      </c>
      <c r="E177" s="219">
        <f>INDEX('[1]Work sheet'!$G$2:$G$240,MATCH(I177,'[1]Work sheet'!$K$2:$K$240,0))+IFERROR(IF(FIND("WASH",J176,1)&gt;0,0,0.5),0.5)</f>
        <v>0.92352941176470593</v>
      </c>
      <c r="F177" s="218">
        <f>IFERROR(MROUND((L177/((INDEX('[1]Work sheet'!$G$2:$G$239,MATCH(I177,'[1]Work sheet'!$K$2:$K$239,0))*0.82)*60)),0.5),"")</f>
        <v>5</v>
      </c>
      <c r="G177" s="217"/>
      <c r="H177" s="176"/>
      <c r="I177" s="183">
        <f>'[1]Work sheet'!K139</f>
        <v>1925421</v>
      </c>
      <c r="J177" s="174" t="str">
        <f>VLOOKUP(I177,'[1]Work sheet'!$K$2:L743,2,0)</f>
        <v>WIP TE/LE/A-189.00 P3 4.5UN BAG</v>
      </c>
      <c r="K177" s="173">
        <f>VLOOKUP(I177,'[1]Work sheet'!$K$2:O871,3,0)</f>
        <v>108</v>
      </c>
      <c r="L177" s="173">
        <f>VLOOKUP(I177,'[1]Work sheet'!$K$2:O1255,4,0)</f>
        <v>108</v>
      </c>
      <c r="M177" s="171" t="str">
        <f>VLOOKUP(I177,'[1]Work sheet'!$K$2:T1564,10,0)</f>
        <v>6154.1 STEVIA LEAF</v>
      </c>
      <c r="N177" s="172" t="str">
        <f>IFERROR(VLOOKUP(I177,'[1]PO Numbers'!$R$2:S344,2,0),"TBC")</f>
        <v>106989655</v>
      </c>
      <c r="O177" s="171" t="str">
        <f>IFERROR(VLOOKUP(VALUE(N177),'[1]PO Numbers'!$F$1:$J$400,5,0),"xxx")</f>
        <v>PI01</v>
      </c>
      <c r="P177" s="214" t="str">
        <f>IFERROR(INDEX($B$1:$P$147,MATCH("*"&amp;I177&amp;"*",$P$1:$P$147,0),1),"")</f>
        <v/>
      </c>
      <c r="Q177" s="170">
        <f>VLOOKUP(I177,'[1]Work sheet'!$K$2:AI883,16,0)</f>
        <v>0.94499999999999995</v>
      </c>
      <c r="R177" s="168" t="str">
        <f>VLOOKUP(I177,'[1]Work sheet'!$K$2:AA540,17,0)</f>
        <v>0-1Kgs 6154.1</v>
      </c>
      <c r="S177" s="169" t="str">
        <f>VLOOKUP(I177,'[1]Work sheet'!$K$2:AL453,28,0)</f>
        <v/>
      </c>
      <c r="T177" s="168" t="str">
        <f>IFERROR(VLOOKUP(I177,[1]Label!$A$1:C1114,3,0),"")</f>
        <v/>
      </c>
      <c r="U177" s="165" t="str">
        <f>IFERROR(IF(OR(VLOOKUP(I177,'[1]Work sheet'!$K$2:U759,11,0)="530",VLOOKUP(I177,'[1]Work sheet'!$K$2:U759,11,0)="526"),"BTO",""),"")</f>
        <v/>
      </c>
      <c r="V177" s="165"/>
      <c r="W177" s="167" t="str">
        <f>IF(COUNTIF('[1]OB Connect'!$F$13:$F$364,N177),"On Openbatch", "No")</f>
        <v>No</v>
      </c>
      <c r="X177" s="166" t="str">
        <f>X176</f>
        <v>F_D4E</v>
      </c>
      <c r="Y177" s="166"/>
      <c r="Z177" s="165"/>
      <c r="AA177" s="151"/>
      <c r="AB177" s="151"/>
    </row>
    <row r="178" spans="1:147" s="58" customFormat="1" ht="13" x14ac:dyDescent="0.25">
      <c r="A178" s="118"/>
      <c r="B178" s="126">
        <f>D177</f>
        <v>44145.269461186108</v>
      </c>
      <c r="C178" s="125">
        <f>D177</f>
        <v>44145.269461186108</v>
      </c>
      <c r="D178" s="125">
        <f>(E178/24)+C178+(G178/24)</f>
        <v>44145.811127852772</v>
      </c>
      <c r="E178" s="124"/>
      <c r="F178" s="124"/>
      <c r="G178" s="123">
        <v>13</v>
      </c>
      <c r="H178" s="119"/>
      <c r="I178" s="223"/>
      <c r="J178" s="222" t="s">
        <v>36</v>
      </c>
      <c r="K178" s="221"/>
      <c r="L178" s="120"/>
      <c r="N178" s="118"/>
      <c r="O178" s="118"/>
      <c r="P178" s="117"/>
      <c r="T178" s="117"/>
      <c r="U178" s="23"/>
      <c r="V178" s="21"/>
      <c r="W178" s="22"/>
      <c r="X178" s="22"/>
      <c r="Y178" s="21"/>
      <c r="Z178" s="20"/>
      <c r="AA178" s="60"/>
      <c r="AB178" s="60"/>
      <c r="AC178" s="60"/>
      <c r="AD178" s="60"/>
      <c r="AE178" s="60"/>
      <c r="AF178" s="60"/>
      <c r="AG178" s="60"/>
      <c r="AH178" s="60"/>
      <c r="AI178" s="60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  <c r="BD178" s="59"/>
      <c r="BE178" s="59"/>
      <c r="BF178" s="59"/>
      <c r="BG178" s="59"/>
      <c r="BH178" s="59"/>
      <c r="BI178" s="59"/>
      <c r="BJ178" s="59"/>
      <c r="BK178" s="59"/>
      <c r="BL178" s="59"/>
      <c r="BM178" s="59"/>
      <c r="BN178" s="59"/>
      <c r="BO178" s="59"/>
      <c r="BP178" s="59"/>
      <c r="BQ178" s="59"/>
      <c r="BR178" s="59"/>
      <c r="BS178" s="59"/>
      <c r="BT178" s="59"/>
      <c r="BU178" s="59"/>
      <c r="BV178" s="59"/>
      <c r="BW178" s="59"/>
      <c r="BX178" s="59"/>
      <c r="BY178" s="59"/>
      <c r="BZ178" s="59"/>
      <c r="CA178" s="59"/>
      <c r="CB178" s="59"/>
      <c r="CC178" s="59"/>
      <c r="CD178" s="59"/>
      <c r="CE178" s="59"/>
      <c r="CF178" s="59"/>
      <c r="CG178" s="59"/>
      <c r="CH178" s="59"/>
      <c r="CI178" s="59"/>
      <c r="CJ178" s="59"/>
      <c r="CK178" s="59"/>
      <c r="CL178" s="59"/>
      <c r="CM178" s="59"/>
      <c r="CN178" s="59"/>
      <c r="CO178" s="59"/>
      <c r="CP178" s="59"/>
      <c r="CQ178" s="59"/>
      <c r="CR178" s="59"/>
      <c r="CS178" s="59"/>
      <c r="CT178" s="59"/>
      <c r="CU178" s="59"/>
      <c r="CV178" s="59"/>
      <c r="CW178" s="59"/>
      <c r="CX178" s="59"/>
      <c r="CY178" s="59"/>
      <c r="CZ178" s="59"/>
      <c r="DA178" s="59"/>
      <c r="DB178" s="59"/>
      <c r="DC178" s="59"/>
      <c r="DD178" s="59"/>
      <c r="DE178" s="59"/>
      <c r="DF178" s="59"/>
      <c r="DG178" s="59"/>
      <c r="DH178" s="59"/>
      <c r="DI178" s="59"/>
      <c r="DJ178" s="59"/>
      <c r="DK178" s="59"/>
      <c r="DL178" s="59"/>
      <c r="DM178" s="59"/>
      <c r="DN178" s="59"/>
      <c r="DO178" s="59"/>
      <c r="DP178" s="59"/>
      <c r="DQ178" s="59"/>
      <c r="DR178" s="59"/>
      <c r="DS178" s="59"/>
      <c r="DT178" s="59"/>
      <c r="DU178" s="59"/>
      <c r="DV178" s="59"/>
      <c r="DW178" s="59"/>
      <c r="DX178" s="59"/>
      <c r="DY178" s="59"/>
      <c r="DZ178" s="59"/>
      <c r="EA178" s="59"/>
      <c r="EB178" s="59"/>
      <c r="EC178" s="59"/>
      <c r="ED178" s="59"/>
      <c r="EE178" s="59"/>
      <c r="EF178" s="59"/>
      <c r="EG178" s="59"/>
      <c r="EH178" s="59"/>
      <c r="EI178" s="59"/>
      <c r="EJ178" s="59"/>
      <c r="EK178" s="59"/>
      <c r="EL178" s="59"/>
      <c r="EM178" s="59"/>
      <c r="EN178" s="59"/>
      <c r="EO178" s="59"/>
      <c r="EP178" s="59"/>
      <c r="EQ178" s="59"/>
    </row>
    <row r="179" spans="1:147" ht="13" x14ac:dyDescent="0.25">
      <c r="B179" s="116">
        <f>D178</f>
        <v>44145.811127852772</v>
      </c>
      <c r="C179" s="220">
        <f>D178</f>
        <v>44145.811127852772</v>
      </c>
      <c r="D179" s="220">
        <f>(E179/24)+C179+(G179/24)</f>
        <v>44145.853912405619</v>
      </c>
      <c r="E179" s="219">
        <f>INDEX('[1]Work sheet'!$G$2:$G$240,MATCH(I179,'[1]Work sheet'!$K$2:$K$240,0))+IFERROR(IF(FIND("WASH",J177,1)&gt;0,0,0.5),0.5)</f>
        <v>1.026829268292683</v>
      </c>
      <c r="F179" s="218">
        <f>IFERROR(MROUND((L179/((INDEX('[1]Work sheet'!$G$2:$G$239,MATCH(I179,'[1]Work sheet'!$K$2:$K$239,0))*0.82)*60)),0.5),"")</f>
        <v>4</v>
      </c>
      <c r="G179" s="217"/>
      <c r="H179" s="176"/>
      <c r="I179" s="183">
        <f>'[1]Work sheet'!K140</f>
        <v>1945450</v>
      </c>
      <c r="J179" s="174" t="str">
        <f>VLOOKUP(I179,'[1]Work sheet'!$K$2:L744,2,0)</f>
        <v>WIP TE/LE/B-163.00 P3 12UN BAG</v>
      </c>
      <c r="K179" s="173">
        <f>VLOOKUP(I179,'[1]Work sheet'!$K$2:O872,3,0)</f>
        <v>108</v>
      </c>
      <c r="L179" s="173">
        <f>VLOOKUP(I179,'[1]Work sheet'!$K$2:O1256,4,0)</f>
        <v>108</v>
      </c>
      <c r="M179" s="171" t="str">
        <f>VLOOKUP(I179,'[1]Work sheet'!$K$2:T1565,10,0)</f>
        <v>6154.1 STEVIA LEAF</v>
      </c>
      <c r="N179" s="172" t="str">
        <f>IFERROR(VLOOKUP(I179,'[1]PO Numbers'!$R$2:S345,2,0),"TBC")</f>
        <v>106991059</v>
      </c>
      <c r="O179" s="171" t="str">
        <f>IFERROR(VLOOKUP(VALUE(N179),'[1]PO Numbers'!$F$1:$J$400,5,0),"xxx")</f>
        <v>PI01</v>
      </c>
      <c r="P179" s="214" t="str">
        <f>IFERROR(INDEX($B$1:$P$147,MATCH("*"&amp;I179&amp;"*",$P$1:$P$147,0),1),"")</f>
        <v/>
      </c>
      <c r="Q179" s="170">
        <f>VLOOKUP(I179,'[1]Work sheet'!$K$2:AI884,16,0)</f>
        <v>1.3440000000000001</v>
      </c>
      <c r="R179" s="168" t="str">
        <f>VLOOKUP(I179,'[1]Work sheet'!$K$2:AA541,17,0)</f>
        <v>1-2Kgs 6154.1</v>
      </c>
      <c r="S179" s="169" t="str">
        <f>VLOOKUP(I179,'[1]Work sheet'!$K$2:AL454,28,0)</f>
        <v/>
      </c>
      <c r="T179" s="168" t="str">
        <f>IFERROR(VLOOKUP(I179,[1]Label!$A$1:C1115,3,0),"")</f>
        <v/>
      </c>
      <c r="U179" s="165" t="str">
        <f>IFERROR(IF(OR(VLOOKUP(I179,'[1]Work sheet'!$K$2:U760,11,0)="530",VLOOKUP(I179,'[1]Work sheet'!$K$2:U760,11,0)="526"),"BTO",""),"")</f>
        <v/>
      </c>
      <c r="V179" s="165"/>
      <c r="W179" s="167" t="str">
        <f>IF(COUNTIF('[1]OB Connect'!$F$13:$F$364,N179),"On Openbatch", "No")</f>
        <v>No</v>
      </c>
      <c r="X179" s="166" t="str">
        <f>X177</f>
        <v>F_D4E</v>
      </c>
      <c r="Y179" s="166"/>
      <c r="Z179" s="165"/>
      <c r="AA179" s="151"/>
      <c r="AB179" s="151"/>
    </row>
    <row r="180" spans="1:147" ht="13" x14ac:dyDescent="0.25">
      <c r="B180" s="116">
        <f>D179</f>
        <v>44145.853912405619</v>
      </c>
      <c r="C180" s="220">
        <f>D179</f>
        <v>44145.853912405619</v>
      </c>
      <c r="D180" s="220">
        <f>(E180/24)+C180+(G180/24)</f>
        <v>44145.886510444834</v>
      </c>
      <c r="E180" s="219">
        <f>INDEX('[1]Work sheet'!$G$2:$G$240,MATCH(I180,'[1]Work sheet'!$K$2:$K$240,0))+IFERROR(IF(FIND("WASH",J179,1)&gt;0,0,0.5),0.5)</f>
        <v>0.78235294117647058</v>
      </c>
      <c r="F180" s="218">
        <f>IFERROR(MROUND((L180/((INDEX('[1]Work sheet'!$G$2:$G$239,MATCH(I180,'[1]Work sheet'!$K$2:$K$239,0))*0.82)*60)),0.5),"")</f>
        <v>5</v>
      </c>
      <c r="G180" s="217"/>
      <c r="H180" s="176"/>
      <c r="I180" s="183">
        <f>'[1]Work sheet'!K141</f>
        <v>1660013</v>
      </c>
      <c r="J180" s="174" t="str">
        <f>VLOOKUP(I180,'[1]Work sheet'!$K$2:L745,2,0)</f>
        <v>TE/MN/B-18.00 P3 24UN CTN 4BAG</v>
      </c>
      <c r="K180" s="173">
        <f>VLOOKUP(I180,'[1]Work sheet'!$K$2:O873,3,0)</f>
        <v>18</v>
      </c>
      <c r="L180" s="173">
        <f>VLOOKUP(I180,'[1]Work sheet'!$K$2:O1257,4,0)</f>
        <v>72</v>
      </c>
      <c r="M180" s="171" t="str">
        <f>VLOOKUP(I180,'[1]Work sheet'!$K$2:T1566,10,0)</f>
        <v>6154.1 STEVIA LEAF</v>
      </c>
      <c r="N180" s="172" t="str">
        <f>IFERROR(VLOOKUP(I180,'[1]PO Numbers'!$R$2:S346,2,0),"TBC")</f>
        <v>106989654</v>
      </c>
      <c r="O180" s="171" t="str">
        <f>IFERROR(VLOOKUP(VALUE(N180),'[1]PO Numbers'!$F$1:$J$400,5,0),"xxx")</f>
        <v>PI01</v>
      </c>
      <c r="P180" s="214" t="str">
        <f>IFERROR(INDEX($B$1:$P$147,MATCH("*"&amp;I180&amp;"*",$P$1:$P$147,0),1),"")</f>
        <v/>
      </c>
      <c r="Q180" s="170">
        <f>VLOOKUP(I180,'[1]Work sheet'!$K$2:AI885,16,0)</f>
        <v>0.72</v>
      </c>
      <c r="R180" s="168" t="str">
        <f>VLOOKUP(I180,'[1]Work sheet'!$K$2:AA542,17,0)</f>
        <v>0-1Kgs 6154.1 Stevia</v>
      </c>
      <c r="S180" s="169" t="str">
        <f>VLOOKUP(I180,'[1]Work sheet'!$K$2:AL455,28,0)</f>
        <v/>
      </c>
      <c r="T180" s="168" t="str">
        <f>IFERROR(VLOOKUP(I180,[1]Label!$A$1:C1116,3,0),"")</f>
        <v/>
      </c>
      <c r="U180" s="165" t="str">
        <f>IFERROR(IF(OR(VLOOKUP(I180,'[1]Work sheet'!$K$2:U761,11,0)="530",VLOOKUP(I180,'[1]Work sheet'!$K$2:U761,11,0)="526"),"BTO",""),"")</f>
        <v/>
      </c>
      <c r="V180" s="165"/>
      <c r="W180" s="167" t="str">
        <f>IF(COUNTIF('[1]OB Connect'!$F$13:$F$364,N180),"On Openbatch", "No")</f>
        <v>On Openbatch</v>
      </c>
      <c r="X180" s="166" t="str">
        <f>X179</f>
        <v>F_D4E</v>
      </c>
      <c r="Y180" s="166"/>
      <c r="Z180" s="165"/>
      <c r="AA180" s="151"/>
      <c r="AB180" s="151"/>
    </row>
    <row r="181" spans="1:147" s="58" customFormat="1" ht="13" x14ac:dyDescent="0.25">
      <c r="B181" s="116">
        <f>D180</f>
        <v>44145.886510444834</v>
      </c>
      <c r="C181" s="115">
        <f>D180</f>
        <v>44145.886510444834</v>
      </c>
      <c r="D181" s="115">
        <f>(E181/24)+C181+(G181/24)</f>
        <v>44146.011510444834</v>
      </c>
      <c r="E181" s="114">
        <v>3</v>
      </c>
      <c r="F181" s="114"/>
      <c r="G181" s="113"/>
      <c r="H181" s="109"/>
      <c r="I181" s="112"/>
      <c r="J181" s="58" t="s">
        <v>10</v>
      </c>
      <c r="K181" s="111"/>
      <c r="L181" s="110"/>
      <c r="P181" s="108"/>
      <c r="Q181" s="109"/>
      <c r="S181" s="108"/>
      <c r="T181" s="108"/>
      <c r="U181" s="23"/>
      <c r="V181" s="21"/>
      <c r="W181" s="22"/>
      <c r="X181" s="22"/>
      <c r="Y181" s="21"/>
      <c r="Z181" s="20"/>
      <c r="AA181" s="60"/>
      <c r="AB181" s="60"/>
      <c r="AC181" s="60"/>
      <c r="AD181" s="60"/>
      <c r="AE181" s="60"/>
      <c r="AF181" s="60"/>
      <c r="AG181" s="60"/>
      <c r="AH181" s="60"/>
      <c r="AI181" s="60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  <c r="BD181" s="59"/>
      <c r="BE181" s="59"/>
      <c r="BF181" s="59"/>
      <c r="BG181" s="59"/>
      <c r="BH181" s="59"/>
      <c r="BI181" s="59"/>
      <c r="BJ181" s="59"/>
      <c r="BK181" s="59"/>
      <c r="BL181" s="59"/>
      <c r="BM181" s="59"/>
      <c r="BN181" s="59"/>
      <c r="BO181" s="59"/>
      <c r="BP181" s="59"/>
      <c r="BQ181" s="59"/>
      <c r="BR181" s="59"/>
      <c r="BS181" s="59"/>
      <c r="BT181" s="59"/>
      <c r="BU181" s="59"/>
      <c r="BV181" s="59"/>
      <c r="BW181" s="59"/>
      <c r="BX181" s="59"/>
      <c r="BY181" s="59"/>
      <c r="BZ181" s="59"/>
      <c r="CA181" s="59"/>
      <c r="CB181" s="59"/>
      <c r="CC181" s="59"/>
      <c r="CD181" s="59"/>
      <c r="CE181" s="59"/>
      <c r="CF181" s="59"/>
      <c r="CG181" s="59"/>
      <c r="CH181" s="59"/>
      <c r="CI181" s="59"/>
      <c r="CJ181" s="59"/>
      <c r="CK181" s="59"/>
      <c r="CL181" s="59"/>
      <c r="CM181" s="59"/>
      <c r="CN181" s="59"/>
      <c r="CO181" s="59"/>
      <c r="CP181" s="59"/>
      <c r="CQ181" s="59"/>
      <c r="CR181" s="59"/>
      <c r="CS181" s="59"/>
      <c r="CT181" s="59"/>
      <c r="CU181" s="59"/>
      <c r="CV181" s="59"/>
      <c r="CW181" s="59"/>
      <c r="CX181" s="59"/>
      <c r="CY181" s="59"/>
      <c r="CZ181" s="59"/>
      <c r="DA181" s="59"/>
      <c r="DB181" s="59"/>
      <c r="DC181" s="59"/>
      <c r="DD181" s="59"/>
      <c r="DE181" s="59"/>
      <c r="DF181" s="59"/>
      <c r="DG181" s="59"/>
      <c r="DH181" s="59"/>
      <c r="DI181" s="59"/>
      <c r="DJ181" s="59"/>
      <c r="DK181" s="59"/>
      <c r="DL181" s="59"/>
      <c r="DM181" s="59"/>
      <c r="DN181" s="59"/>
      <c r="DO181" s="59"/>
      <c r="DP181" s="59"/>
      <c r="DQ181" s="59"/>
      <c r="DR181" s="59"/>
      <c r="DS181" s="59"/>
      <c r="DT181" s="59"/>
      <c r="DU181" s="59"/>
      <c r="DV181" s="59"/>
      <c r="DW181" s="59"/>
      <c r="DX181" s="59"/>
      <c r="DY181" s="59"/>
      <c r="DZ181" s="59"/>
      <c r="EA181" s="59"/>
      <c r="EB181" s="59"/>
      <c r="EC181" s="59"/>
      <c r="ED181" s="59"/>
      <c r="EE181" s="59"/>
      <c r="EF181" s="59"/>
      <c r="EG181" s="59"/>
      <c r="EH181" s="59"/>
      <c r="EI181" s="59"/>
      <c r="EJ181" s="59"/>
      <c r="EK181" s="59"/>
      <c r="EL181" s="59"/>
      <c r="EM181" s="59"/>
      <c r="EN181" s="59"/>
      <c r="EO181" s="59"/>
      <c r="EP181" s="59"/>
      <c r="EQ181" s="59"/>
    </row>
    <row r="182" spans="1:147" s="149" customFormat="1" ht="13" x14ac:dyDescent="0.25">
      <c r="B182" s="116">
        <f>D181</f>
        <v>44146.011510444834</v>
      </c>
      <c r="C182" s="220">
        <f>D181</f>
        <v>44146.011510444834</v>
      </c>
      <c r="D182" s="220">
        <f>(E182/24)+C182+(G182/24)</f>
        <v>44146.218268574921</v>
      </c>
      <c r="E182" s="219">
        <f>INDEX('[1]Work sheet'!$G$2:$G$240,MATCH(I182,'[1]Work sheet'!$K$2:$K$240,0))+IFERROR(IF(FIND("WASH",J180,1)&gt;0,0,0.5),0.5)</f>
        <v>2.2121951219512193</v>
      </c>
      <c r="F182" s="218">
        <f>IFERROR(MROUND((L182/((INDEX('[1]Work sheet'!$G$2:$G$239,MATCH(I182,'[1]Work sheet'!$K$2:$K$239,0))*0.82)*60)),0.5),"")</f>
        <v>4</v>
      </c>
      <c r="G182" s="217">
        <v>2.75</v>
      </c>
      <c r="H182" s="176"/>
      <c r="I182" s="183">
        <f>'[1]Work sheet'!K142</f>
        <v>2010995</v>
      </c>
      <c r="J182" s="174" t="str">
        <f>VLOOKUP(I182,'[1]Work sheet'!$K$2:L746,2,0)</f>
        <v>WIP OR/B-1317.10 P3 3UN BAG</v>
      </c>
      <c r="K182" s="173">
        <f>VLOOKUP(I182,'[1]Work sheet'!$K$2:O874,3,0)</f>
        <v>351</v>
      </c>
      <c r="L182" s="173">
        <f>VLOOKUP(I182,'[1]Work sheet'!$K$2:O1258,4,0)</f>
        <v>351</v>
      </c>
      <c r="M182" s="171" t="str">
        <f>VLOOKUP(I182,'[1]Work sheet'!$K$2:T1567,10,0)</f>
        <v>ASP/616</v>
      </c>
      <c r="N182" s="172" t="str">
        <f>IFERROR(VLOOKUP(I182,'[1]PO Numbers'!$R$2:S347,2,0),"TBC")</f>
        <v>106991060</v>
      </c>
      <c r="O182" s="171" t="str">
        <f>IFERROR(VLOOKUP(VALUE(N182),'[1]PO Numbers'!$F$1:$J$400,5,0),"xxx")</f>
        <v>PI01</v>
      </c>
      <c r="P182" s="214" t="str">
        <f>IFERROR(INDEX($B$1:$P$147,MATCH("*"&amp;I182&amp;"*",$P$1:$P$147,0),1),"")</f>
        <v/>
      </c>
      <c r="Q182" s="170">
        <f>VLOOKUP(I182,'[1]Work sheet'!$K$2:AI886,16,0)</f>
        <v>1.02</v>
      </c>
      <c r="R182" s="168" t="str">
        <f>VLOOKUP(I182,'[1]Work sheet'!$K$2:AA543,17,0)</f>
        <v>0-1Kgs 616, 0-1Kgs ASP</v>
      </c>
      <c r="S182" s="169" t="str">
        <f>VLOOKUP(I182,'[1]Work sheet'!$K$2:AL456,28,0)</f>
        <v/>
      </c>
      <c r="T182" s="168" t="str">
        <f>IFERROR(VLOOKUP(I182,[1]Label!$A$1:C1117,3,0),"")</f>
        <v/>
      </c>
      <c r="U182" s="165" t="str">
        <f>IFERROR(IF(OR(VLOOKUP(I182,'[1]Work sheet'!$K$2:U762,11,0)="530",VLOOKUP(I182,'[1]Work sheet'!$K$2:U762,11,0)="526"),"BTO",""),"")</f>
        <v/>
      </c>
      <c r="V182" s="165"/>
      <c r="W182" s="167" t="str">
        <f>IF(COUNTIF('[1]OB Connect'!$F$13:$F$364,N182),"On Openbatch", "No")</f>
        <v>No</v>
      </c>
      <c r="X182" s="166" t="str">
        <f>X180</f>
        <v>F_D4E</v>
      </c>
      <c r="Y182" s="166"/>
      <c r="Z182" s="210"/>
      <c r="AA182" s="151"/>
      <c r="AB182" s="151"/>
      <c r="AC182" s="151"/>
      <c r="AD182" s="151"/>
      <c r="AE182" s="151"/>
      <c r="AF182" s="151"/>
      <c r="AG182" s="151"/>
      <c r="AH182" s="151"/>
      <c r="AI182" s="151"/>
      <c r="AJ182" s="150"/>
      <c r="AK182" s="150"/>
      <c r="AL182" s="150"/>
      <c r="AM182" s="150"/>
      <c r="AN182" s="150"/>
      <c r="AO182" s="150"/>
      <c r="AP182" s="150"/>
      <c r="AQ182" s="150"/>
      <c r="AR182" s="150"/>
      <c r="AS182" s="150"/>
      <c r="AT182" s="150"/>
      <c r="AU182" s="150"/>
      <c r="AV182" s="150"/>
      <c r="AW182" s="150"/>
      <c r="AX182" s="150"/>
      <c r="AY182" s="150"/>
      <c r="AZ182" s="150"/>
      <c r="BA182" s="150"/>
      <c r="BB182" s="150"/>
      <c r="BC182" s="150"/>
      <c r="BD182" s="150"/>
      <c r="BE182" s="150"/>
      <c r="BF182" s="150"/>
      <c r="BG182" s="150"/>
      <c r="BH182" s="150"/>
      <c r="BI182" s="150"/>
      <c r="BJ182" s="150"/>
      <c r="BK182" s="150"/>
      <c r="BL182" s="150"/>
      <c r="BM182" s="150"/>
      <c r="BN182" s="150"/>
      <c r="BO182" s="150"/>
      <c r="BP182" s="150"/>
      <c r="BQ182" s="150"/>
      <c r="BR182" s="150"/>
      <c r="BS182" s="150"/>
      <c r="BT182" s="150"/>
      <c r="BU182" s="150"/>
      <c r="BV182" s="150"/>
      <c r="BW182" s="150"/>
      <c r="BX182" s="150"/>
      <c r="BY182" s="150"/>
      <c r="BZ182" s="150"/>
      <c r="CA182" s="150"/>
      <c r="CB182" s="150"/>
      <c r="CC182" s="150"/>
      <c r="CD182" s="150"/>
      <c r="CE182" s="150"/>
      <c r="CF182" s="150"/>
      <c r="CG182" s="150"/>
      <c r="CH182" s="150"/>
      <c r="CI182" s="150"/>
      <c r="CJ182" s="150"/>
      <c r="CK182" s="150"/>
      <c r="CL182" s="150"/>
      <c r="CM182" s="150"/>
      <c r="CN182" s="150"/>
      <c r="CO182" s="150"/>
      <c r="CP182" s="150"/>
      <c r="CQ182" s="150"/>
      <c r="CR182" s="150"/>
      <c r="CS182" s="150"/>
      <c r="CT182" s="150"/>
      <c r="CU182" s="150"/>
      <c r="CV182" s="150"/>
      <c r="CW182" s="150"/>
      <c r="CX182" s="150"/>
      <c r="CY182" s="150"/>
      <c r="CZ182" s="150"/>
      <c r="DA182" s="150"/>
      <c r="DB182" s="150"/>
      <c r="DC182" s="150"/>
      <c r="DD182" s="150"/>
      <c r="DE182" s="150"/>
      <c r="DF182" s="150"/>
      <c r="DG182" s="150"/>
      <c r="DH182" s="150"/>
      <c r="DI182" s="150"/>
      <c r="DJ182" s="150"/>
      <c r="DK182" s="150"/>
      <c r="DL182" s="150"/>
      <c r="DM182" s="150"/>
      <c r="DN182" s="150"/>
      <c r="DO182" s="150"/>
      <c r="DP182" s="150"/>
      <c r="DQ182" s="150"/>
      <c r="DR182" s="150"/>
      <c r="DS182" s="150"/>
      <c r="DT182" s="150"/>
      <c r="DU182" s="150"/>
      <c r="DV182" s="150"/>
      <c r="DW182" s="150"/>
      <c r="DX182" s="150"/>
      <c r="DY182" s="150"/>
      <c r="DZ182" s="150"/>
      <c r="EA182" s="150"/>
      <c r="EB182" s="150"/>
      <c r="EC182" s="150"/>
      <c r="ED182" s="150"/>
      <c r="EE182" s="150"/>
      <c r="EF182" s="150"/>
      <c r="EG182" s="150"/>
      <c r="EH182" s="150"/>
      <c r="EI182" s="150"/>
      <c r="EJ182" s="150"/>
      <c r="EK182" s="150"/>
      <c r="EL182" s="150"/>
      <c r="EM182" s="150"/>
      <c r="EN182" s="150"/>
      <c r="EO182" s="150"/>
      <c r="EP182" s="150"/>
      <c r="EQ182" s="150"/>
    </row>
    <row r="183" spans="1:147" s="149" customFormat="1" ht="13" x14ac:dyDescent="0.25">
      <c r="B183" s="116">
        <f>D182</f>
        <v>44146.218268574921</v>
      </c>
      <c r="C183" s="220">
        <f>D182</f>
        <v>44146.218268574921</v>
      </c>
      <c r="D183" s="220">
        <f>(E183/24)+C183+(G183/24)</f>
        <v>44146.266540932644</v>
      </c>
      <c r="E183" s="219">
        <f>INDEX('[1]Work sheet'!$G$2:$G$240,MATCH(I183,'[1]Work sheet'!$K$2:$K$240,0))+IFERROR(IF(FIND("WASH",J182,1)&gt;0,0,0.5),0.5)</f>
        <v>1.1585365853658538</v>
      </c>
      <c r="F183" s="218">
        <f>IFERROR(MROUND((L183/((INDEX('[1]Work sheet'!$G$2:$G$239,MATCH(I183,'[1]Work sheet'!$K$2:$K$239,0))*0.82)*60)),0.5),"")</f>
        <v>4</v>
      </c>
      <c r="G183" s="217"/>
      <c r="H183" s="176"/>
      <c r="I183" s="183">
        <f>'[1]Work sheet'!K143</f>
        <v>3002268</v>
      </c>
      <c r="J183" s="174" t="str">
        <f>VLOOKUP(I183,'[1]Work sheet'!$K$2:L747,2,0)</f>
        <v>WIP OR/D-1821.50 P3 3UN BAG</v>
      </c>
      <c r="K183" s="173">
        <f>VLOOKUP(I183,'[1]Work sheet'!$K$2:O875,3,0)</f>
        <v>135</v>
      </c>
      <c r="L183" s="173">
        <f>VLOOKUP(I183,'[1]Work sheet'!$K$2:O1259,4,0)</f>
        <v>135</v>
      </c>
      <c r="M183" s="224" t="str">
        <f>VLOOKUP(I183,'[1]Work sheet'!$K$2:T1568,10,0)</f>
        <v>ASP/616</v>
      </c>
      <c r="N183" s="172" t="str">
        <f>IFERROR(VLOOKUP(I183,'[1]PO Numbers'!$R$2:S348,2,0),"TBC")</f>
        <v>106991061</v>
      </c>
      <c r="O183" s="171" t="str">
        <f>IFERROR(VLOOKUP(VALUE(N183),'[1]PO Numbers'!$F$1:$J$400,5,0),"xxx")</f>
        <v>PI01</v>
      </c>
      <c r="P183" s="214" t="str">
        <f>IFERROR(INDEX($B$1:$P$147,MATCH("*"&amp;I183&amp;"*",$P$1:$P$147,0),1),"")</f>
        <v/>
      </c>
      <c r="Q183" s="213">
        <f>VLOOKUP(I183,'[1]Work sheet'!$K$2:AI887,16,0)</f>
        <v>2.64</v>
      </c>
      <c r="R183" s="211" t="str">
        <f>VLOOKUP(I183,'[1]Work sheet'!$K$2:AA544,17,0)</f>
        <v>1-2Kgs ASP, 1-2Kgs 616</v>
      </c>
      <c r="S183" s="212" t="str">
        <f>VLOOKUP(I183,'[1]Work sheet'!$K$2:AL457,28,0)</f>
        <v/>
      </c>
      <c r="T183" s="211" t="str">
        <f>IFERROR(VLOOKUP(I183,[1]Label!$A$1:C1118,3,0),"")</f>
        <v/>
      </c>
      <c r="U183" s="165" t="str">
        <f>IFERROR(IF(OR(VLOOKUP(I183,'[1]Work sheet'!$K$2:U763,11,0)="530",VLOOKUP(I183,'[1]Work sheet'!$K$2:U763,11,0)="526"),"BTO",""),"")</f>
        <v/>
      </c>
      <c r="V183" s="165"/>
      <c r="W183" s="167" t="str">
        <f>IF(COUNTIF('[1]OB Connect'!$F$13:$F$364,N183),"On Openbatch", "No")</f>
        <v>No</v>
      </c>
      <c r="X183" s="166" t="str">
        <f>X182</f>
        <v>F_D4E</v>
      </c>
      <c r="Y183" s="166"/>
      <c r="Z183" s="210"/>
      <c r="AA183" s="151"/>
      <c r="AB183" s="151"/>
      <c r="AC183" s="151"/>
      <c r="AD183" s="151"/>
      <c r="AE183" s="151"/>
      <c r="AF183" s="151"/>
      <c r="AG183" s="151"/>
      <c r="AH183" s="151"/>
      <c r="AI183" s="151"/>
      <c r="AJ183" s="150"/>
      <c r="AK183" s="150"/>
      <c r="AL183" s="150"/>
      <c r="AM183" s="150"/>
      <c r="AN183" s="150"/>
      <c r="AO183" s="150"/>
      <c r="AP183" s="150"/>
      <c r="AQ183" s="150"/>
      <c r="AR183" s="150"/>
      <c r="AS183" s="150"/>
      <c r="AT183" s="150"/>
      <c r="AU183" s="150"/>
      <c r="AV183" s="150"/>
      <c r="AW183" s="150"/>
      <c r="AX183" s="150"/>
      <c r="AY183" s="150"/>
      <c r="AZ183" s="150"/>
      <c r="BA183" s="150"/>
      <c r="BB183" s="150"/>
      <c r="BC183" s="150"/>
      <c r="BD183" s="150"/>
      <c r="BE183" s="150"/>
      <c r="BF183" s="150"/>
      <c r="BG183" s="150"/>
      <c r="BH183" s="150"/>
      <c r="BI183" s="150"/>
      <c r="BJ183" s="150"/>
      <c r="BK183" s="150"/>
      <c r="BL183" s="150"/>
      <c r="BM183" s="150"/>
      <c r="BN183" s="150"/>
      <c r="BO183" s="150"/>
      <c r="BP183" s="150"/>
      <c r="BQ183" s="150"/>
      <c r="BR183" s="150"/>
      <c r="BS183" s="150"/>
      <c r="BT183" s="150"/>
      <c r="BU183" s="150"/>
      <c r="BV183" s="150"/>
      <c r="BW183" s="150"/>
      <c r="BX183" s="150"/>
      <c r="BY183" s="150"/>
      <c r="BZ183" s="150"/>
      <c r="CA183" s="150"/>
      <c r="CB183" s="150"/>
      <c r="CC183" s="150"/>
      <c r="CD183" s="150"/>
      <c r="CE183" s="150"/>
      <c r="CF183" s="150"/>
      <c r="CG183" s="150"/>
      <c r="CH183" s="150"/>
      <c r="CI183" s="150"/>
      <c r="CJ183" s="150"/>
      <c r="CK183" s="150"/>
      <c r="CL183" s="150"/>
      <c r="CM183" s="150"/>
      <c r="CN183" s="150"/>
      <c r="CO183" s="150"/>
      <c r="CP183" s="150"/>
      <c r="CQ183" s="150"/>
      <c r="CR183" s="150"/>
      <c r="CS183" s="150"/>
      <c r="CT183" s="150"/>
      <c r="CU183" s="150"/>
      <c r="CV183" s="150"/>
      <c r="CW183" s="150"/>
      <c r="CX183" s="150"/>
      <c r="CY183" s="150"/>
      <c r="CZ183" s="150"/>
      <c r="DA183" s="150"/>
      <c r="DB183" s="150"/>
      <c r="DC183" s="150"/>
      <c r="DD183" s="150"/>
      <c r="DE183" s="150"/>
      <c r="DF183" s="150"/>
      <c r="DG183" s="150"/>
      <c r="DH183" s="150"/>
      <c r="DI183" s="150"/>
      <c r="DJ183" s="150"/>
      <c r="DK183" s="150"/>
      <c r="DL183" s="150"/>
      <c r="DM183" s="150"/>
      <c r="DN183" s="150"/>
      <c r="DO183" s="150"/>
      <c r="DP183" s="150"/>
      <c r="DQ183" s="150"/>
      <c r="DR183" s="150"/>
      <c r="DS183" s="150"/>
      <c r="DT183" s="150"/>
      <c r="DU183" s="150"/>
      <c r="DV183" s="150"/>
      <c r="DW183" s="150"/>
      <c r="DX183" s="150"/>
      <c r="DY183" s="150"/>
      <c r="DZ183" s="150"/>
      <c r="EA183" s="150"/>
      <c r="EB183" s="150"/>
      <c r="EC183" s="150"/>
      <c r="ED183" s="150"/>
      <c r="EE183" s="150"/>
      <c r="EF183" s="150"/>
      <c r="EG183" s="150"/>
      <c r="EH183" s="150"/>
      <c r="EI183" s="150"/>
      <c r="EJ183" s="150"/>
      <c r="EK183" s="150"/>
      <c r="EL183" s="150"/>
      <c r="EM183" s="150"/>
      <c r="EN183" s="150"/>
      <c r="EO183" s="150"/>
      <c r="EP183" s="150"/>
      <c r="EQ183" s="150"/>
    </row>
    <row r="184" spans="1:147" s="58" customFormat="1" ht="13" x14ac:dyDescent="0.25">
      <c r="A184" s="118"/>
      <c r="B184" s="126">
        <f>D183</f>
        <v>44146.266540932644</v>
      </c>
      <c r="C184" s="125">
        <f>D183</f>
        <v>44146.266540932644</v>
      </c>
      <c r="D184" s="125">
        <f>(E184/24)+C184+(G184/24)</f>
        <v>44146.808207599308</v>
      </c>
      <c r="E184" s="124"/>
      <c r="F184" s="124"/>
      <c r="G184" s="123">
        <v>13</v>
      </c>
      <c r="H184" s="119"/>
      <c r="I184" s="223"/>
      <c r="J184" s="222" t="s">
        <v>35</v>
      </c>
      <c r="K184" s="221"/>
      <c r="L184" s="120"/>
      <c r="N184" s="118"/>
      <c r="O184" s="118"/>
      <c r="P184" s="117"/>
      <c r="T184" s="117"/>
      <c r="U184" s="23"/>
      <c r="V184" s="21"/>
      <c r="W184" s="22"/>
      <c r="X184" s="22"/>
      <c r="Y184" s="21"/>
      <c r="Z184" s="20"/>
      <c r="AA184" s="60"/>
      <c r="AB184" s="60"/>
      <c r="AC184" s="60"/>
      <c r="AD184" s="60"/>
      <c r="AE184" s="60"/>
      <c r="AF184" s="60"/>
      <c r="AG184" s="60"/>
      <c r="AH184" s="60"/>
      <c r="AI184" s="60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  <c r="BC184" s="59"/>
      <c r="BD184" s="59"/>
      <c r="BE184" s="59"/>
      <c r="BF184" s="59"/>
      <c r="BG184" s="59"/>
      <c r="BH184" s="59"/>
      <c r="BI184" s="59"/>
      <c r="BJ184" s="59"/>
      <c r="BK184" s="59"/>
      <c r="BL184" s="59"/>
      <c r="BM184" s="59"/>
      <c r="BN184" s="59"/>
      <c r="BO184" s="59"/>
      <c r="BP184" s="59"/>
      <c r="BQ184" s="59"/>
      <c r="BR184" s="59"/>
      <c r="BS184" s="59"/>
      <c r="BT184" s="59"/>
      <c r="BU184" s="59"/>
      <c r="BV184" s="59"/>
      <c r="BW184" s="59"/>
      <c r="BX184" s="59"/>
      <c r="BY184" s="59"/>
      <c r="BZ184" s="59"/>
      <c r="CA184" s="59"/>
      <c r="CB184" s="59"/>
      <c r="CC184" s="59"/>
      <c r="CD184" s="59"/>
      <c r="CE184" s="59"/>
      <c r="CF184" s="59"/>
      <c r="CG184" s="59"/>
      <c r="CH184" s="59"/>
      <c r="CI184" s="59"/>
      <c r="CJ184" s="59"/>
      <c r="CK184" s="59"/>
      <c r="CL184" s="59"/>
      <c r="CM184" s="59"/>
      <c r="CN184" s="59"/>
      <c r="CO184" s="59"/>
      <c r="CP184" s="59"/>
      <c r="CQ184" s="59"/>
      <c r="CR184" s="59"/>
      <c r="CS184" s="59"/>
      <c r="CT184" s="59"/>
      <c r="CU184" s="59"/>
      <c r="CV184" s="59"/>
      <c r="CW184" s="59"/>
      <c r="CX184" s="59"/>
      <c r="CY184" s="59"/>
      <c r="CZ184" s="59"/>
      <c r="DA184" s="59"/>
      <c r="DB184" s="59"/>
      <c r="DC184" s="59"/>
      <c r="DD184" s="59"/>
      <c r="DE184" s="59"/>
      <c r="DF184" s="59"/>
      <c r="DG184" s="59"/>
      <c r="DH184" s="59"/>
      <c r="DI184" s="59"/>
      <c r="DJ184" s="59"/>
      <c r="DK184" s="59"/>
      <c r="DL184" s="59"/>
      <c r="DM184" s="59"/>
      <c r="DN184" s="59"/>
      <c r="DO184" s="59"/>
      <c r="DP184" s="59"/>
      <c r="DQ184" s="59"/>
      <c r="DR184" s="59"/>
      <c r="DS184" s="59"/>
      <c r="DT184" s="59"/>
      <c r="DU184" s="59"/>
      <c r="DV184" s="59"/>
      <c r="DW184" s="59"/>
      <c r="DX184" s="59"/>
      <c r="DY184" s="59"/>
      <c r="DZ184" s="59"/>
      <c r="EA184" s="59"/>
      <c r="EB184" s="59"/>
      <c r="EC184" s="59"/>
      <c r="ED184" s="59"/>
      <c r="EE184" s="59"/>
      <c r="EF184" s="59"/>
      <c r="EG184" s="59"/>
      <c r="EH184" s="59"/>
      <c r="EI184" s="59"/>
      <c r="EJ184" s="59"/>
      <c r="EK184" s="59"/>
      <c r="EL184" s="59"/>
      <c r="EM184" s="59"/>
      <c r="EN184" s="59"/>
      <c r="EO184" s="59"/>
      <c r="EP184" s="59"/>
      <c r="EQ184" s="59"/>
    </row>
    <row r="185" spans="1:147" s="58" customFormat="1" ht="13" x14ac:dyDescent="0.25">
      <c r="B185" s="116">
        <f>D184</f>
        <v>44146.808207599308</v>
      </c>
      <c r="C185" s="115">
        <f>D184</f>
        <v>44146.808207599308</v>
      </c>
      <c r="D185" s="115">
        <f>(E185/24)+C185+(G185/24)</f>
        <v>44146.933207599308</v>
      </c>
      <c r="E185" s="114">
        <v>3</v>
      </c>
      <c r="F185" s="114"/>
      <c r="G185" s="113"/>
      <c r="H185" s="109"/>
      <c r="I185" s="112"/>
      <c r="J185" s="58" t="s">
        <v>10</v>
      </c>
      <c r="K185" s="111"/>
      <c r="L185" s="110"/>
      <c r="P185" s="108"/>
      <c r="Q185" s="109"/>
      <c r="S185" s="108"/>
      <c r="T185" s="108"/>
      <c r="U185" s="23"/>
      <c r="V185" s="21"/>
      <c r="W185" s="22"/>
      <c r="X185" s="22"/>
      <c r="Y185" s="21"/>
      <c r="Z185" s="20"/>
      <c r="AA185" s="60"/>
      <c r="AB185" s="60"/>
      <c r="AC185" s="60"/>
      <c r="AD185" s="60"/>
      <c r="AE185" s="60"/>
      <c r="AF185" s="60"/>
      <c r="AG185" s="60"/>
      <c r="AH185" s="60"/>
      <c r="AI185" s="60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  <c r="BD185" s="59"/>
      <c r="BE185" s="59"/>
      <c r="BF185" s="59"/>
      <c r="BG185" s="59"/>
      <c r="BH185" s="59"/>
      <c r="BI185" s="59"/>
      <c r="BJ185" s="59"/>
      <c r="BK185" s="59"/>
      <c r="BL185" s="59"/>
      <c r="BM185" s="59"/>
      <c r="BN185" s="59"/>
      <c r="BO185" s="59"/>
      <c r="BP185" s="59"/>
      <c r="BQ185" s="59"/>
      <c r="BR185" s="59"/>
      <c r="BS185" s="59"/>
      <c r="BT185" s="59"/>
      <c r="BU185" s="59"/>
      <c r="BV185" s="59"/>
      <c r="BW185" s="59"/>
      <c r="BX185" s="59"/>
      <c r="BY185" s="59"/>
      <c r="BZ185" s="59"/>
      <c r="CA185" s="59"/>
      <c r="CB185" s="59"/>
      <c r="CC185" s="59"/>
      <c r="CD185" s="59"/>
      <c r="CE185" s="59"/>
      <c r="CF185" s="59"/>
      <c r="CG185" s="59"/>
      <c r="CH185" s="59"/>
      <c r="CI185" s="59"/>
      <c r="CJ185" s="59"/>
      <c r="CK185" s="59"/>
      <c r="CL185" s="59"/>
      <c r="CM185" s="59"/>
      <c r="CN185" s="59"/>
      <c r="CO185" s="59"/>
      <c r="CP185" s="59"/>
      <c r="CQ185" s="59"/>
      <c r="CR185" s="59"/>
      <c r="CS185" s="59"/>
      <c r="CT185" s="59"/>
      <c r="CU185" s="59"/>
      <c r="CV185" s="59"/>
      <c r="CW185" s="59"/>
      <c r="CX185" s="59"/>
      <c r="CY185" s="59"/>
      <c r="CZ185" s="59"/>
      <c r="DA185" s="59"/>
      <c r="DB185" s="59"/>
      <c r="DC185" s="59"/>
      <c r="DD185" s="59"/>
      <c r="DE185" s="59"/>
      <c r="DF185" s="59"/>
      <c r="DG185" s="59"/>
      <c r="DH185" s="59"/>
      <c r="DI185" s="59"/>
      <c r="DJ185" s="59"/>
      <c r="DK185" s="59"/>
      <c r="DL185" s="59"/>
      <c r="DM185" s="59"/>
      <c r="DN185" s="59"/>
      <c r="DO185" s="59"/>
      <c r="DP185" s="59"/>
      <c r="DQ185" s="59"/>
      <c r="DR185" s="59"/>
      <c r="DS185" s="59"/>
      <c r="DT185" s="59"/>
      <c r="DU185" s="59"/>
      <c r="DV185" s="59"/>
      <c r="DW185" s="59"/>
      <c r="DX185" s="59"/>
      <c r="DY185" s="59"/>
      <c r="DZ185" s="59"/>
      <c r="EA185" s="59"/>
      <c r="EB185" s="59"/>
      <c r="EC185" s="59"/>
      <c r="ED185" s="59"/>
      <c r="EE185" s="59"/>
      <c r="EF185" s="59"/>
      <c r="EG185" s="59"/>
      <c r="EH185" s="59"/>
      <c r="EI185" s="59"/>
      <c r="EJ185" s="59"/>
      <c r="EK185" s="59"/>
      <c r="EL185" s="59"/>
      <c r="EM185" s="59"/>
      <c r="EN185" s="59"/>
      <c r="EO185" s="59"/>
      <c r="EP185" s="59"/>
      <c r="EQ185" s="59"/>
    </row>
    <row r="186" spans="1:147" s="149" customFormat="1" ht="13" x14ac:dyDescent="0.25">
      <c r="A186" s="194" t="s">
        <v>34</v>
      </c>
      <c r="B186" s="116">
        <f>D185</f>
        <v>44146.933207599308</v>
      </c>
      <c r="C186" s="220">
        <f>D185</f>
        <v>44146.933207599308</v>
      </c>
      <c r="D186" s="220">
        <f>(E186/24)+C186+(G186/24)</f>
        <v>44147.227770607438</v>
      </c>
      <c r="E186" s="219">
        <f>INDEX('[1]Work sheet'!$G$2:$G$240,MATCH(I186,'[1]Work sheet'!$K$2:$K$240,0))+IFERROR(IF(FIND("WASH",J183,1)&gt;0,0,0.5),0.5)</f>
        <v>4.3195121951219511</v>
      </c>
      <c r="F186" s="218">
        <f>IFERROR(MROUND((L186/((INDEX('[1]Work sheet'!$G$2:$G$239,MATCH(I186,'[1]Work sheet'!$K$2:$K$239,0))*0.82)*60)),0.5),"")</f>
        <v>4</v>
      </c>
      <c r="G186" s="217">
        <v>2.75</v>
      </c>
      <c r="H186" s="176"/>
      <c r="I186" s="183">
        <f>'[1]Work sheet'!K144</f>
        <v>1843879</v>
      </c>
      <c r="J186" s="216" t="str">
        <f>VLOOKUP(I186,'[1]Work sheet'!$K$2:L748,2,0)</f>
        <v>WIP TE/MN/A-19.00 P3A 3UN BAG CQ</v>
      </c>
      <c r="K186" s="110">
        <f>VLOOKUP(I186,'[1]Work sheet'!$K$2:O876,3,0)</f>
        <v>783</v>
      </c>
      <c r="L186" s="110">
        <f>VLOOKUP(I186,'[1]Work sheet'!$K$2:O1260,4,0)</f>
        <v>783</v>
      </c>
      <c r="M186" s="215">
        <f>VLOOKUP(I186,'[1]Work sheet'!$K$2:T1569,10,0)</f>
        <v>1575.2</v>
      </c>
      <c r="N186" s="182">
        <v>106995811</v>
      </c>
      <c r="O186" s="171" t="s">
        <v>17</v>
      </c>
      <c r="P186" s="214" t="str">
        <f>IFERROR(INDEX($B$1:$P$147,MATCH("*"&amp;I186&amp;"*",$P$1:$P$147,0),1),"")</f>
        <v/>
      </c>
      <c r="Q186" s="213">
        <f>VLOOKUP(I186,'[1]Work sheet'!$K$2:AI888,16,0)</f>
        <v>0.15</v>
      </c>
      <c r="R186" s="211" t="str">
        <f>VLOOKUP(I186,'[1]Work sheet'!$K$2:AA545,17,0)</f>
        <v>0-1Kgs 1575.2</v>
      </c>
      <c r="S186" s="212" t="str">
        <f>VLOOKUP(I186,'[1]Work sheet'!$K$2:AL458,28,0)</f>
        <v/>
      </c>
      <c r="T186" s="211" t="str">
        <f>IFERROR(VLOOKUP(I186,[1]Label!$A$1:C1119,3,0),"")</f>
        <v/>
      </c>
      <c r="U186" s="165" t="str">
        <f>IFERROR(IF(OR(VLOOKUP(I186,'[1]Work sheet'!$K$2:U764,11,0)="530",VLOOKUP(I186,'[1]Work sheet'!$K$2:U764,11,0)="526"),"BTO",""),"")</f>
        <v/>
      </c>
      <c r="V186" s="165"/>
      <c r="W186" s="167" t="str">
        <f>IF(COUNTIF('[1]OB Connect'!$F$13:$F$364,N186),"On Openbatch", "No")</f>
        <v>No</v>
      </c>
      <c r="X186" s="166" t="str">
        <f>X183</f>
        <v>F_D4E</v>
      </c>
      <c r="Y186" s="166"/>
      <c r="Z186" s="210"/>
      <c r="AA186" s="151"/>
      <c r="AB186" s="151"/>
      <c r="AC186" s="151"/>
      <c r="AD186" s="151"/>
      <c r="AE186" s="151"/>
      <c r="AF186" s="151"/>
      <c r="AG186" s="151"/>
      <c r="AH186" s="151"/>
      <c r="AI186" s="151"/>
      <c r="AJ186" s="150"/>
      <c r="AK186" s="150"/>
      <c r="AL186" s="150"/>
      <c r="AM186" s="150"/>
      <c r="AN186" s="150"/>
      <c r="AO186" s="150"/>
      <c r="AP186" s="150"/>
      <c r="AQ186" s="150"/>
      <c r="AR186" s="150"/>
      <c r="AS186" s="150"/>
      <c r="AT186" s="150"/>
      <c r="AU186" s="150"/>
      <c r="AV186" s="150"/>
      <c r="AW186" s="150"/>
      <c r="AX186" s="150"/>
      <c r="AY186" s="150"/>
      <c r="AZ186" s="150"/>
      <c r="BA186" s="150"/>
      <c r="BB186" s="150"/>
      <c r="BC186" s="150"/>
      <c r="BD186" s="150"/>
      <c r="BE186" s="150"/>
      <c r="BF186" s="150"/>
      <c r="BG186" s="150"/>
      <c r="BH186" s="150"/>
      <c r="BI186" s="150"/>
      <c r="BJ186" s="150"/>
      <c r="BK186" s="150"/>
      <c r="BL186" s="150"/>
      <c r="BM186" s="150"/>
      <c r="BN186" s="150"/>
      <c r="BO186" s="150"/>
      <c r="BP186" s="150"/>
      <c r="BQ186" s="150"/>
      <c r="BR186" s="150"/>
      <c r="BS186" s="150"/>
      <c r="BT186" s="150"/>
      <c r="BU186" s="150"/>
      <c r="BV186" s="150"/>
      <c r="BW186" s="150"/>
      <c r="BX186" s="150"/>
      <c r="BY186" s="150"/>
      <c r="BZ186" s="150"/>
      <c r="CA186" s="150"/>
      <c r="CB186" s="150"/>
      <c r="CC186" s="150"/>
      <c r="CD186" s="150"/>
      <c r="CE186" s="150"/>
      <c r="CF186" s="150"/>
      <c r="CG186" s="150"/>
      <c r="CH186" s="150"/>
      <c r="CI186" s="150"/>
      <c r="CJ186" s="150"/>
      <c r="CK186" s="150"/>
      <c r="CL186" s="150"/>
      <c r="CM186" s="150"/>
      <c r="CN186" s="150"/>
      <c r="CO186" s="150"/>
      <c r="CP186" s="150"/>
      <c r="CQ186" s="150"/>
      <c r="CR186" s="150"/>
      <c r="CS186" s="150"/>
      <c r="CT186" s="150"/>
      <c r="CU186" s="150"/>
      <c r="CV186" s="150"/>
      <c r="CW186" s="150"/>
      <c r="CX186" s="150"/>
      <c r="CY186" s="150"/>
      <c r="CZ186" s="150"/>
      <c r="DA186" s="150"/>
      <c r="DB186" s="150"/>
      <c r="DC186" s="150"/>
      <c r="DD186" s="150"/>
      <c r="DE186" s="150"/>
      <c r="DF186" s="150"/>
      <c r="DG186" s="150"/>
      <c r="DH186" s="150"/>
      <c r="DI186" s="150"/>
      <c r="DJ186" s="150"/>
      <c r="DK186" s="150"/>
      <c r="DL186" s="150"/>
      <c r="DM186" s="150"/>
      <c r="DN186" s="150"/>
      <c r="DO186" s="150"/>
      <c r="DP186" s="150"/>
      <c r="DQ186" s="150"/>
      <c r="DR186" s="150"/>
      <c r="DS186" s="150"/>
      <c r="DT186" s="150"/>
      <c r="DU186" s="150"/>
      <c r="DV186" s="150"/>
      <c r="DW186" s="150"/>
      <c r="DX186" s="150"/>
      <c r="DY186" s="150"/>
      <c r="DZ186" s="150"/>
      <c r="EA186" s="150"/>
      <c r="EB186" s="150"/>
      <c r="EC186" s="150"/>
      <c r="ED186" s="150"/>
      <c r="EE186" s="150"/>
      <c r="EF186" s="150"/>
      <c r="EG186" s="150"/>
      <c r="EH186" s="150"/>
      <c r="EI186" s="150"/>
      <c r="EJ186" s="150"/>
      <c r="EK186" s="150"/>
      <c r="EL186" s="150"/>
      <c r="EM186" s="150"/>
      <c r="EN186" s="150"/>
      <c r="EO186" s="150"/>
      <c r="EP186" s="150"/>
      <c r="EQ186" s="150"/>
    </row>
    <row r="187" spans="1:147" ht="13" x14ac:dyDescent="0.25">
      <c r="A187" s="4"/>
      <c r="B187" s="163">
        <f>D186</f>
        <v>44147.227770607438</v>
      </c>
      <c r="C187" s="162">
        <f>D186</f>
        <v>44147.227770607438</v>
      </c>
      <c r="D187" s="162">
        <f>(E187/24)+C187+(G187/24)</f>
        <v>44147.311103940774</v>
      </c>
      <c r="E187" s="64">
        <v>2</v>
      </c>
      <c r="F187" s="64"/>
      <c r="G187" s="161"/>
      <c r="H187" s="160"/>
      <c r="I187" s="159">
        <f>COUNT(I173:I186)</f>
        <v>9</v>
      </c>
      <c r="J187" s="158" t="s">
        <v>33</v>
      </c>
      <c r="K187" s="157">
        <f>SUM(K173:K186)</f>
        <v>1923</v>
      </c>
      <c r="L187" s="157">
        <f>SUM(L173:L186)</f>
        <v>2193</v>
      </c>
      <c r="M187" s="156"/>
      <c r="N187" s="155"/>
      <c r="O187" s="155"/>
      <c r="P187" s="153"/>
      <c r="Q187" s="154"/>
      <c r="R187" s="153"/>
      <c r="S187" s="153"/>
      <c r="T187" s="152"/>
      <c r="U187" s="61"/>
      <c r="V187" s="61"/>
      <c r="W187" s="61"/>
      <c r="X187" s="61"/>
      <c r="Y187" s="61"/>
      <c r="Z187" s="131"/>
    </row>
    <row r="188" spans="1:147" s="194" customFormat="1" ht="13" x14ac:dyDescent="0.25">
      <c r="A188" s="209"/>
      <c r="B188" s="208"/>
      <c r="C188" s="60"/>
      <c r="D188" s="60"/>
      <c r="E188" s="207"/>
      <c r="F188" s="207"/>
      <c r="G188" s="206"/>
      <c r="H188" s="205"/>
      <c r="I188" s="204"/>
      <c r="J188" s="203"/>
      <c r="K188" s="202"/>
      <c r="L188" s="202"/>
      <c r="M188" s="201"/>
      <c r="N188" s="201"/>
      <c r="O188" s="201"/>
      <c r="P188" s="199"/>
      <c r="Q188" s="200" t="s">
        <v>32</v>
      </c>
      <c r="R188" s="199"/>
      <c r="S188" s="198"/>
      <c r="T188" s="197"/>
      <c r="U188" s="23"/>
      <c r="V188" s="61"/>
      <c r="W188" s="61"/>
      <c r="X188" s="61"/>
      <c r="Y188" s="61"/>
      <c r="Z188" s="131"/>
      <c r="AA188" s="196"/>
      <c r="AB188" s="196"/>
      <c r="AC188" s="196"/>
      <c r="AD188" s="196"/>
      <c r="AE188" s="196"/>
      <c r="AF188" s="196"/>
      <c r="AG188" s="196"/>
      <c r="AH188" s="196"/>
      <c r="AI188" s="196"/>
      <c r="AJ188" s="195"/>
      <c r="AK188" s="195"/>
      <c r="AL188" s="195"/>
      <c r="AM188" s="195"/>
      <c r="AN188" s="195"/>
      <c r="AO188" s="195"/>
      <c r="AP188" s="195"/>
      <c r="AQ188" s="195"/>
      <c r="AR188" s="195"/>
      <c r="AS188" s="195"/>
      <c r="AT188" s="195"/>
      <c r="AU188" s="195"/>
      <c r="AV188" s="195"/>
      <c r="AW188" s="195"/>
      <c r="AX188" s="195"/>
      <c r="AY188" s="195"/>
      <c r="AZ188" s="195"/>
      <c r="BA188" s="195"/>
      <c r="BB188" s="195"/>
      <c r="BC188" s="195"/>
      <c r="BD188" s="195"/>
      <c r="BE188" s="195"/>
      <c r="BF188" s="195"/>
      <c r="BG188" s="195"/>
      <c r="BH188" s="195"/>
      <c r="BI188" s="195"/>
      <c r="BJ188" s="195"/>
      <c r="BK188" s="195"/>
      <c r="BL188" s="195"/>
      <c r="BM188" s="195"/>
      <c r="BN188" s="195"/>
      <c r="BO188" s="195"/>
      <c r="BP188" s="195"/>
      <c r="BQ188" s="195"/>
      <c r="BR188" s="195"/>
      <c r="BS188" s="195"/>
      <c r="BT188" s="195"/>
      <c r="BU188" s="195"/>
      <c r="BV188" s="195"/>
      <c r="BW188" s="195"/>
      <c r="BX188" s="195"/>
      <c r="BY188" s="195"/>
      <c r="BZ188" s="195"/>
      <c r="CA188" s="195"/>
      <c r="CB188" s="195"/>
      <c r="CC188" s="195"/>
      <c r="CD188" s="195"/>
      <c r="CE188" s="195"/>
      <c r="CF188" s="195"/>
      <c r="CG188" s="195"/>
      <c r="CH188" s="195"/>
      <c r="CI188" s="195"/>
      <c r="CJ188" s="195"/>
      <c r="CK188" s="195"/>
      <c r="CL188" s="195"/>
      <c r="CM188" s="195"/>
      <c r="CN188" s="195"/>
      <c r="CO188" s="195"/>
      <c r="CP188" s="195"/>
      <c r="CQ188" s="195"/>
      <c r="CR188" s="195"/>
      <c r="CS188" s="195"/>
      <c r="CT188" s="195"/>
      <c r="CU188" s="195"/>
      <c r="CV188" s="195"/>
      <c r="CW188" s="195"/>
      <c r="CX188" s="195"/>
      <c r="CY188" s="195"/>
      <c r="CZ188" s="195"/>
      <c r="DA188" s="195"/>
      <c r="DB188" s="195"/>
      <c r="DC188" s="195"/>
      <c r="DD188" s="195"/>
      <c r="DE188" s="195"/>
      <c r="DF188" s="195"/>
      <c r="DG188" s="195"/>
      <c r="DH188" s="195"/>
      <c r="DI188" s="195"/>
      <c r="DJ188" s="195"/>
      <c r="DK188" s="195"/>
      <c r="DL188" s="195"/>
      <c r="DM188" s="195"/>
      <c r="DN188" s="195"/>
      <c r="DO188" s="195"/>
      <c r="DP188" s="195"/>
      <c r="DQ188" s="195"/>
      <c r="DR188" s="195"/>
      <c r="DS188" s="195"/>
      <c r="DT188" s="195"/>
      <c r="DU188" s="195"/>
      <c r="DV188" s="195"/>
      <c r="DW188" s="195"/>
      <c r="DX188" s="195"/>
      <c r="DY188" s="195"/>
      <c r="DZ188" s="195"/>
      <c r="EA188" s="195"/>
      <c r="EB188" s="195"/>
      <c r="EC188" s="195"/>
      <c r="ED188" s="195"/>
      <c r="EE188" s="195"/>
      <c r="EF188" s="195"/>
      <c r="EG188" s="195"/>
      <c r="EH188" s="195"/>
      <c r="EI188" s="195"/>
      <c r="EJ188" s="195"/>
      <c r="EK188" s="195"/>
      <c r="EL188" s="195"/>
      <c r="EM188" s="195"/>
      <c r="EN188" s="195"/>
      <c r="EO188" s="195"/>
      <c r="EP188" s="195"/>
      <c r="EQ188" s="195"/>
    </row>
    <row r="189" spans="1:147" s="149" customFormat="1" ht="26" x14ac:dyDescent="0.25">
      <c r="A189" s="164"/>
      <c r="B189" s="193" t="s">
        <v>31</v>
      </c>
      <c r="C189" s="192"/>
      <c r="D189" s="192"/>
      <c r="E189" s="192"/>
      <c r="F189" s="192"/>
      <c r="G189" s="191"/>
      <c r="H189" s="190" t="s">
        <v>30</v>
      </c>
      <c r="I189" s="189" t="s">
        <v>29</v>
      </c>
      <c r="J189" s="189" t="s">
        <v>28</v>
      </c>
      <c r="K189" s="188" t="s">
        <v>27</v>
      </c>
      <c r="L189" s="188" t="s">
        <v>26</v>
      </c>
      <c r="M189" s="187" t="s">
        <v>25</v>
      </c>
      <c r="N189" s="186" t="s">
        <v>24</v>
      </c>
      <c r="O189" s="184" t="s">
        <v>23</v>
      </c>
      <c r="P189" s="184" t="s">
        <v>22</v>
      </c>
      <c r="Q189" s="185" t="s">
        <v>21</v>
      </c>
      <c r="R189" s="184" t="s">
        <v>20</v>
      </c>
      <c r="S189" s="184" t="s">
        <v>19</v>
      </c>
      <c r="T189" s="184" t="s">
        <v>18</v>
      </c>
      <c r="U189" s="23"/>
      <c r="V189" s="61"/>
      <c r="W189" s="61"/>
      <c r="X189" s="61"/>
      <c r="Y189" s="61"/>
      <c r="Z189" s="131"/>
      <c r="AA189" s="151"/>
      <c r="AB189" s="151"/>
      <c r="AC189" s="151"/>
      <c r="AD189" s="151"/>
      <c r="AE189" s="151"/>
      <c r="AF189" s="151"/>
      <c r="AG189" s="151"/>
      <c r="AH189" s="151"/>
      <c r="AI189" s="151"/>
      <c r="AJ189" s="150"/>
      <c r="AK189" s="150"/>
      <c r="AL189" s="150"/>
      <c r="AM189" s="150"/>
      <c r="AN189" s="150"/>
      <c r="AO189" s="150"/>
      <c r="AP189" s="150"/>
      <c r="AQ189" s="150"/>
      <c r="AR189" s="150"/>
      <c r="AS189" s="150"/>
      <c r="AT189" s="150"/>
      <c r="AU189" s="150"/>
      <c r="AV189" s="150"/>
      <c r="AW189" s="150"/>
      <c r="AX189" s="150"/>
      <c r="AY189" s="150"/>
      <c r="AZ189" s="150"/>
      <c r="BA189" s="150"/>
      <c r="BB189" s="150"/>
      <c r="BC189" s="150"/>
      <c r="BD189" s="150"/>
      <c r="BE189" s="150"/>
      <c r="BF189" s="150"/>
      <c r="BG189" s="150"/>
      <c r="BH189" s="150"/>
      <c r="BI189" s="150"/>
      <c r="BJ189" s="150"/>
      <c r="BK189" s="150"/>
      <c r="BL189" s="150"/>
      <c r="BM189" s="150"/>
      <c r="BN189" s="150"/>
      <c r="BO189" s="150"/>
      <c r="BP189" s="150"/>
      <c r="BQ189" s="150"/>
      <c r="BR189" s="150"/>
      <c r="BS189" s="150"/>
      <c r="BT189" s="150"/>
      <c r="BU189" s="150"/>
      <c r="BV189" s="150"/>
      <c r="BW189" s="150"/>
      <c r="BX189" s="150"/>
      <c r="BY189" s="150"/>
      <c r="BZ189" s="150"/>
      <c r="CA189" s="150"/>
      <c r="CB189" s="150"/>
      <c r="CC189" s="150"/>
      <c r="CD189" s="150"/>
      <c r="CE189" s="150"/>
      <c r="CF189" s="150"/>
      <c r="CG189" s="150"/>
      <c r="CH189" s="150"/>
      <c r="CI189" s="150"/>
      <c r="CJ189" s="150"/>
      <c r="CK189" s="150"/>
      <c r="CL189" s="150"/>
      <c r="CM189" s="150"/>
      <c r="CN189" s="150"/>
      <c r="CO189" s="150"/>
      <c r="CP189" s="150"/>
      <c r="CQ189" s="150"/>
      <c r="CR189" s="150"/>
      <c r="CS189" s="150"/>
      <c r="CT189" s="150"/>
      <c r="CU189" s="150"/>
      <c r="CV189" s="150"/>
      <c r="CW189" s="150"/>
      <c r="CX189" s="150"/>
      <c r="CY189" s="150"/>
      <c r="CZ189" s="150"/>
      <c r="DA189" s="150"/>
      <c r="DB189" s="150"/>
      <c r="DC189" s="150"/>
      <c r="DD189" s="150"/>
      <c r="DE189" s="150"/>
      <c r="DF189" s="150"/>
      <c r="DG189" s="150"/>
      <c r="DH189" s="150"/>
      <c r="DI189" s="150"/>
      <c r="DJ189" s="150"/>
      <c r="DK189" s="150"/>
      <c r="DL189" s="150"/>
      <c r="DM189" s="150"/>
      <c r="DN189" s="150"/>
      <c r="DO189" s="150"/>
      <c r="DP189" s="150"/>
      <c r="DQ189" s="150"/>
      <c r="DR189" s="150"/>
      <c r="DS189" s="150"/>
      <c r="DT189" s="150"/>
      <c r="DU189" s="150"/>
      <c r="DV189" s="150"/>
      <c r="DW189" s="150"/>
      <c r="DX189" s="150"/>
      <c r="DY189" s="150"/>
      <c r="DZ189" s="150"/>
      <c r="EA189" s="150"/>
      <c r="EB189" s="150"/>
      <c r="EC189" s="150"/>
      <c r="ED189" s="150"/>
      <c r="EE189" s="150"/>
      <c r="EF189" s="150"/>
      <c r="EG189" s="150"/>
      <c r="EH189" s="150"/>
      <c r="EI189" s="150"/>
      <c r="EJ189" s="150"/>
      <c r="EK189" s="150"/>
      <c r="EL189" s="150"/>
      <c r="EM189" s="150"/>
      <c r="EN189" s="150"/>
      <c r="EO189" s="150"/>
      <c r="EP189" s="150"/>
      <c r="EQ189" s="150"/>
    </row>
    <row r="190" spans="1:147" ht="25" x14ac:dyDescent="0.25">
      <c r="A190" s="57"/>
      <c r="B190" s="180"/>
      <c r="C190" s="179"/>
      <c r="D190" s="179"/>
      <c r="E190" s="178"/>
      <c r="F190" s="178"/>
      <c r="G190" s="177"/>
      <c r="H190" s="176"/>
      <c r="I190" s="183">
        <f>'[1]Work sheet'!K145</f>
        <v>1838638</v>
      </c>
      <c r="J190" s="174" t="str">
        <f>VLOOKUP(I190,'[1]Work sheet'!$K$2:L746,2,0)</f>
        <v>OR-1327.20 P2A 8UN CTN 2 BAGS</v>
      </c>
      <c r="K190" s="173">
        <f>VLOOKUP(I190,'[1]Work sheet'!$K$2:O874,3,0)</f>
        <v>79</v>
      </c>
      <c r="L190" s="173">
        <f>VLOOKUP(I190,'[1]Work sheet'!$K$2:O1258,4,0)</f>
        <v>0</v>
      </c>
      <c r="M190" s="171" t="str">
        <f>VLOOKUP(I190,'[1]Work sheet'!$K$2:T1567,10,0)</f>
        <v>PACKOUT(2 X 1849045)(7635.2)</v>
      </c>
      <c r="N190" s="172" t="str">
        <f>IFERROR(VLOOKUP(I190,'[1]PO Numbers'!$R$2:S359,2,0),"TBC")</f>
        <v>106990863</v>
      </c>
      <c r="O190" s="171" t="str">
        <f>IFERROR(VLOOKUP(VALUE(N190),'[1]PO Numbers'!$F$1:$J$400,5,0),"xxx")</f>
        <v>PI01</v>
      </c>
      <c r="P190" s="168" t="str">
        <f>VLOOKUP(I190,'[1]Work sheet'!$K$2:AA1183,13,0)</f>
        <v/>
      </c>
      <c r="Q190" s="170" t="str">
        <f>VLOOKUP(I190,'[1]Work sheet'!$K$2:AI891,16,0)</f>
        <v>Packout</v>
      </c>
      <c r="R190" s="168" t="str">
        <f>VLOOKUP(I190,'[1]Work sheet'!$K$2:AA543,17,0)</f>
        <v>PACKOUT(2 X 1849045)(7635.2)</v>
      </c>
      <c r="S190" s="169" t="str">
        <f>VLOOKUP(I190,'[1]Work sheet'!$K$2:AL456,28,0)</f>
        <v/>
      </c>
      <c r="T190" s="168" t="str">
        <f>IFERROR(VLOOKUP(I190,[1]Label!$A$1:C1122,3,0),"")</f>
        <v/>
      </c>
      <c r="U190" s="165" t="str">
        <f>IFERROR(IF(OR(VLOOKUP(I190,'[1]Work sheet'!$K$2:U767,11,0)="530",VLOOKUP(I190,'[1]Work sheet'!$K$2:U767,11,0)="526"),"BTO",""),"")</f>
        <v/>
      </c>
      <c r="V190" s="165"/>
      <c r="W190" s="167" t="str">
        <f>IF(COUNTIF('[1]OB Connect'!$F$13:$F$364,N190),"On Openbatch", "No")</f>
        <v>No</v>
      </c>
      <c r="X190" s="166" t="s">
        <v>15</v>
      </c>
      <c r="Y190" s="166"/>
      <c r="Z190" s="165"/>
    </row>
    <row r="191" spans="1:147" ht="25" x14ac:dyDescent="0.25">
      <c r="A191" s="57"/>
      <c r="B191" s="180"/>
      <c r="C191" s="179"/>
      <c r="D191" s="179"/>
      <c r="E191" s="178"/>
      <c r="F191" s="178"/>
      <c r="G191" s="177"/>
      <c r="H191" s="176"/>
      <c r="I191" s="183">
        <f>'[1]Work sheet'!K146</f>
        <v>1945451</v>
      </c>
      <c r="J191" s="174" t="str">
        <f>VLOOKUP(I191,'[1]Work sheet'!$K$2:L747,2,0)</f>
        <v>TE/LE/B-163.00 P3 24UN CTN 2 BAG</v>
      </c>
      <c r="K191" s="173">
        <f>VLOOKUP(I191,'[1]Work sheet'!$K$2:O875,3,0)</f>
        <v>54</v>
      </c>
      <c r="L191" s="173">
        <f>VLOOKUP(I191,'[1]Work sheet'!$K$2:O1259,4,0)</f>
        <v>0</v>
      </c>
      <c r="M191" s="171" t="str">
        <f>VLOOKUP(I191,'[1]Work sheet'!$K$2:T1568,10,0)</f>
        <v>PACKOUT(2 X 1945450)(6154.1)</v>
      </c>
      <c r="N191" s="172" t="str">
        <f>IFERROR(VLOOKUP(I191,'[1]PO Numbers'!$R$2:S360,2,0),"TBC")</f>
        <v>106990864</v>
      </c>
      <c r="O191" s="171" t="str">
        <f>IFERROR(VLOOKUP(VALUE(N191),'[1]PO Numbers'!$F$1:$J$400,5,0),"xxx")</f>
        <v>PI01</v>
      </c>
      <c r="P191" s="168" t="str">
        <f>VLOOKUP(I191,'[1]Work sheet'!$K$2:AA1184,13,0)</f>
        <v/>
      </c>
      <c r="Q191" s="170" t="str">
        <f>VLOOKUP(I191,'[1]Work sheet'!$K$2:AI892,16,0)</f>
        <v>Packout</v>
      </c>
      <c r="R191" s="168" t="str">
        <f>VLOOKUP(I191,'[1]Work sheet'!$K$2:AA544,17,0)</f>
        <v>PACKOUT(2 X 1945450)(6154.1)</v>
      </c>
      <c r="S191" s="169" t="str">
        <f>VLOOKUP(I191,'[1]Work sheet'!$K$2:AL457,28,0)</f>
        <v/>
      </c>
      <c r="T191" s="168" t="str">
        <f>IFERROR(VLOOKUP(I191,[1]Label!$A$1:C1123,3,0),"")</f>
        <v/>
      </c>
      <c r="U191" s="165" t="str">
        <f>IFERROR(IF(OR(VLOOKUP(I191,'[1]Work sheet'!$K$2:U768,11,0)="530",VLOOKUP(I191,'[1]Work sheet'!$K$2:U768,11,0)="526"),"BTO",""),"")</f>
        <v/>
      </c>
      <c r="V191" s="165"/>
      <c r="W191" s="167" t="str">
        <f>IF(COUNTIF('[1]OB Connect'!$F$13:$F$364,N191),"On Openbatch", "No")</f>
        <v>No</v>
      </c>
      <c r="X191" s="166" t="s">
        <v>15</v>
      </c>
      <c r="Y191" s="166"/>
      <c r="Z191" s="165"/>
    </row>
    <row r="192" spans="1:147" ht="25" x14ac:dyDescent="0.25">
      <c r="A192" s="57"/>
      <c r="B192" s="180"/>
      <c r="C192" s="179"/>
      <c r="D192" s="179"/>
      <c r="E192" s="178"/>
      <c r="F192" s="178"/>
      <c r="G192" s="177"/>
      <c r="H192" s="176"/>
      <c r="I192" s="183">
        <f>'[1]Work sheet'!K147</f>
        <v>1944611</v>
      </c>
      <c r="J192" s="174" t="str">
        <f>VLOOKUP(I192,'[1]Work sheet'!$K$2:L748,2,0)</f>
        <v>TE/PE/B-35.00 P3 24UN CTN 4 BAG</v>
      </c>
      <c r="K192" s="173">
        <f>VLOOKUP(I192,'[1]Work sheet'!$K$2:O876,3,0)</f>
        <v>81</v>
      </c>
      <c r="L192" s="173">
        <f>VLOOKUP(I192,'[1]Work sheet'!$K$2:O1260,4,0)</f>
        <v>0</v>
      </c>
      <c r="M192" s="171" t="str">
        <f>VLOOKUP(I192,'[1]Work sheet'!$K$2:T1569,10,0)</f>
        <v>PACKOUT(4 X 1944610)(6154.1)</v>
      </c>
      <c r="N192" s="172" t="str">
        <f>IFERROR(VLOOKUP(I192,'[1]PO Numbers'!$R$2:S361,2,0),"TBC")</f>
        <v>106990862</v>
      </c>
      <c r="O192" s="171" t="str">
        <f>IFERROR(VLOOKUP(VALUE(N192),'[1]PO Numbers'!$F$1:$J$400,5,0),"xxx")</f>
        <v>PI01</v>
      </c>
      <c r="P192" s="168" t="str">
        <f>VLOOKUP(I192,'[1]Work sheet'!$K$2:AA1185,13,0)</f>
        <v/>
      </c>
      <c r="Q192" s="170" t="str">
        <f>VLOOKUP(I192,'[1]Work sheet'!$K$2:AI893,16,0)</f>
        <v>Packout</v>
      </c>
      <c r="R192" s="168" t="str">
        <f>VLOOKUP(I192,'[1]Work sheet'!$K$2:AA545,17,0)</f>
        <v>PACKOUT(4 X 1944610)(6154.1)</v>
      </c>
      <c r="S192" s="169" t="str">
        <f>VLOOKUP(I192,'[1]Work sheet'!$K$2:AL458,28,0)</f>
        <v/>
      </c>
      <c r="T192" s="168" t="str">
        <f>IFERROR(VLOOKUP(I192,[1]Label!$A$1:C1124,3,0),"")</f>
        <v/>
      </c>
      <c r="U192" s="165" t="str">
        <f>IFERROR(IF(OR(VLOOKUP(I192,'[1]Work sheet'!$K$2:U769,11,0)="530",VLOOKUP(I192,'[1]Work sheet'!$K$2:U769,11,0)="526"),"BTO",""),"")</f>
        <v/>
      </c>
      <c r="V192" s="165"/>
      <c r="W192" s="167" t="str">
        <f>IF(COUNTIF('[1]OB Connect'!$F$13:$F$364,N192),"On Openbatch", "No")</f>
        <v>No</v>
      </c>
      <c r="X192" s="166" t="s">
        <v>15</v>
      </c>
      <c r="Y192" s="166"/>
      <c r="Z192" s="165"/>
    </row>
    <row r="193" spans="1:147" ht="39" x14ac:dyDescent="0.25">
      <c r="A193" s="57"/>
      <c r="B193" s="180"/>
      <c r="C193" s="179"/>
      <c r="D193" s="179"/>
      <c r="E193" s="178"/>
      <c r="F193" s="178"/>
      <c r="G193" s="177"/>
      <c r="H193" s="176"/>
      <c r="I193" s="175">
        <f>I174</f>
        <v>1662894</v>
      </c>
      <c r="J193" s="174" t="str">
        <f>VLOOKUP(I193,'[1]Work sheet'!$K$2:L748,2,0)</f>
        <v>GENERIC REBIANA 8.00KG CTN 10 BAGS</v>
      </c>
      <c r="K193" s="173">
        <v>24</v>
      </c>
      <c r="L193" s="173">
        <f>VLOOKUP(I193,'[1]Work sheet'!$K$2:O1260,4,0)</f>
        <v>240</v>
      </c>
      <c r="M193" s="171">
        <f>VLOOKUP(I193,'[1]Work sheet'!$K$2:T1569,10,0)</f>
        <v>6159</v>
      </c>
      <c r="N193" s="182">
        <v>106994980</v>
      </c>
      <c r="O193" s="171" t="s">
        <v>17</v>
      </c>
      <c r="P193" s="168" t="str">
        <f>VLOOKUP(I193,'[1]Work sheet'!$K$2:AA1185,13,0)</f>
        <v/>
      </c>
      <c r="Q193" s="170">
        <f>VLOOKUP(I193,'[1]Work sheet'!$K$2:AI893,16,0)</f>
        <v>0.8</v>
      </c>
      <c r="R193" s="168" t="str">
        <f>VLOOKUP(I193,'[1]Work sheet'!$K$2:AA545,17,0)</f>
        <v>0-1Kgs 6159</v>
      </c>
      <c r="S193" s="181" t="s">
        <v>16</v>
      </c>
      <c r="T193" s="168" t="str">
        <f>IFERROR(VLOOKUP(I193,[1]Label!$A$1:C1124,3,0),"")</f>
        <v/>
      </c>
      <c r="U193" s="165" t="str">
        <f>IFERROR(IF(OR(VLOOKUP(I193,'[1]Work sheet'!$K$2:U769,11,0)="530",VLOOKUP(I193,'[1]Work sheet'!$K$2:U769,11,0)="526"),"BTO",""),"")</f>
        <v>BTO</v>
      </c>
      <c r="V193" s="165"/>
      <c r="W193" s="167" t="str">
        <f>IF(COUNTIF('[1]OB Connect'!$F$13:$F$364,N193),"On Openbatch", "No")</f>
        <v>On Openbatch</v>
      </c>
      <c r="X193" s="166" t="s">
        <v>15</v>
      </c>
      <c r="Y193" s="166"/>
      <c r="Z193" s="165"/>
    </row>
    <row r="194" spans="1:147" ht="13" x14ac:dyDescent="0.25">
      <c r="A194" s="57"/>
      <c r="B194" s="180"/>
      <c r="C194" s="179"/>
      <c r="D194" s="179"/>
      <c r="E194" s="178"/>
      <c r="F194" s="178"/>
      <c r="G194" s="177"/>
      <c r="H194" s="176"/>
      <c r="I194" s="175">
        <f>I180</f>
        <v>1660013</v>
      </c>
      <c r="J194" s="174" t="str">
        <f>VLOOKUP(I194,'[1]Work sheet'!$K$2:L749,2,0)</f>
        <v>TE/MN/B-18.00 P3 24UN CTN 4BAG</v>
      </c>
      <c r="K194" s="173">
        <f>VLOOKUP(I194,'[1]Work sheet'!$K$2:O877,3,0)</f>
        <v>18</v>
      </c>
      <c r="L194" s="173">
        <f>VLOOKUP(I194,'[1]Work sheet'!$K$2:O1261,4,0)</f>
        <v>72</v>
      </c>
      <c r="M194" s="171" t="str">
        <f>VLOOKUP(I194,'[1]Work sheet'!$K$2:T1570,10,0)</f>
        <v>6154.1 STEVIA LEAF</v>
      </c>
      <c r="N194" s="172" t="str">
        <f>IFERROR(VLOOKUP(I194,'[1]PO Numbers'!$R$2:S362,2,0),"TBC")</f>
        <v>106989654</v>
      </c>
      <c r="O194" s="171" t="str">
        <f>IFERROR(VLOOKUP(VALUE(N194),'[1]PO Numbers'!$F$1:$J$400,5,0),"xxx")</f>
        <v>PI01</v>
      </c>
      <c r="P194" s="168" t="str">
        <f>VLOOKUP(I194,'[1]Work sheet'!$K$2:AA1186,13,0)</f>
        <v/>
      </c>
      <c r="Q194" s="170">
        <f>VLOOKUP(I194,'[1]Work sheet'!$K$2:AI894,16,0)</f>
        <v>0.72</v>
      </c>
      <c r="R194" s="168" t="str">
        <f>VLOOKUP(I194,'[1]Work sheet'!$K$2:AA546,17,0)</f>
        <v>0-1Kgs 6154.1 Stevia</v>
      </c>
      <c r="S194" s="169" t="str">
        <f>VLOOKUP(I194,'[1]Work sheet'!$K$2:AL459,28,0)</f>
        <v/>
      </c>
      <c r="T194" s="168" t="str">
        <f>IFERROR(VLOOKUP(I194,[1]Label!$A$1:C1125,3,0),"")</f>
        <v/>
      </c>
      <c r="U194" s="165" t="str">
        <f>IFERROR(IF(OR(VLOOKUP(I194,'[1]Work sheet'!$K$2:U770,11,0)="530",VLOOKUP(I194,'[1]Work sheet'!$K$2:U770,11,0)="526"),"BTO",""),"")</f>
        <v/>
      </c>
      <c r="V194" s="165"/>
      <c r="W194" s="167" t="str">
        <f>IF(COUNTIF('[1]OB Connect'!$F$13:$F$364,N194),"On Openbatch", "No")</f>
        <v>On Openbatch</v>
      </c>
      <c r="X194" s="166" t="s">
        <v>15</v>
      </c>
      <c r="Y194" s="166"/>
      <c r="Z194" s="165"/>
    </row>
    <row r="195" spans="1:147" s="149" customFormat="1" ht="13" x14ac:dyDescent="0.25">
      <c r="A195" s="164"/>
      <c r="B195" s="163"/>
      <c r="C195" s="162"/>
      <c r="D195" s="162"/>
      <c r="E195" s="64"/>
      <c r="F195" s="64"/>
      <c r="G195" s="161"/>
      <c r="H195" s="160"/>
      <c r="I195" s="159">
        <f>COUNT(I190:I194)</f>
        <v>5</v>
      </c>
      <c r="J195" s="158"/>
      <c r="K195" s="157"/>
      <c r="L195" s="157"/>
      <c r="M195" s="156"/>
      <c r="N195" s="155"/>
      <c r="O195" s="155"/>
      <c r="P195" s="153"/>
      <c r="Q195" s="154"/>
      <c r="R195" s="153"/>
      <c r="S195" s="153"/>
      <c r="T195" s="152"/>
      <c r="U195" s="23"/>
      <c r="V195" s="61"/>
      <c r="W195" s="61"/>
      <c r="X195" s="61"/>
      <c r="Y195" s="61"/>
      <c r="Z195" s="131"/>
      <c r="AA195" s="151"/>
      <c r="AB195" s="151"/>
      <c r="AC195" s="151"/>
      <c r="AD195" s="151"/>
      <c r="AE195" s="151"/>
      <c r="AF195" s="151"/>
      <c r="AG195" s="151"/>
      <c r="AH195" s="151"/>
      <c r="AI195" s="151"/>
      <c r="AJ195" s="150"/>
      <c r="AK195" s="150"/>
      <c r="AL195" s="150"/>
      <c r="AM195" s="150"/>
      <c r="AN195" s="150"/>
      <c r="AO195" s="150"/>
      <c r="AP195" s="150"/>
      <c r="AQ195" s="150"/>
      <c r="AR195" s="150"/>
      <c r="AS195" s="150"/>
      <c r="AT195" s="150"/>
      <c r="AU195" s="150"/>
      <c r="AV195" s="150"/>
      <c r="AW195" s="150"/>
      <c r="AX195" s="150"/>
      <c r="AY195" s="150"/>
      <c r="AZ195" s="150"/>
      <c r="BA195" s="150"/>
      <c r="BB195" s="150"/>
      <c r="BC195" s="150"/>
      <c r="BD195" s="150"/>
      <c r="BE195" s="150"/>
      <c r="BF195" s="150"/>
      <c r="BG195" s="150"/>
      <c r="BH195" s="150"/>
      <c r="BI195" s="150"/>
      <c r="BJ195" s="150"/>
      <c r="BK195" s="150"/>
      <c r="BL195" s="150"/>
      <c r="BM195" s="150"/>
      <c r="BN195" s="150"/>
      <c r="BO195" s="150"/>
      <c r="BP195" s="150"/>
      <c r="BQ195" s="150"/>
      <c r="BR195" s="150"/>
      <c r="BS195" s="150"/>
      <c r="BT195" s="150"/>
      <c r="BU195" s="150"/>
      <c r="BV195" s="150"/>
      <c r="BW195" s="150"/>
      <c r="BX195" s="150"/>
      <c r="BY195" s="150"/>
      <c r="BZ195" s="150"/>
      <c r="CA195" s="150"/>
      <c r="CB195" s="150"/>
      <c r="CC195" s="150"/>
      <c r="CD195" s="150"/>
      <c r="CE195" s="150"/>
      <c r="CF195" s="150"/>
      <c r="CG195" s="150"/>
      <c r="CH195" s="150"/>
      <c r="CI195" s="150"/>
      <c r="CJ195" s="150"/>
      <c r="CK195" s="150"/>
      <c r="CL195" s="150"/>
      <c r="CM195" s="150"/>
      <c r="CN195" s="150"/>
      <c r="CO195" s="150"/>
      <c r="CP195" s="150"/>
      <c r="CQ195" s="150"/>
      <c r="CR195" s="150"/>
      <c r="CS195" s="150"/>
      <c r="CT195" s="150"/>
      <c r="CU195" s="150"/>
      <c r="CV195" s="150"/>
      <c r="CW195" s="150"/>
      <c r="CX195" s="150"/>
      <c r="CY195" s="150"/>
      <c r="CZ195" s="150"/>
      <c r="DA195" s="150"/>
      <c r="DB195" s="150"/>
      <c r="DC195" s="150"/>
      <c r="DD195" s="150"/>
      <c r="DE195" s="150"/>
      <c r="DF195" s="150"/>
      <c r="DG195" s="150"/>
      <c r="DH195" s="150"/>
      <c r="DI195" s="150"/>
      <c r="DJ195" s="150"/>
      <c r="DK195" s="150"/>
      <c r="DL195" s="150"/>
      <c r="DM195" s="150"/>
      <c r="DN195" s="150"/>
      <c r="DO195" s="150"/>
      <c r="DP195" s="150"/>
      <c r="DQ195" s="150"/>
      <c r="DR195" s="150"/>
      <c r="DS195" s="150"/>
      <c r="DT195" s="150"/>
      <c r="DU195" s="150"/>
      <c r="DV195" s="150"/>
      <c r="DW195" s="150"/>
      <c r="DX195" s="150"/>
      <c r="DY195" s="150"/>
      <c r="DZ195" s="150"/>
      <c r="EA195" s="150"/>
      <c r="EB195" s="150"/>
      <c r="EC195" s="150"/>
      <c r="ED195" s="150"/>
      <c r="EE195" s="150"/>
      <c r="EF195" s="150"/>
      <c r="EG195" s="150"/>
      <c r="EH195" s="150"/>
      <c r="EI195" s="150"/>
      <c r="EJ195" s="150"/>
      <c r="EK195" s="150"/>
      <c r="EL195" s="150"/>
      <c r="EM195" s="150"/>
      <c r="EN195" s="150"/>
      <c r="EO195" s="150"/>
      <c r="EP195" s="150"/>
      <c r="EQ195" s="150"/>
    </row>
    <row r="196" spans="1:147" s="132" customFormat="1" ht="13" x14ac:dyDescent="0.25">
      <c r="A196" s="148"/>
      <c r="B196" s="147"/>
      <c r="C196" s="146"/>
      <c r="D196" s="146"/>
      <c r="E196" s="145"/>
      <c r="F196" s="145"/>
      <c r="G196" s="144"/>
      <c r="H196" s="143"/>
      <c r="I196" s="142"/>
      <c r="J196" s="141"/>
      <c r="K196" s="140"/>
      <c r="L196" s="140"/>
      <c r="M196" s="139"/>
      <c r="N196" s="139"/>
      <c r="O196" s="139"/>
      <c r="P196" s="137"/>
      <c r="Q196" s="138" t="s">
        <v>14</v>
      </c>
      <c r="R196" s="137"/>
      <c r="S196" s="136"/>
      <c r="T196" s="135"/>
      <c r="U196" s="23"/>
      <c r="V196" s="61"/>
      <c r="W196" s="61"/>
      <c r="X196" s="61"/>
      <c r="Y196" s="61"/>
      <c r="Z196" s="131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3"/>
      <c r="AK196" s="133"/>
      <c r="AL196" s="133"/>
      <c r="AM196" s="133"/>
      <c r="AN196" s="133"/>
      <c r="AO196" s="133"/>
      <c r="AP196" s="133"/>
      <c r="AQ196" s="133"/>
      <c r="AR196" s="133"/>
      <c r="AS196" s="133"/>
      <c r="AT196" s="133"/>
      <c r="AU196" s="133"/>
      <c r="AV196" s="133"/>
      <c r="AW196" s="133"/>
      <c r="AX196" s="133"/>
      <c r="AY196" s="133"/>
      <c r="AZ196" s="133"/>
      <c r="BA196" s="133"/>
      <c r="BB196" s="133"/>
      <c r="BC196" s="133"/>
      <c r="BD196" s="133"/>
      <c r="BE196" s="133"/>
      <c r="BF196" s="133"/>
      <c r="BG196" s="133"/>
      <c r="BH196" s="133"/>
      <c r="BI196" s="133"/>
      <c r="BJ196" s="133"/>
      <c r="BK196" s="133"/>
      <c r="BL196" s="133"/>
      <c r="BM196" s="133"/>
      <c r="BN196" s="133"/>
      <c r="BO196" s="133"/>
      <c r="BP196" s="133"/>
      <c r="BQ196" s="133"/>
      <c r="BR196" s="133"/>
      <c r="BS196" s="133"/>
      <c r="BT196" s="133"/>
      <c r="BU196" s="133"/>
      <c r="BV196" s="133"/>
      <c r="BW196" s="133"/>
      <c r="BX196" s="133"/>
      <c r="BY196" s="133"/>
      <c r="BZ196" s="133"/>
      <c r="CA196" s="133"/>
      <c r="CB196" s="133"/>
      <c r="CC196" s="133"/>
      <c r="CD196" s="133"/>
      <c r="CE196" s="133"/>
      <c r="CF196" s="133"/>
      <c r="CG196" s="133"/>
      <c r="CH196" s="133"/>
      <c r="CI196" s="133"/>
      <c r="CJ196" s="133"/>
      <c r="CK196" s="133"/>
      <c r="CL196" s="133"/>
      <c r="CM196" s="133"/>
      <c r="CN196" s="133"/>
      <c r="CO196" s="133"/>
      <c r="CP196" s="133"/>
      <c r="CQ196" s="133"/>
      <c r="CR196" s="133"/>
      <c r="CS196" s="133"/>
      <c r="CT196" s="133"/>
      <c r="CU196" s="133"/>
      <c r="CV196" s="133"/>
      <c r="CW196" s="133"/>
      <c r="CX196" s="133"/>
      <c r="CY196" s="133"/>
      <c r="CZ196" s="133"/>
      <c r="DA196" s="133"/>
      <c r="DB196" s="133"/>
      <c r="DC196" s="133"/>
      <c r="DD196" s="133"/>
      <c r="DE196" s="133"/>
      <c r="DF196" s="133"/>
      <c r="DG196" s="133"/>
      <c r="DH196" s="133"/>
      <c r="DI196" s="133"/>
      <c r="DJ196" s="133"/>
      <c r="DK196" s="133"/>
      <c r="DL196" s="133"/>
      <c r="DM196" s="133"/>
      <c r="DN196" s="133"/>
      <c r="DO196" s="133"/>
      <c r="DP196" s="133"/>
      <c r="DQ196" s="133"/>
      <c r="DR196" s="133"/>
      <c r="DS196" s="133"/>
      <c r="DT196" s="133"/>
      <c r="DU196" s="133"/>
      <c r="DV196" s="133"/>
      <c r="DW196" s="133"/>
      <c r="DX196" s="133"/>
      <c r="DY196" s="133"/>
      <c r="DZ196" s="133"/>
      <c r="EA196" s="133"/>
      <c r="EB196" s="133"/>
      <c r="EC196" s="133"/>
      <c r="ED196" s="133"/>
      <c r="EE196" s="133"/>
      <c r="EF196" s="133"/>
      <c r="EG196" s="133"/>
      <c r="EH196" s="133"/>
      <c r="EI196" s="133"/>
      <c r="EJ196" s="133"/>
      <c r="EK196" s="133"/>
      <c r="EL196" s="133"/>
      <c r="EM196" s="133"/>
      <c r="EN196" s="133"/>
      <c r="EO196" s="133"/>
      <c r="EP196" s="133"/>
      <c r="EQ196" s="133"/>
    </row>
    <row r="197" spans="1:147" s="127" customFormat="1" ht="14.5" x14ac:dyDescent="0.25">
      <c r="A197" s="130"/>
      <c r="B197" s="45"/>
      <c r="C197" s="44"/>
      <c r="D197" s="43"/>
      <c r="E197" s="42"/>
      <c r="F197" s="42"/>
      <c r="G197" s="41"/>
      <c r="H197" s="38"/>
      <c r="I197" s="38"/>
      <c r="J197" s="40"/>
      <c r="K197" s="39"/>
      <c r="L197" s="39"/>
      <c r="M197" s="38"/>
      <c r="N197" s="36"/>
      <c r="O197" s="36"/>
      <c r="P197" s="35"/>
      <c r="Q197" s="37"/>
      <c r="R197" s="36"/>
      <c r="S197" s="35"/>
      <c r="T197" s="35"/>
      <c r="U197" s="23"/>
      <c r="V197" s="61"/>
      <c r="W197" s="61"/>
      <c r="X197" s="61"/>
      <c r="Y197" s="61"/>
      <c r="Z197" s="131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8"/>
      <c r="AK197" s="128"/>
      <c r="AL197" s="128"/>
      <c r="AM197" s="128"/>
      <c r="AN197" s="128"/>
      <c r="AO197" s="128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  <c r="CJ197" s="128"/>
      <c r="CK197" s="128"/>
      <c r="CL197" s="128"/>
      <c r="CM197" s="128"/>
      <c r="CN197" s="128"/>
      <c r="CO197" s="128"/>
      <c r="CP197" s="128"/>
      <c r="CQ197" s="128"/>
      <c r="CR197" s="128"/>
      <c r="CS197" s="128"/>
      <c r="CT197" s="128"/>
      <c r="CU197" s="128"/>
      <c r="CV197" s="128"/>
      <c r="CW197" s="128"/>
      <c r="CX197" s="128"/>
      <c r="CY197" s="128"/>
      <c r="CZ197" s="128"/>
      <c r="DA197" s="128"/>
      <c r="DB197" s="128"/>
      <c r="DC197" s="128"/>
      <c r="DD197" s="128"/>
      <c r="DE197" s="128"/>
      <c r="DF197" s="128"/>
      <c r="DG197" s="128"/>
      <c r="DH197" s="128"/>
      <c r="DI197" s="128"/>
      <c r="DJ197" s="128"/>
      <c r="DK197" s="128"/>
      <c r="DL197" s="128"/>
      <c r="DM197" s="128"/>
      <c r="DN197" s="128"/>
      <c r="DO197" s="128"/>
      <c r="DP197" s="128"/>
      <c r="DQ197" s="128"/>
      <c r="DR197" s="128"/>
      <c r="DS197" s="128"/>
      <c r="DT197" s="128"/>
      <c r="DU197" s="128"/>
      <c r="DV197" s="128"/>
      <c r="DW197" s="128"/>
      <c r="DX197" s="128"/>
      <c r="DY197" s="128"/>
      <c r="DZ197" s="128"/>
      <c r="EA197" s="128"/>
      <c r="EB197" s="128"/>
      <c r="EC197" s="128"/>
      <c r="ED197" s="128"/>
      <c r="EE197" s="128"/>
      <c r="EF197" s="128"/>
      <c r="EG197" s="128"/>
      <c r="EH197" s="128"/>
      <c r="EI197" s="128"/>
      <c r="EJ197" s="128"/>
      <c r="EK197" s="128"/>
      <c r="EL197" s="128"/>
      <c r="EM197" s="128"/>
      <c r="EN197" s="128"/>
      <c r="EO197" s="128"/>
      <c r="EP197" s="128"/>
      <c r="EQ197" s="128"/>
    </row>
    <row r="198" spans="1:147" s="127" customFormat="1" ht="14.5" x14ac:dyDescent="0.25">
      <c r="A198" s="130"/>
      <c r="B198" s="45"/>
      <c r="C198" s="44"/>
      <c r="D198" s="43"/>
      <c r="E198" s="42"/>
      <c r="F198" s="42"/>
      <c r="G198" s="41"/>
      <c r="H198" s="38"/>
      <c r="I198" s="38"/>
      <c r="J198" s="40"/>
      <c r="K198" s="39"/>
      <c r="L198" s="39"/>
      <c r="M198" s="38"/>
      <c r="N198" s="36"/>
      <c r="O198" s="36"/>
      <c r="P198" s="35"/>
      <c r="Q198" s="37"/>
      <c r="R198" s="36"/>
      <c r="S198" s="35"/>
      <c r="T198" s="35"/>
      <c r="U198" s="23"/>
      <c r="V198" s="21"/>
      <c r="W198" s="22"/>
      <c r="X198" s="22"/>
      <c r="Y198" s="21"/>
      <c r="Z198" s="20"/>
      <c r="AA198" s="3">
        <v>1629808</v>
      </c>
      <c r="AB198" s="3" t="s">
        <v>13</v>
      </c>
      <c r="AC198" s="129"/>
      <c r="AD198" s="129"/>
      <c r="AE198" s="129"/>
      <c r="AF198" s="129"/>
      <c r="AG198" s="129"/>
      <c r="AH198" s="129"/>
      <c r="AI198" s="129"/>
      <c r="AJ198" s="128"/>
      <c r="AK198" s="128"/>
      <c r="AL198" s="128"/>
      <c r="AM198" s="128"/>
      <c r="AN198" s="128"/>
      <c r="AO198" s="128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  <c r="CJ198" s="128"/>
      <c r="CK198" s="128"/>
      <c r="CL198" s="128"/>
      <c r="CM198" s="128"/>
      <c r="CN198" s="128"/>
      <c r="CO198" s="128"/>
      <c r="CP198" s="128"/>
      <c r="CQ198" s="128"/>
      <c r="CR198" s="128"/>
      <c r="CS198" s="128"/>
      <c r="CT198" s="128"/>
      <c r="CU198" s="128"/>
      <c r="CV198" s="128"/>
      <c r="CW198" s="128"/>
      <c r="CX198" s="128"/>
      <c r="CY198" s="128"/>
      <c r="CZ198" s="128"/>
      <c r="DA198" s="128"/>
      <c r="DB198" s="128"/>
      <c r="DC198" s="128"/>
      <c r="DD198" s="128"/>
      <c r="DE198" s="128"/>
      <c r="DF198" s="128"/>
      <c r="DG198" s="128"/>
      <c r="DH198" s="128"/>
      <c r="DI198" s="128"/>
      <c r="DJ198" s="128"/>
      <c r="DK198" s="128"/>
      <c r="DL198" s="128"/>
      <c r="DM198" s="128"/>
      <c r="DN198" s="128"/>
      <c r="DO198" s="128"/>
      <c r="DP198" s="128"/>
      <c r="DQ198" s="128"/>
      <c r="DR198" s="128"/>
      <c r="DS198" s="128"/>
      <c r="DT198" s="128"/>
      <c r="DU198" s="128"/>
      <c r="DV198" s="128"/>
      <c r="DW198" s="128"/>
      <c r="DX198" s="128"/>
      <c r="DY198" s="128"/>
      <c r="DZ198" s="128"/>
      <c r="EA198" s="128"/>
      <c r="EB198" s="128"/>
      <c r="EC198" s="128"/>
      <c r="ED198" s="128"/>
      <c r="EE198" s="128"/>
      <c r="EF198" s="128"/>
      <c r="EG198" s="128"/>
      <c r="EH198" s="128"/>
      <c r="EI198" s="128"/>
      <c r="EJ198" s="128"/>
      <c r="EK198" s="128"/>
      <c r="EL198" s="128"/>
      <c r="EM198" s="128"/>
      <c r="EN198" s="128"/>
      <c r="EO198" s="128"/>
      <c r="EP198" s="128"/>
      <c r="EQ198" s="128"/>
    </row>
    <row r="199" spans="1:147" s="58" customFormat="1" ht="13" x14ac:dyDescent="0.25">
      <c r="A199" s="118"/>
      <c r="B199" s="126"/>
      <c r="C199" s="125"/>
      <c r="D199" s="125"/>
      <c r="E199" s="124">
        <v>0.2</v>
      </c>
      <c r="F199" s="124"/>
      <c r="G199" s="123"/>
      <c r="H199" s="119"/>
      <c r="I199" s="122"/>
      <c r="J199" s="118" t="s">
        <v>12</v>
      </c>
      <c r="K199" s="121"/>
      <c r="L199" s="120"/>
      <c r="M199" s="118"/>
      <c r="N199" s="118"/>
      <c r="O199" s="118"/>
      <c r="P199" s="117"/>
      <c r="Q199" s="119"/>
      <c r="R199" s="118"/>
      <c r="S199" s="117"/>
      <c r="T199" s="117"/>
      <c r="U199" s="23"/>
      <c r="V199" s="21"/>
      <c r="W199" s="22"/>
      <c r="X199" s="22"/>
      <c r="Y199" s="21"/>
      <c r="Z199" s="20"/>
      <c r="AA199" s="60"/>
      <c r="AB199" s="60"/>
      <c r="AC199" s="60"/>
      <c r="AD199" s="60"/>
      <c r="AE199" s="60"/>
      <c r="AF199" s="60"/>
      <c r="AG199" s="60"/>
      <c r="AH199" s="60"/>
      <c r="AI199" s="60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  <c r="BC199" s="59"/>
      <c r="BD199" s="59"/>
      <c r="BE199" s="59"/>
      <c r="BF199" s="59"/>
      <c r="BG199" s="59"/>
      <c r="BH199" s="59"/>
      <c r="BI199" s="59"/>
      <c r="BJ199" s="59"/>
      <c r="BK199" s="59"/>
      <c r="BL199" s="59"/>
      <c r="BM199" s="59"/>
      <c r="BN199" s="59"/>
      <c r="BO199" s="59"/>
      <c r="BP199" s="59"/>
      <c r="BQ199" s="59"/>
      <c r="BR199" s="59"/>
      <c r="BS199" s="59"/>
      <c r="BT199" s="59"/>
      <c r="BU199" s="59"/>
      <c r="BV199" s="59"/>
      <c r="BW199" s="59"/>
      <c r="BX199" s="59"/>
      <c r="BY199" s="59"/>
      <c r="BZ199" s="59"/>
      <c r="CA199" s="59"/>
      <c r="CB199" s="59"/>
      <c r="CC199" s="59"/>
      <c r="CD199" s="59"/>
      <c r="CE199" s="59"/>
      <c r="CF199" s="59"/>
      <c r="CG199" s="59"/>
      <c r="CH199" s="59"/>
      <c r="CI199" s="59"/>
      <c r="CJ199" s="59"/>
      <c r="CK199" s="59"/>
      <c r="CL199" s="59"/>
      <c r="CM199" s="59"/>
      <c r="CN199" s="59"/>
      <c r="CO199" s="59"/>
      <c r="CP199" s="59"/>
      <c r="CQ199" s="59"/>
      <c r="CR199" s="59"/>
      <c r="CS199" s="59"/>
      <c r="CT199" s="59"/>
      <c r="CU199" s="59"/>
      <c r="CV199" s="59"/>
      <c r="CW199" s="59"/>
      <c r="CX199" s="59"/>
      <c r="CY199" s="59"/>
      <c r="CZ199" s="59"/>
      <c r="DA199" s="59"/>
      <c r="DB199" s="59"/>
      <c r="DC199" s="59"/>
      <c r="DD199" s="59"/>
      <c r="DE199" s="59"/>
      <c r="DF199" s="59"/>
      <c r="DG199" s="59"/>
      <c r="DH199" s="59"/>
      <c r="DI199" s="59"/>
      <c r="DJ199" s="59"/>
      <c r="DK199" s="59"/>
      <c r="DL199" s="59"/>
      <c r="DM199" s="59"/>
      <c r="DN199" s="59"/>
      <c r="DO199" s="59"/>
      <c r="DP199" s="59"/>
      <c r="DQ199" s="59"/>
      <c r="DR199" s="59"/>
      <c r="DS199" s="59"/>
      <c r="DT199" s="59"/>
      <c r="DU199" s="59"/>
      <c r="DV199" s="59"/>
      <c r="DW199" s="59"/>
      <c r="DX199" s="59"/>
      <c r="DY199" s="59"/>
      <c r="DZ199" s="59"/>
      <c r="EA199" s="59"/>
      <c r="EB199" s="59"/>
      <c r="EC199" s="59"/>
      <c r="ED199" s="59"/>
      <c r="EE199" s="59"/>
      <c r="EF199" s="59"/>
      <c r="EG199" s="59"/>
      <c r="EH199" s="59"/>
      <c r="EI199" s="59"/>
      <c r="EJ199" s="59"/>
      <c r="EK199" s="59"/>
      <c r="EL199" s="59"/>
      <c r="EM199" s="59"/>
      <c r="EN199" s="59"/>
      <c r="EO199" s="59"/>
      <c r="EP199" s="59"/>
      <c r="EQ199" s="59"/>
    </row>
    <row r="200" spans="1:147" s="58" customFormat="1" ht="13" x14ac:dyDescent="0.25">
      <c r="A200" s="118"/>
      <c r="B200" s="126"/>
      <c r="C200" s="125"/>
      <c r="D200" s="125"/>
      <c r="E200" s="124">
        <v>1</v>
      </c>
      <c r="F200" s="124"/>
      <c r="G200" s="123"/>
      <c r="H200" s="119"/>
      <c r="I200" s="122"/>
      <c r="J200" s="118" t="s">
        <v>11</v>
      </c>
      <c r="K200" s="121"/>
      <c r="L200" s="120"/>
      <c r="M200" s="118"/>
      <c r="N200" s="118"/>
      <c r="O200" s="118"/>
      <c r="P200" s="117"/>
      <c r="Q200" s="119"/>
      <c r="R200" s="118"/>
      <c r="S200" s="117"/>
      <c r="T200" s="117"/>
      <c r="U200" s="23"/>
      <c r="V200" s="21"/>
      <c r="W200" s="22"/>
      <c r="X200" s="22"/>
      <c r="Y200" s="21"/>
      <c r="Z200" s="20"/>
      <c r="AA200" s="60"/>
      <c r="AB200" s="60"/>
      <c r="AC200" s="60"/>
      <c r="AD200" s="60"/>
      <c r="AE200" s="60"/>
      <c r="AF200" s="60"/>
      <c r="AG200" s="60"/>
      <c r="AH200" s="60"/>
      <c r="AI200" s="60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  <c r="BD200" s="59"/>
      <c r="BE200" s="59"/>
      <c r="BF200" s="59"/>
      <c r="BG200" s="59"/>
      <c r="BH200" s="59"/>
      <c r="BI200" s="59"/>
      <c r="BJ200" s="59"/>
      <c r="BK200" s="59"/>
      <c r="BL200" s="59"/>
      <c r="BM200" s="59"/>
      <c r="BN200" s="59"/>
      <c r="BO200" s="59"/>
      <c r="BP200" s="59"/>
      <c r="BQ200" s="59"/>
      <c r="BR200" s="59"/>
      <c r="BS200" s="59"/>
      <c r="BT200" s="59"/>
      <c r="BU200" s="59"/>
      <c r="BV200" s="59"/>
      <c r="BW200" s="59"/>
      <c r="BX200" s="59"/>
      <c r="BY200" s="59"/>
      <c r="BZ200" s="59"/>
      <c r="CA200" s="59"/>
      <c r="CB200" s="59"/>
      <c r="CC200" s="59"/>
      <c r="CD200" s="59"/>
      <c r="CE200" s="59"/>
      <c r="CF200" s="59"/>
      <c r="CG200" s="59"/>
      <c r="CH200" s="59"/>
      <c r="CI200" s="59"/>
      <c r="CJ200" s="59"/>
      <c r="CK200" s="59"/>
      <c r="CL200" s="59"/>
      <c r="CM200" s="59"/>
      <c r="CN200" s="59"/>
      <c r="CO200" s="59"/>
      <c r="CP200" s="59"/>
      <c r="CQ200" s="59"/>
      <c r="CR200" s="59"/>
      <c r="CS200" s="59"/>
      <c r="CT200" s="59"/>
      <c r="CU200" s="59"/>
      <c r="CV200" s="59"/>
      <c r="CW200" s="59"/>
      <c r="CX200" s="59"/>
      <c r="CY200" s="59"/>
      <c r="CZ200" s="59"/>
      <c r="DA200" s="59"/>
      <c r="DB200" s="59"/>
      <c r="DC200" s="59"/>
      <c r="DD200" s="59"/>
      <c r="DE200" s="59"/>
      <c r="DF200" s="59"/>
      <c r="DG200" s="59"/>
      <c r="DH200" s="59"/>
      <c r="DI200" s="59"/>
      <c r="DJ200" s="59"/>
      <c r="DK200" s="59"/>
      <c r="DL200" s="59"/>
      <c r="DM200" s="59"/>
      <c r="DN200" s="59"/>
      <c r="DO200" s="59"/>
      <c r="DP200" s="59"/>
      <c r="DQ200" s="59"/>
      <c r="DR200" s="59"/>
      <c r="DS200" s="59"/>
      <c r="DT200" s="59"/>
      <c r="DU200" s="59"/>
      <c r="DV200" s="59"/>
      <c r="DW200" s="59"/>
      <c r="DX200" s="59"/>
      <c r="DY200" s="59"/>
      <c r="DZ200" s="59"/>
      <c r="EA200" s="59"/>
      <c r="EB200" s="59"/>
      <c r="EC200" s="59"/>
      <c r="ED200" s="59"/>
      <c r="EE200" s="59"/>
      <c r="EF200" s="59"/>
      <c r="EG200" s="59"/>
      <c r="EH200" s="59"/>
      <c r="EI200" s="59"/>
      <c r="EJ200" s="59"/>
      <c r="EK200" s="59"/>
      <c r="EL200" s="59"/>
      <c r="EM200" s="59"/>
      <c r="EN200" s="59"/>
      <c r="EO200" s="59"/>
      <c r="EP200" s="59"/>
      <c r="EQ200" s="59"/>
    </row>
    <row r="201" spans="1:147" s="58" customFormat="1" ht="13" x14ac:dyDescent="0.25">
      <c r="B201" s="116"/>
      <c r="C201" s="115"/>
      <c r="D201" s="115"/>
      <c r="E201" s="114">
        <v>2</v>
      </c>
      <c r="F201" s="114"/>
      <c r="G201" s="113"/>
      <c r="H201" s="109"/>
      <c r="I201" s="112"/>
      <c r="J201" s="58" t="s">
        <v>10</v>
      </c>
      <c r="K201" s="111"/>
      <c r="L201" s="110"/>
      <c r="P201" s="108"/>
      <c r="Q201" s="109"/>
      <c r="S201" s="108"/>
      <c r="T201" s="108"/>
      <c r="U201" s="23"/>
      <c r="V201" s="21"/>
      <c r="W201" s="22"/>
      <c r="X201" s="22"/>
      <c r="Y201" s="21"/>
      <c r="Z201" s="20"/>
      <c r="AA201" s="60"/>
      <c r="AB201" s="60"/>
      <c r="AC201" s="60"/>
      <c r="AD201" s="60"/>
      <c r="AE201" s="60"/>
      <c r="AF201" s="60"/>
      <c r="AG201" s="60"/>
      <c r="AH201" s="60"/>
      <c r="AI201" s="60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  <c r="BC201" s="59"/>
      <c r="BD201" s="59"/>
      <c r="BE201" s="59"/>
      <c r="BF201" s="59"/>
      <c r="BG201" s="59"/>
      <c r="BH201" s="59"/>
      <c r="BI201" s="59"/>
      <c r="BJ201" s="59"/>
      <c r="BK201" s="59"/>
      <c r="BL201" s="59"/>
      <c r="BM201" s="59"/>
      <c r="BN201" s="59"/>
      <c r="BO201" s="59"/>
      <c r="BP201" s="59"/>
      <c r="BQ201" s="59"/>
      <c r="BR201" s="59"/>
      <c r="BS201" s="59"/>
      <c r="BT201" s="59"/>
      <c r="BU201" s="59"/>
      <c r="BV201" s="59"/>
      <c r="BW201" s="59"/>
      <c r="BX201" s="59"/>
      <c r="BY201" s="59"/>
      <c r="BZ201" s="59"/>
      <c r="CA201" s="59"/>
      <c r="CB201" s="59"/>
      <c r="CC201" s="59"/>
      <c r="CD201" s="59"/>
      <c r="CE201" s="59"/>
      <c r="CF201" s="59"/>
      <c r="CG201" s="59"/>
      <c r="CH201" s="59"/>
      <c r="CI201" s="59"/>
      <c r="CJ201" s="59"/>
      <c r="CK201" s="59"/>
      <c r="CL201" s="59"/>
      <c r="CM201" s="59"/>
      <c r="CN201" s="59"/>
      <c r="CO201" s="59"/>
      <c r="CP201" s="59"/>
      <c r="CQ201" s="59"/>
      <c r="CR201" s="59"/>
      <c r="CS201" s="59"/>
      <c r="CT201" s="59"/>
      <c r="CU201" s="59"/>
      <c r="CV201" s="59"/>
      <c r="CW201" s="59"/>
      <c r="CX201" s="59"/>
      <c r="CY201" s="59"/>
      <c r="CZ201" s="59"/>
      <c r="DA201" s="59"/>
      <c r="DB201" s="59"/>
      <c r="DC201" s="59"/>
      <c r="DD201" s="59"/>
      <c r="DE201" s="59"/>
      <c r="DF201" s="59"/>
      <c r="DG201" s="59"/>
      <c r="DH201" s="59"/>
      <c r="DI201" s="59"/>
      <c r="DJ201" s="59"/>
      <c r="DK201" s="59"/>
      <c r="DL201" s="59"/>
      <c r="DM201" s="59"/>
      <c r="DN201" s="59"/>
      <c r="DO201" s="59"/>
      <c r="DP201" s="59"/>
      <c r="DQ201" s="59"/>
      <c r="DR201" s="59"/>
      <c r="DS201" s="59"/>
      <c r="DT201" s="59"/>
      <c r="DU201" s="59"/>
      <c r="DV201" s="59"/>
      <c r="DW201" s="59"/>
      <c r="DX201" s="59"/>
      <c r="DY201" s="59"/>
      <c r="DZ201" s="59"/>
      <c r="EA201" s="59"/>
      <c r="EB201" s="59"/>
      <c r="EC201" s="59"/>
      <c r="ED201" s="59"/>
      <c r="EE201" s="59"/>
      <c r="EF201" s="59"/>
      <c r="EG201" s="59"/>
      <c r="EH201" s="59"/>
      <c r="EI201" s="59"/>
      <c r="EJ201" s="59"/>
      <c r="EK201" s="59"/>
      <c r="EL201" s="59"/>
      <c r="EM201" s="59"/>
      <c r="EN201" s="59"/>
      <c r="EO201" s="59"/>
      <c r="EP201" s="59"/>
      <c r="EQ201" s="59"/>
    </row>
    <row r="202" spans="1:147" ht="14.5" x14ac:dyDescent="0.25">
      <c r="A202" s="4"/>
      <c r="B202" s="45"/>
      <c r="C202" s="44"/>
      <c r="D202" s="43"/>
      <c r="E202" s="42"/>
      <c r="F202" s="42"/>
      <c r="G202" s="41"/>
      <c r="H202" s="38"/>
      <c r="I202" s="38"/>
      <c r="J202" s="40"/>
      <c r="K202" s="39"/>
      <c r="L202" s="39"/>
      <c r="M202" s="38"/>
      <c r="N202" s="36"/>
      <c r="O202" s="36"/>
      <c r="P202" s="35"/>
      <c r="Q202" s="37"/>
      <c r="R202" s="36"/>
      <c r="S202" s="35"/>
      <c r="T202" s="35"/>
      <c r="U202" s="23"/>
      <c r="V202" s="21"/>
      <c r="W202" s="22"/>
      <c r="X202" s="22"/>
      <c r="Y202" s="21"/>
      <c r="Z202" s="20"/>
    </row>
    <row r="203" spans="1:147" s="58" customFormat="1" ht="15.75" customHeight="1" x14ac:dyDescent="0.25">
      <c r="B203" s="95"/>
      <c r="C203" s="94"/>
      <c r="D203" s="94"/>
      <c r="E203" s="93"/>
      <c r="F203" s="92"/>
      <c r="G203" s="91">
        <v>1</v>
      </c>
      <c r="H203" s="90"/>
      <c r="I203" s="88"/>
      <c r="J203" s="87" t="s">
        <v>9</v>
      </c>
      <c r="K203" s="89"/>
      <c r="L203" s="89"/>
      <c r="M203" s="87"/>
      <c r="N203" s="87"/>
      <c r="O203" s="87"/>
      <c r="P203" s="86"/>
      <c r="Q203" s="88"/>
      <c r="R203" s="87"/>
      <c r="S203" s="86"/>
      <c r="T203" s="85"/>
      <c r="U203" s="23"/>
      <c r="V203" s="21"/>
      <c r="W203" s="22"/>
      <c r="X203" s="22"/>
      <c r="Y203" s="21"/>
      <c r="Z203" s="20"/>
      <c r="AA203" s="60"/>
      <c r="AB203" s="60"/>
      <c r="AC203" s="60"/>
      <c r="AD203" s="60"/>
      <c r="AE203" s="60"/>
      <c r="AF203" s="60"/>
      <c r="AG203" s="60"/>
      <c r="AH203" s="60"/>
      <c r="AI203" s="60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  <c r="BC203" s="59"/>
      <c r="BD203" s="59"/>
      <c r="BE203" s="59"/>
      <c r="BF203" s="59"/>
      <c r="BG203" s="59"/>
      <c r="BH203" s="59"/>
      <c r="BI203" s="59"/>
      <c r="BJ203" s="59"/>
      <c r="BK203" s="59"/>
      <c r="BL203" s="59"/>
      <c r="BM203" s="59"/>
      <c r="BN203" s="59"/>
      <c r="BO203" s="59"/>
      <c r="BP203" s="59"/>
      <c r="BQ203" s="59"/>
      <c r="BR203" s="59"/>
      <c r="BS203" s="59"/>
      <c r="BT203" s="59"/>
      <c r="BU203" s="59"/>
      <c r="BV203" s="59"/>
      <c r="BW203" s="59"/>
      <c r="BX203" s="59"/>
      <c r="BY203" s="59"/>
      <c r="BZ203" s="59"/>
      <c r="CA203" s="59"/>
      <c r="CB203" s="59"/>
      <c r="CC203" s="59"/>
      <c r="CD203" s="59"/>
      <c r="CE203" s="59"/>
      <c r="CF203" s="59"/>
      <c r="CG203" s="59"/>
      <c r="CH203" s="59"/>
      <c r="CI203" s="59"/>
      <c r="CJ203" s="59"/>
      <c r="CK203" s="59"/>
      <c r="CL203" s="59"/>
      <c r="CM203" s="59"/>
      <c r="CN203" s="59"/>
      <c r="CO203" s="59"/>
      <c r="CP203" s="59"/>
      <c r="CQ203" s="59"/>
      <c r="CR203" s="59"/>
      <c r="CS203" s="59"/>
      <c r="CT203" s="59"/>
      <c r="CU203" s="59"/>
      <c r="CV203" s="59"/>
      <c r="CW203" s="59"/>
      <c r="CX203" s="59"/>
      <c r="CY203" s="59"/>
      <c r="CZ203" s="59"/>
      <c r="DA203" s="59"/>
      <c r="DB203" s="59"/>
      <c r="DC203" s="59"/>
      <c r="DD203" s="59"/>
      <c r="DE203" s="59"/>
      <c r="DF203" s="59"/>
      <c r="DG203" s="59"/>
      <c r="DH203" s="59"/>
      <c r="DI203" s="59"/>
      <c r="DJ203" s="59"/>
      <c r="DK203" s="59"/>
      <c r="DL203" s="59"/>
      <c r="DM203" s="59"/>
      <c r="DN203" s="59"/>
      <c r="DO203" s="59"/>
      <c r="DP203" s="59"/>
      <c r="DQ203" s="59"/>
      <c r="DR203" s="59"/>
      <c r="DS203" s="59"/>
      <c r="DT203" s="59"/>
      <c r="DU203" s="59"/>
      <c r="DV203" s="59"/>
      <c r="DW203" s="59"/>
      <c r="DX203" s="59"/>
      <c r="DY203" s="59"/>
      <c r="DZ203" s="59"/>
      <c r="EA203" s="59"/>
      <c r="EB203" s="59"/>
      <c r="EC203" s="59"/>
      <c r="ED203" s="59"/>
      <c r="EE203" s="59"/>
      <c r="EF203" s="59"/>
      <c r="EG203" s="59"/>
      <c r="EH203" s="59"/>
      <c r="EI203" s="59"/>
      <c r="EJ203" s="59"/>
      <c r="EK203" s="59"/>
      <c r="EL203" s="59"/>
      <c r="EM203" s="59"/>
      <c r="EN203" s="59"/>
      <c r="EO203" s="59"/>
      <c r="EP203" s="59"/>
      <c r="EQ203" s="59"/>
    </row>
    <row r="204" spans="1:147" s="58" customFormat="1" ht="15.75" customHeight="1" x14ac:dyDescent="0.25">
      <c r="B204" s="95"/>
      <c r="C204" s="94"/>
      <c r="D204" s="94"/>
      <c r="E204" s="93"/>
      <c r="F204" s="92"/>
      <c r="G204" s="91">
        <v>1</v>
      </c>
      <c r="H204" s="90"/>
      <c r="I204" s="88"/>
      <c r="J204" s="87" t="s">
        <v>8</v>
      </c>
      <c r="K204" s="89"/>
      <c r="L204" s="89"/>
      <c r="M204" s="87"/>
      <c r="N204" s="87"/>
      <c r="O204" s="87"/>
      <c r="P204" s="86"/>
      <c r="Q204" s="88"/>
      <c r="R204" s="87"/>
      <c r="S204" s="86"/>
      <c r="T204" s="85"/>
      <c r="U204" s="23"/>
      <c r="V204" s="21"/>
      <c r="W204" s="22"/>
      <c r="X204" s="22"/>
      <c r="Y204" s="21"/>
      <c r="Z204" s="20"/>
      <c r="AA204" s="60"/>
      <c r="AB204" s="60"/>
      <c r="AC204" s="60"/>
      <c r="AD204" s="60"/>
      <c r="AE204" s="60"/>
      <c r="AF204" s="60"/>
      <c r="AG204" s="60"/>
      <c r="AH204" s="60"/>
      <c r="AI204" s="60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  <c r="BA204" s="59"/>
      <c r="BB204" s="59"/>
      <c r="BC204" s="59"/>
      <c r="BD204" s="59"/>
      <c r="BE204" s="59"/>
      <c r="BF204" s="59"/>
      <c r="BG204" s="59"/>
      <c r="BH204" s="59"/>
      <c r="BI204" s="59"/>
      <c r="BJ204" s="59"/>
      <c r="BK204" s="59"/>
      <c r="BL204" s="59"/>
      <c r="BM204" s="59"/>
      <c r="BN204" s="59"/>
      <c r="BO204" s="59"/>
      <c r="BP204" s="59"/>
      <c r="BQ204" s="59"/>
      <c r="BR204" s="59"/>
      <c r="BS204" s="59"/>
      <c r="BT204" s="59"/>
      <c r="BU204" s="59"/>
      <c r="BV204" s="59"/>
      <c r="BW204" s="59"/>
      <c r="BX204" s="59"/>
      <c r="BY204" s="59"/>
      <c r="BZ204" s="59"/>
      <c r="CA204" s="59"/>
      <c r="CB204" s="59"/>
      <c r="CC204" s="59"/>
      <c r="CD204" s="59"/>
      <c r="CE204" s="59"/>
      <c r="CF204" s="59"/>
      <c r="CG204" s="59"/>
      <c r="CH204" s="59"/>
      <c r="CI204" s="59"/>
      <c r="CJ204" s="59"/>
      <c r="CK204" s="59"/>
      <c r="CL204" s="59"/>
      <c r="CM204" s="59"/>
      <c r="CN204" s="59"/>
      <c r="CO204" s="59"/>
      <c r="CP204" s="59"/>
      <c r="CQ204" s="59"/>
      <c r="CR204" s="59"/>
      <c r="CS204" s="59"/>
      <c r="CT204" s="59"/>
      <c r="CU204" s="59"/>
      <c r="CV204" s="59"/>
      <c r="CW204" s="59"/>
      <c r="CX204" s="59"/>
      <c r="CY204" s="59"/>
      <c r="CZ204" s="59"/>
      <c r="DA204" s="59"/>
      <c r="DB204" s="59"/>
      <c r="DC204" s="59"/>
      <c r="DD204" s="59"/>
      <c r="DE204" s="59"/>
      <c r="DF204" s="59"/>
      <c r="DG204" s="59"/>
      <c r="DH204" s="59"/>
      <c r="DI204" s="59"/>
      <c r="DJ204" s="59"/>
      <c r="DK204" s="59"/>
      <c r="DL204" s="59"/>
      <c r="DM204" s="59"/>
      <c r="DN204" s="59"/>
      <c r="DO204" s="59"/>
      <c r="DP204" s="59"/>
      <c r="DQ204" s="59"/>
      <c r="DR204" s="59"/>
      <c r="DS204" s="59"/>
      <c r="DT204" s="59"/>
      <c r="DU204" s="59"/>
      <c r="DV204" s="59"/>
      <c r="DW204" s="59"/>
      <c r="DX204" s="59"/>
      <c r="DY204" s="59"/>
      <c r="DZ204" s="59"/>
      <c r="EA204" s="59"/>
      <c r="EB204" s="59"/>
      <c r="EC204" s="59"/>
      <c r="ED204" s="59"/>
      <c r="EE204" s="59"/>
      <c r="EF204" s="59"/>
      <c r="EG204" s="59"/>
      <c r="EH204" s="59"/>
      <c r="EI204" s="59"/>
      <c r="EJ204" s="59"/>
      <c r="EK204" s="59"/>
      <c r="EL204" s="59"/>
      <c r="EM204" s="59"/>
      <c r="EN204" s="59"/>
      <c r="EO204" s="59"/>
      <c r="EP204" s="59"/>
      <c r="EQ204" s="59"/>
    </row>
    <row r="205" spans="1:147" ht="14.5" x14ac:dyDescent="0.25">
      <c r="A205" s="4"/>
      <c r="B205" s="45"/>
      <c r="C205" s="44"/>
      <c r="D205" s="43"/>
      <c r="E205" s="42"/>
      <c r="F205" s="42"/>
      <c r="G205" s="41"/>
      <c r="H205" s="38"/>
      <c r="I205" s="38"/>
      <c r="J205" s="40"/>
      <c r="K205" s="39"/>
      <c r="L205" s="39"/>
      <c r="M205" s="38"/>
      <c r="N205" s="36"/>
      <c r="O205" s="36"/>
      <c r="P205" s="35"/>
      <c r="Q205" s="37"/>
      <c r="R205" s="36"/>
      <c r="S205" s="35"/>
      <c r="T205" s="35"/>
      <c r="U205" s="23"/>
      <c r="V205" s="21"/>
      <c r="W205" s="22"/>
      <c r="X205" s="22"/>
      <c r="Y205" s="21"/>
      <c r="Z205" s="20"/>
    </row>
    <row r="206" spans="1:147" ht="14.5" x14ac:dyDescent="0.25">
      <c r="A206" s="4"/>
      <c r="B206" s="45"/>
      <c r="C206" s="44"/>
      <c r="D206" s="43"/>
      <c r="E206" s="42"/>
      <c r="F206" s="42"/>
      <c r="G206" s="41"/>
      <c r="H206" s="38"/>
      <c r="I206" s="38"/>
      <c r="J206" s="40"/>
      <c r="K206" s="39"/>
      <c r="L206" s="39"/>
      <c r="M206" s="38"/>
      <c r="N206" s="36"/>
      <c r="O206" s="36"/>
      <c r="P206" s="35"/>
      <c r="Q206" s="37"/>
      <c r="R206" s="36"/>
      <c r="S206" s="35"/>
      <c r="T206" s="35"/>
      <c r="U206" s="23"/>
      <c r="V206" s="21"/>
      <c r="W206" s="22"/>
      <c r="X206" s="22"/>
      <c r="Y206" s="21"/>
      <c r="Z206" s="20"/>
    </row>
    <row r="207" spans="1:147" ht="13" x14ac:dyDescent="0.25">
      <c r="A207" s="4"/>
      <c r="B207" s="107"/>
      <c r="C207" s="106"/>
      <c r="D207" s="106"/>
      <c r="E207" s="105"/>
      <c r="F207" s="105"/>
      <c r="G207" s="104"/>
      <c r="H207" s="103"/>
      <c r="I207" s="103"/>
      <c r="J207" s="102"/>
      <c r="K207" s="101"/>
      <c r="L207" s="101"/>
      <c r="M207" s="100"/>
      <c r="N207" s="100"/>
      <c r="O207" s="100"/>
      <c r="P207" s="98"/>
      <c r="Q207" s="99"/>
      <c r="R207" s="98"/>
      <c r="S207" s="97"/>
      <c r="T207" s="96"/>
      <c r="U207" s="23"/>
      <c r="V207" s="21"/>
      <c r="W207" s="22"/>
      <c r="X207" s="22"/>
      <c r="Y207" s="21"/>
      <c r="Z207" s="20"/>
    </row>
    <row r="208" spans="1:147" ht="14.5" x14ac:dyDescent="0.25">
      <c r="A208" s="4"/>
      <c r="B208" s="45"/>
      <c r="C208" s="44"/>
      <c r="D208" s="43"/>
      <c r="E208" s="42"/>
      <c r="F208" s="42"/>
      <c r="G208" s="41"/>
      <c r="H208" s="38"/>
      <c r="I208" s="38"/>
      <c r="J208" s="40"/>
      <c r="K208" s="39"/>
      <c r="L208" s="39"/>
      <c r="M208" s="38"/>
      <c r="N208" s="36"/>
      <c r="O208" s="36"/>
      <c r="P208" s="35"/>
      <c r="Q208" s="37"/>
      <c r="R208" s="36"/>
      <c r="S208" s="35"/>
      <c r="T208" s="35"/>
      <c r="U208" s="23"/>
      <c r="V208" s="21"/>
      <c r="W208" s="22"/>
      <c r="X208" s="22"/>
      <c r="Y208" s="21"/>
      <c r="Z208" s="20"/>
    </row>
    <row r="209" spans="1:147" s="58" customFormat="1" ht="13" x14ac:dyDescent="0.25">
      <c r="B209" s="95"/>
      <c r="C209" s="94"/>
      <c r="D209" s="94"/>
      <c r="E209" s="93"/>
      <c r="F209" s="92"/>
      <c r="G209" s="91"/>
      <c r="H209" s="90"/>
      <c r="I209" s="88"/>
      <c r="J209" s="87" t="s">
        <v>7</v>
      </c>
      <c r="K209" s="89"/>
      <c r="L209" s="89"/>
      <c r="M209" s="87"/>
      <c r="N209" s="87"/>
      <c r="O209" s="87"/>
      <c r="P209" s="86"/>
      <c r="Q209" s="88"/>
      <c r="R209" s="87"/>
      <c r="S209" s="86"/>
      <c r="T209" s="85"/>
      <c r="U209" s="23"/>
      <c r="V209" s="21"/>
      <c r="W209" s="22"/>
      <c r="X209" s="22"/>
      <c r="Y209" s="21"/>
      <c r="Z209" s="20"/>
      <c r="AA209" s="60"/>
      <c r="AB209" s="60"/>
      <c r="AC209" s="60"/>
      <c r="AD209" s="60"/>
      <c r="AE209" s="60"/>
      <c r="AF209" s="60"/>
      <c r="AG209" s="60"/>
      <c r="AH209" s="60"/>
      <c r="AI209" s="60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  <c r="BC209" s="59"/>
      <c r="BD209" s="59"/>
      <c r="BE209" s="59"/>
      <c r="BF209" s="59"/>
      <c r="BG209" s="59"/>
      <c r="BH209" s="59"/>
      <c r="BI209" s="59"/>
      <c r="BJ209" s="59"/>
      <c r="BK209" s="59"/>
      <c r="BL209" s="59"/>
      <c r="BM209" s="59"/>
      <c r="BN209" s="59"/>
      <c r="BO209" s="59"/>
      <c r="BP209" s="59"/>
      <c r="BQ209" s="59"/>
      <c r="BR209" s="59"/>
      <c r="BS209" s="59"/>
      <c r="BT209" s="59"/>
      <c r="BU209" s="59"/>
      <c r="BV209" s="59"/>
      <c r="BW209" s="59"/>
      <c r="BX209" s="59"/>
      <c r="BY209" s="59"/>
      <c r="BZ209" s="59"/>
      <c r="CA209" s="59"/>
      <c r="CB209" s="59"/>
      <c r="CC209" s="59"/>
      <c r="CD209" s="59"/>
      <c r="CE209" s="59"/>
      <c r="CF209" s="59"/>
      <c r="CG209" s="59"/>
      <c r="CH209" s="59"/>
      <c r="CI209" s="59"/>
      <c r="CJ209" s="59"/>
      <c r="CK209" s="59"/>
      <c r="CL209" s="59"/>
      <c r="CM209" s="59"/>
      <c r="CN209" s="59"/>
      <c r="CO209" s="59"/>
      <c r="CP209" s="59"/>
      <c r="CQ209" s="59"/>
      <c r="CR209" s="59"/>
      <c r="CS209" s="59"/>
      <c r="CT209" s="59"/>
      <c r="CU209" s="59"/>
      <c r="CV209" s="59"/>
      <c r="CW209" s="59"/>
      <c r="CX209" s="59"/>
      <c r="CY209" s="59"/>
      <c r="CZ209" s="59"/>
      <c r="DA209" s="59"/>
      <c r="DB209" s="59"/>
      <c r="DC209" s="59"/>
      <c r="DD209" s="59"/>
      <c r="DE209" s="59"/>
      <c r="DF209" s="59"/>
      <c r="DG209" s="59"/>
      <c r="DH209" s="59"/>
      <c r="DI209" s="59"/>
      <c r="DJ209" s="59"/>
      <c r="DK209" s="59"/>
      <c r="DL209" s="59"/>
      <c r="DM209" s="59"/>
      <c r="DN209" s="59"/>
      <c r="DO209" s="59"/>
      <c r="DP209" s="59"/>
      <c r="DQ209" s="59"/>
      <c r="DR209" s="59"/>
      <c r="DS209" s="59"/>
      <c r="DT209" s="59"/>
      <c r="DU209" s="59"/>
      <c r="DV209" s="59"/>
      <c r="DW209" s="59"/>
      <c r="DX209" s="59"/>
      <c r="DY209" s="59"/>
      <c r="DZ209" s="59"/>
      <c r="EA209" s="59"/>
      <c r="EB209" s="59"/>
      <c r="EC209" s="59"/>
      <c r="ED209" s="59"/>
      <c r="EE209" s="59"/>
      <c r="EF209" s="59"/>
      <c r="EG209" s="59"/>
      <c r="EH209" s="59"/>
      <c r="EI209" s="59"/>
      <c r="EJ209" s="59"/>
      <c r="EK209" s="59"/>
      <c r="EL209" s="59"/>
      <c r="EM209" s="59"/>
      <c r="EN209" s="59"/>
      <c r="EO209" s="59"/>
      <c r="EP209" s="59"/>
      <c r="EQ209" s="59"/>
    </row>
    <row r="210" spans="1:147" ht="15" thickBot="1" x14ac:dyDescent="0.3">
      <c r="A210" s="4"/>
      <c r="B210" s="45"/>
      <c r="C210" s="44"/>
      <c r="D210" s="43"/>
      <c r="E210" s="42"/>
      <c r="F210" s="42"/>
      <c r="G210" s="41"/>
      <c r="H210" s="38"/>
      <c r="I210" s="38"/>
      <c r="J210" s="40"/>
      <c r="K210" s="39"/>
      <c r="L210" s="39"/>
      <c r="M210" s="38"/>
      <c r="N210" s="36"/>
      <c r="O210" s="36"/>
      <c r="P210" s="35"/>
      <c r="Q210" s="37"/>
      <c r="R210" s="36"/>
      <c r="S210" s="35"/>
      <c r="T210" s="35"/>
      <c r="U210" s="23"/>
      <c r="V210" s="21"/>
      <c r="W210" s="22"/>
      <c r="X210" s="22"/>
      <c r="Y210" s="21"/>
      <c r="Z210" s="20"/>
    </row>
    <row r="211" spans="1:147" ht="15" thickBot="1" x14ac:dyDescent="0.3">
      <c r="A211" s="4"/>
      <c r="B211" s="45"/>
      <c r="C211" s="44"/>
      <c r="D211" s="43"/>
      <c r="E211" s="42"/>
      <c r="F211" s="42"/>
      <c r="G211" s="41"/>
      <c r="H211" s="38"/>
      <c r="I211" s="38"/>
      <c r="J211" s="40"/>
      <c r="K211" s="39"/>
      <c r="L211" s="39"/>
      <c r="M211" s="38"/>
      <c r="N211" s="36"/>
      <c r="O211" s="36"/>
      <c r="P211" s="35"/>
      <c r="Q211" s="37"/>
      <c r="R211" s="36"/>
      <c r="S211" s="84" t="s">
        <v>6</v>
      </c>
      <c r="T211" s="35"/>
      <c r="U211" s="23"/>
      <c r="V211" s="21"/>
      <c r="W211" s="22"/>
      <c r="X211" s="22"/>
      <c r="Y211" s="21"/>
      <c r="Z211" s="20"/>
    </row>
    <row r="212" spans="1:147" ht="26.5" thickBot="1" x14ac:dyDescent="0.3">
      <c r="A212" s="4"/>
      <c r="B212" s="45"/>
      <c r="C212" s="44"/>
      <c r="D212" s="43"/>
      <c r="E212" s="42"/>
      <c r="F212" s="42"/>
      <c r="G212" s="41"/>
      <c r="H212" s="38"/>
      <c r="I212" s="38"/>
      <c r="J212" s="40"/>
      <c r="K212" s="39"/>
      <c r="L212" s="39"/>
      <c r="M212" s="38"/>
      <c r="N212" s="36"/>
      <c r="O212" s="36"/>
      <c r="P212" s="35"/>
      <c r="Q212" s="37"/>
      <c r="R212" s="36"/>
      <c r="S212" s="82" t="s">
        <v>5</v>
      </c>
      <c r="T212" s="35"/>
      <c r="U212" s="23"/>
      <c r="V212" s="21"/>
      <c r="W212" s="22"/>
      <c r="X212" s="22"/>
      <c r="Y212" s="21"/>
      <c r="Z212" s="20"/>
    </row>
    <row r="213" spans="1:147" ht="25.5" thickBot="1" x14ac:dyDescent="0.3">
      <c r="A213" s="4"/>
      <c r="B213" s="45"/>
      <c r="C213" s="44"/>
      <c r="D213" s="43"/>
      <c r="E213" s="42"/>
      <c r="F213" s="42"/>
      <c r="G213" s="41"/>
      <c r="H213" s="38"/>
      <c r="I213" s="38"/>
      <c r="J213" s="40"/>
      <c r="K213" s="39"/>
      <c r="L213" s="39"/>
      <c r="M213" s="38"/>
      <c r="N213" s="36"/>
      <c r="O213" s="36"/>
      <c r="P213" s="35"/>
      <c r="Q213" s="37"/>
      <c r="R213" s="36"/>
      <c r="S213" s="83" t="s">
        <v>4</v>
      </c>
      <c r="T213" s="35"/>
      <c r="U213" s="23"/>
      <c r="V213" s="21"/>
      <c r="W213" s="22"/>
      <c r="X213" s="22"/>
      <c r="Y213" s="21"/>
      <c r="Z213" s="20"/>
    </row>
    <row r="214" spans="1:147" ht="39.5" thickBot="1" x14ac:dyDescent="0.3">
      <c r="A214" s="4"/>
      <c r="B214" s="45"/>
      <c r="C214" s="44"/>
      <c r="D214" s="43"/>
      <c r="E214" s="42"/>
      <c r="F214" s="42"/>
      <c r="G214" s="41"/>
      <c r="H214" s="38"/>
      <c r="I214" s="38"/>
      <c r="J214" s="40"/>
      <c r="K214" s="39"/>
      <c r="L214" s="39"/>
      <c r="M214" s="38"/>
      <c r="N214" s="36"/>
      <c r="O214" s="36"/>
      <c r="P214" s="35"/>
      <c r="Q214" s="37"/>
      <c r="R214" s="36"/>
      <c r="S214" s="82" t="s">
        <v>3</v>
      </c>
      <c r="T214" s="35"/>
      <c r="U214" s="23"/>
      <c r="V214" s="21"/>
      <c r="W214" s="22"/>
      <c r="X214" s="22"/>
      <c r="Y214" s="21"/>
      <c r="Z214" s="20"/>
    </row>
    <row r="215" spans="1:147" ht="14.5" x14ac:dyDescent="0.25">
      <c r="A215" s="4"/>
      <c r="B215" s="45"/>
      <c r="C215" s="44"/>
      <c r="D215" s="43"/>
      <c r="E215" s="42"/>
      <c r="F215" s="42"/>
      <c r="G215" s="41"/>
      <c r="H215" s="38"/>
      <c r="I215" s="38"/>
      <c r="J215" s="40"/>
      <c r="K215" s="39"/>
      <c r="L215" s="39"/>
      <c r="M215" s="38"/>
      <c r="N215" s="36"/>
      <c r="O215" s="36"/>
      <c r="P215" s="35"/>
      <c r="Q215" s="37"/>
      <c r="R215" s="36"/>
      <c r="S215" s="35"/>
      <c r="T215" s="35"/>
      <c r="U215" s="23"/>
      <c r="V215" s="21"/>
      <c r="W215" s="22"/>
      <c r="X215" s="22"/>
      <c r="Y215" s="21"/>
      <c r="Z215" s="20"/>
    </row>
    <row r="216" spans="1:147" ht="14.5" x14ac:dyDescent="0.25">
      <c r="A216" s="4"/>
      <c r="B216" s="45"/>
      <c r="C216" s="44"/>
      <c r="D216" s="43"/>
      <c r="E216" s="42"/>
      <c r="F216" s="42"/>
      <c r="G216" s="41"/>
      <c r="H216" s="38"/>
      <c r="I216" s="38"/>
      <c r="J216" s="40"/>
      <c r="K216" s="39"/>
      <c r="L216" s="39"/>
      <c r="M216" s="38"/>
      <c r="N216" s="36"/>
      <c r="O216" s="36"/>
      <c r="P216" s="35"/>
      <c r="Q216" s="37"/>
      <c r="R216" s="36"/>
      <c r="S216" s="35"/>
      <c r="T216" s="35"/>
      <c r="U216" s="23"/>
      <c r="V216" s="21"/>
      <c r="W216" s="22"/>
      <c r="X216" s="22"/>
      <c r="Y216" s="21"/>
      <c r="Z216" s="20"/>
    </row>
    <row r="217" spans="1:147" ht="14.5" x14ac:dyDescent="0.25">
      <c r="A217" s="81"/>
      <c r="B217" s="80" t="s">
        <v>2</v>
      </c>
      <c r="C217" s="79"/>
      <c r="D217" s="78"/>
      <c r="E217" s="42"/>
      <c r="F217" s="77"/>
      <c r="G217" s="76"/>
      <c r="H217" s="73"/>
      <c r="I217" s="73"/>
      <c r="J217" s="75"/>
      <c r="K217" s="74"/>
      <c r="L217" s="74"/>
      <c r="M217" s="73"/>
      <c r="N217" s="71"/>
      <c r="O217" s="71"/>
      <c r="P217" s="70"/>
      <c r="Q217" s="72"/>
      <c r="R217" s="71"/>
      <c r="S217" s="70"/>
      <c r="T217" s="70"/>
      <c r="U217" s="23"/>
      <c r="V217" s="21"/>
      <c r="W217" s="22"/>
      <c r="X217" s="22"/>
      <c r="Y217" s="21"/>
      <c r="Z217" s="20"/>
    </row>
    <row r="218" spans="1:147" s="58" customFormat="1" ht="15.75" customHeight="1" x14ac:dyDescent="0.25">
      <c r="A218" s="69"/>
      <c r="B218" s="68"/>
      <c r="C218" s="64"/>
      <c r="D218" s="67"/>
      <c r="E218" s="66">
        <v>2.5</v>
      </c>
      <c r="F218" s="66"/>
      <c r="G218" s="65"/>
      <c r="H218" s="64"/>
      <c r="I218" s="64"/>
      <c r="J218" s="63"/>
      <c r="K218" s="63" t="s">
        <v>1</v>
      </c>
      <c r="L218" s="63"/>
      <c r="M218" s="63"/>
      <c r="N218" s="63"/>
      <c r="O218" s="63"/>
      <c r="P218" s="63"/>
      <c r="Q218" s="63"/>
      <c r="R218" s="63"/>
      <c r="S218" s="63"/>
      <c r="T218" s="62"/>
      <c r="U218" s="61"/>
      <c r="V218" s="21"/>
      <c r="W218" s="22"/>
      <c r="X218" s="22"/>
      <c r="Y218" s="21"/>
      <c r="Z218" s="20"/>
      <c r="AA218" s="60"/>
      <c r="AB218" s="60"/>
      <c r="AC218" s="60"/>
      <c r="AD218" s="60"/>
      <c r="AE218" s="60"/>
      <c r="AF218" s="60"/>
      <c r="AG218" s="60"/>
      <c r="AH218" s="60"/>
      <c r="AI218" s="60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  <c r="BC218" s="59"/>
      <c r="BD218" s="59"/>
      <c r="BE218" s="59"/>
      <c r="BF218" s="59"/>
      <c r="BG218" s="59"/>
      <c r="BH218" s="59"/>
      <c r="BI218" s="59"/>
      <c r="BJ218" s="59"/>
      <c r="BK218" s="59"/>
      <c r="BL218" s="59"/>
      <c r="BM218" s="59"/>
      <c r="BN218" s="59"/>
      <c r="BO218" s="59"/>
      <c r="BP218" s="59"/>
      <c r="BQ218" s="59"/>
      <c r="BR218" s="59"/>
      <c r="BS218" s="59"/>
      <c r="BT218" s="59"/>
      <c r="BU218" s="59"/>
      <c r="BV218" s="59"/>
      <c r="BW218" s="59"/>
      <c r="BX218" s="59"/>
      <c r="BY218" s="59"/>
      <c r="BZ218" s="59"/>
      <c r="CA218" s="59"/>
      <c r="CB218" s="59"/>
      <c r="CC218" s="59"/>
      <c r="CD218" s="59"/>
      <c r="CE218" s="59"/>
      <c r="CF218" s="59"/>
      <c r="CG218" s="59"/>
      <c r="CH218" s="59"/>
      <c r="CI218" s="59"/>
      <c r="CJ218" s="59"/>
      <c r="CK218" s="59"/>
      <c r="CL218" s="59"/>
      <c r="CM218" s="59"/>
      <c r="CN218" s="59"/>
      <c r="CO218" s="59"/>
      <c r="CP218" s="59"/>
      <c r="CQ218" s="59"/>
      <c r="CR218" s="59"/>
      <c r="CS218" s="59"/>
      <c r="CT218" s="59"/>
      <c r="CU218" s="59"/>
      <c r="CV218" s="59"/>
      <c r="CW218" s="59"/>
      <c r="CX218" s="59"/>
      <c r="CY218" s="59"/>
      <c r="CZ218" s="59"/>
      <c r="DA218" s="59"/>
      <c r="DB218" s="59"/>
      <c r="DC218" s="59"/>
      <c r="DD218" s="59"/>
      <c r="DE218" s="59"/>
      <c r="DF218" s="59"/>
      <c r="DG218" s="59"/>
      <c r="DH218" s="59"/>
      <c r="DI218" s="59"/>
      <c r="DJ218" s="59"/>
      <c r="DK218" s="59"/>
      <c r="DL218" s="59"/>
      <c r="DM218" s="59"/>
      <c r="DN218" s="59"/>
      <c r="DO218" s="59"/>
      <c r="DP218" s="59"/>
      <c r="DQ218" s="59"/>
      <c r="DR218" s="59"/>
      <c r="DS218" s="59"/>
      <c r="DT218" s="59"/>
      <c r="DU218" s="59"/>
      <c r="DV218" s="59"/>
      <c r="DW218" s="59"/>
      <c r="DX218" s="59"/>
      <c r="DY218" s="59"/>
      <c r="DZ218" s="59"/>
      <c r="EA218" s="59"/>
      <c r="EB218" s="59"/>
      <c r="EC218" s="59"/>
      <c r="ED218" s="59"/>
      <c r="EE218" s="59"/>
      <c r="EF218" s="59"/>
      <c r="EG218" s="59"/>
      <c r="EH218" s="59"/>
      <c r="EI218" s="59"/>
      <c r="EJ218" s="59"/>
      <c r="EK218" s="59"/>
      <c r="EL218" s="59"/>
      <c r="EM218" s="59"/>
      <c r="EN218" s="59"/>
      <c r="EO218" s="59"/>
      <c r="EP218" s="59"/>
      <c r="EQ218" s="59"/>
    </row>
    <row r="219" spans="1:147" ht="14.5" x14ac:dyDescent="0.25">
      <c r="A219" s="57"/>
      <c r="B219" s="56"/>
      <c r="C219" s="55"/>
      <c r="D219" s="54"/>
      <c r="E219" s="42"/>
      <c r="F219" s="53"/>
      <c r="G219" s="52"/>
      <c r="H219" s="49"/>
      <c r="I219" s="49"/>
      <c r="J219" s="51"/>
      <c r="K219" s="50"/>
      <c r="L219" s="50"/>
      <c r="M219" s="49"/>
      <c r="N219" s="47"/>
      <c r="O219" s="47"/>
      <c r="P219" s="46"/>
      <c r="Q219" s="48"/>
      <c r="R219" s="47"/>
      <c r="S219" s="46"/>
      <c r="T219" s="46"/>
      <c r="U219" s="23"/>
      <c r="V219" s="21"/>
      <c r="W219" s="22"/>
      <c r="X219" s="22"/>
      <c r="Y219" s="21"/>
      <c r="Z219" s="20"/>
    </row>
    <row r="220" spans="1:147" ht="14.5" x14ac:dyDescent="0.25">
      <c r="A220" s="4"/>
      <c r="B220" s="45"/>
      <c r="C220" s="44"/>
      <c r="D220" s="43"/>
      <c r="E220" s="42"/>
      <c r="F220" s="42"/>
      <c r="G220" s="41"/>
      <c r="H220" s="38"/>
      <c r="I220" s="38"/>
      <c r="J220" s="40"/>
      <c r="K220" s="39"/>
      <c r="L220" s="39"/>
      <c r="M220" s="38"/>
      <c r="N220" s="36"/>
      <c r="O220" s="36"/>
      <c r="P220" s="35"/>
      <c r="Q220" s="37"/>
      <c r="R220" s="36"/>
      <c r="S220" s="35"/>
      <c r="T220" s="35"/>
      <c r="U220" s="23"/>
      <c r="V220" s="21"/>
      <c r="W220" s="22"/>
      <c r="X220" s="22"/>
      <c r="Y220" s="21"/>
      <c r="Z220" s="20"/>
    </row>
    <row r="221" spans="1:147" ht="14.5" x14ac:dyDescent="0.25">
      <c r="A221" s="4"/>
      <c r="B221" s="45" t="s">
        <v>0</v>
      </c>
      <c r="C221" s="44"/>
      <c r="D221" s="43"/>
      <c r="E221" s="42"/>
      <c r="F221" s="42"/>
      <c r="G221" s="41"/>
      <c r="H221" s="38"/>
      <c r="I221" s="38"/>
      <c r="J221" s="40"/>
      <c r="K221" s="39"/>
      <c r="L221" s="39"/>
      <c r="M221" s="38"/>
      <c r="N221" s="36"/>
      <c r="O221" s="36"/>
      <c r="P221" s="35"/>
      <c r="Q221" s="37"/>
      <c r="R221" s="36"/>
      <c r="S221" s="35"/>
      <c r="T221" s="35"/>
      <c r="U221" s="23"/>
      <c r="V221" s="21"/>
      <c r="W221" s="22"/>
      <c r="X221" s="22"/>
      <c r="Y221" s="21"/>
      <c r="Z221" s="20"/>
    </row>
    <row r="222" spans="1:147" ht="14.5" x14ac:dyDescent="0.25">
      <c r="A222" s="4"/>
      <c r="B222" s="45"/>
      <c r="C222" s="44"/>
      <c r="D222" s="43"/>
      <c r="E222" s="42"/>
      <c r="F222" s="42"/>
      <c r="G222" s="41"/>
      <c r="H222" s="38"/>
      <c r="I222" s="38"/>
      <c r="J222" s="40"/>
      <c r="K222" s="39"/>
      <c r="L222" s="39"/>
      <c r="M222" s="38"/>
      <c r="N222" s="36"/>
      <c r="O222" s="36"/>
      <c r="P222" s="35"/>
      <c r="Q222" s="37"/>
      <c r="R222" s="36"/>
      <c r="S222" s="35"/>
      <c r="T222" s="35"/>
      <c r="U222" s="23"/>
      <c r="V222" s="21"/>
      <c r="W222" s="22"/>
      <c r="X222" s="22"/>
      <c r="Y222" s="21"/>
      <c r="Z222" s="20"/>
    </row>
    <row r="223" spans="1:147" ht="14.5" x14ac:dyDescent="0.25">
      <c r="A223" s="4"/>
      <c r="B223" s="45"/>
      <c r="C223" s="44"/>
      <c r="D223" s="43"/>
      <c r="E223" s="42"/>
      <c r="F223" s="42"/>
      <c r="G223" s="41"/>
      <c r="H223" s="38"/>
      <c r="I223" s="38"/>
      <c r="J223" s="40"/>
      <c r="K223" s="39"/>
      <c r="L223" s="39"/>
      <c r="M223" s="38"/>
      <c r="N223" s="36"/>
      <c r="O223" s="36"/>
      <c r="P223" s="35"/>
      <c r="Q223" s="37"/>
      <c r="R223" s="36"/>
      <c r="S223" s="35"/>
      <c r="T223" s="35"/>
      <c r="U223" s="23"/>
      <c r="V223" s="21"/>
      <c r="W223" s="22"/>
      <c r="X223" s="22"/>
      <c r="Y223" s="21"/>
      <c r="Z223" s="20"/>
    </row>
    <row r="224" spans="1:147" ht="14.5" x14ac:dyDescent="0.25">
      <c r="A224" s="4"/>
      <c r="B224" s="45"/>
      <c r="C224" s="44"/>
      <c r="D224" s="43"/>
      <c r="E224" s="42"/>
      <c r="F224" s="42"/>
      <c r="G224" s="41"/>
      <c r="H224" s="38"/>
      <c r="I224" s="38"/>
      <c r="J224" s="40"/>
      <c r="K224" s="39"/>
      <c r="L224" s="39"/>
      <c r="M224" s="38"/>
      <c r="N224" s="36"/>
      <c r="O224" s="36"/>
      <c r="P224" s="35"/>
      <c r="Q224" s="37"/>
      <c r="R224" s="36"/>
      <c r="S224" s="35"/>
      <c r="T224" s="35"/>
      <c r="U224" s="23"/>
      <c r="V224" s="21"/>
      <c r="W224" s="22"/>
      <c r="X224" s="22"/>
      <c r="Y224" s="21"/>
      <c r="Z224" s="20"/>
    </row>
    <row r="225" spans="1:147" ht="14.5" x14ac:dyDescent="0.25">
      <c r="A225" s="4"/>
      <c r="B225" s="45"/>
      <c r="C225" s="44"/>
      <c r="D225" s="43"/>
      <c r="E225" s="42"/>
      <c r="F225" s="42"/>
      <c r="G225" s="41"/>
      <c r="H225" s="38"/>
      <c r="I225" s="38"/>
      <c r="J225" s="40"/>
      <c r="K225" s="39"/>
      <c r="L225" s="39"/>
      <c r="M225" s="38"/>
      <c r="N225" s="36"/>
      <c r="O225" s="36"/>
      <c r="P225" s="35"/>
      <c r="Q225" s="37"/>
      <c r="R225" s="36"/>
      <c r="S225" s="35"/>
      <c r="T225" s="35"/>
      <c r="U225" s="23"/>
      <c r="V225" s="21"/>
      <c r="W225" s="22"/>
      <c r="X225" s="22"/>
      <c r="Y225" s="21"/>
      <c r="Z225" s="20"/>
    </row>
    <row r="226" spans="1:147" ht="14.5" x14ac:dyDescent="0.25">
      <c r="A226" s="4"/>
      <c r="B226" s="45"/>
      <c r="C226" s="44"/>
      <c r="D226" s="43"/>
      <c r="E226" s="42"/>
      <c r="F226" s="42"/>
      <c r="G226" s="41"/>
      <c r="H226" s="38"/>
      <c r="I226" s="38"/>
      <c r="J226" s="40"/>
      <c r="K226" s="39"/>
      <c r="L226" s="39"/>
      <c r="M226" s="38"/>
      <c r="N226" s="36"/>
      <c r="O226" s="36"/>
      <c r="P226" s="35"/>
      <c r="Q226" s="37"/>
      <c r="R226" s="36"/>
      <c r="S226" s="35"/>
      <c r="T226" s="35"/>
      <c r="U226" s="23"/>
      <c r="V226" s="21"/>
      <c r="W226" s="22"/>
      <c r="X226" s="22"/>
      <c r="Y226" s="21"/>
      <c r="Z226" s="20"/>
    </row>
    <row r="227" spans="1:147" ht="14.5" x14ac:dyDescent="0.25">
      <c r="A227" s="4"/>
      <c r="B227" s="45"/>
      <c r="C227" s="44"/>
      <c r="D227" s="43"/>
      <c r="E227" s="42"/>
      <c r="F227" s="42"/>
      <c r="G227" s="41"/>
      <c r="H227" s="38"/>
      <c r="I227" s="38"/>
      <c r="J227" s="40"/>
      <c r="K227" s="39"/>
      <c r="L227" s="39"/>
      <c r="M227" s="38"/>
      <c r="N227" s="36"/>
      <c r="O227" s="36"/>
      <c r="P227" s="35"/>
      <c r="Q227" s="37"/>
      <c r="R227" s="36"/>
      <c r="S227" s="35"/>
      <c r="T227" s="35"/>
      <c r="U227" s="23"/>
      <c r="V227" s="21"/>
      <c r="W227" s="22"/>
      <c r="X227" s="22"/>
      <c r="Y227" s="21"/>
      <c r="Z227" s="20"/>
    </row>
    <row r="228" spans="1:147" ht="14.5" x14ac:dyDescent="0.25">
      <c r="A228" s="4"/>
      <c r="B228" s="45"/>
      <c r="C228" s="44"/>
      <c r="D228" s="43"/>
      <c r="E228" s="42"/>
      <c r="F228" s="42"/>
      <c r="G228" s="41"/>
      <c r="H228" s="38"/>
      <c r="I228" s="38"/>
      <c r="J228" s="40"/>
      <c r="K228" s="39"/>
      <c r="L228" s="39"/>
      <c r="M228" s="38"/>
      <c r="N228" s="36"/>
      <c r="O228" s="36"/>
      <c r="P228" s="35"/>
      <c r="Q228" s="37"/>
      <c r="R228" s="36"/>
      <c r="S228" s="35"/>
      <c r="T228" s="35"/>
      <c r="U228" s="23"/>
      <c r="V228" s="21"/>
      <c r="W228" s="22"/>
      <c r="X228" s="22"/>
      <c r="Y228" s="21"/>
      <c r="Z228" s="20"/>
    </row>
    <row r="229" spans="1:147" ht="14.5" x14ac:dyDescent="0.25">
      <c r="A229" s="4"/>
      <c r="B229" s="45"/>
      <c r="C229" s="44"/>
      <c r="D229" s="43"/>
      <c r="E229" s="42"/>
      <c r="F229" s="42"/>
      <c r="G229" s="41"/>
      <c r="H229" s="38"/>
      <c r="I229" s="38"/>
      <c r="J229" s="40"/>
      <c r="K229" s="39"/>
      <c r="L229" s="39"/>
      <c r="M229" s="38"/>
      <c r="N229" s="36"/>
      <c r="O229" s="36"/>
      <c r="P229" s="35"/>
      <c r="Q229" s="37"/>
      <c r="R229" s="36"/>
      <c r="S229" s="35"/>
      <c r="T229" s="35"/>
      <c r="U229" s="23"/>
      <c r="V229" s="21"/>
      <c r="W229" s="22"/>
      <c r="X229" s="22"/>
      <c r="Y229" s="21"/>
      <c r="Z229" s="20"/>
    </row>
    <row r="230" spans="1:147" ht="14.5" x14ac:dyDescent="0.25">
      <c r="A230" s="4"/>
      <c r="B230" s="45"/>
      <c r="C230" s="44"/>
      <c r="D230" s="43"/>
      <c r="E230" s="42"/>
      <c r="F230" s="42"/>
      <c r="G230" s="41"/>
      <c r="H230" s="38"/>
      <c r="I230" s="38"/>
      <c r="J230" s="40"/>
      <c r="K230" s="39"/>
      <c r="L230" s="39"/>
      <c r="M230" s="38"/>
      <c r="N230" s="36"/>
      <c r="O230" s="36"/>
      <c r="P230" s="35"/>
      <c r="Q230" s="37"/>
      <c r="R230" s="36"/>
      <c r="S230" s="35"/>
      <c r="T230" s="35"/>
      <c r="U230" s="23"/>
      <c r="V230" s="21"/>
      <c r="W230" s="22"/>
      <c r="X230" s="22"/>
      <c r="Y230" s="21"/>
      <c r="Z230" s="20"/>
    </row>
    <row r="231" spans="1:147" ht="14.5" x14ac:dyDescent="0.25">
      <c r="A231" s="4"/>
      <c r="B231" s="45"/>
      <c r="C231" s="44"/>
      <c r="D231" s="43"/>
      <c r="E231" s="42"/>
      <c r="F231" s="42"/>
      <c r="G231" s="41"/>
      <c r="H231" s="38"/>
      <c r="I231" s="38"/>
      <c r="J231" s="40"/>
      <c r="K231" s="39"/>
      <c r="L231" s="39"/>
      <c r="M231" s="38"/>
      <c r="N231" s="36"/>
      <c r="O231" s="36"/>
      <c r="P231" s="35"/>
      <c r="Q231" s="37"/>
      <c r="R231" s="36"/>
      <c r="S231" s="35"/>
      <c r="T231" s="35"/>
      <c r="U231" s="23"/>
      <c r="V231" s="21"/>
      <c r="W231" s="22"/>
      <c r="X231" s="22"/>
      <c r="Y231" s="21"/>
      <c r="Z231" s="20"/>
    </row>
    <row r="232" spans="1:147" ht="14.5" x14ac:dyDescent="0.25">
      <c r="A232" s="4"/>
      <c r="B232" s="45"/>
      <c r="C232" s="44"/>
      <c r="D232" s="43"/>
      <c r="E232" s="42"/>
      <c r="F232" s="42"/>
      <c r="G232" s="41"/>
      <c r="H232" s="38"/>
      <c r="I232" s="38"/>
      <c r="J232" s="40"/>
      <c r="K232" s="39"/>
      <c r="L232" s="39"/>
      <c r="M232" s="38"/>
      <c r="N232" s="36"/>
      <c r="O232" s="36"/>
      <c r="P232" s="35"/>
      <c r="Q232" s="37"/>
      <c r="R232" s="36"/>
      <c r="S232" s="35"/>
      <c r="T232" s="35"/>
      <c r="U232" s="23"/>
      <c r="V232" s="21"/>
      <c r="W232" s="22"/>
      <c r="X232" s="22"/>
      <c r="Y232" s="21"/>
      <c r="Z232" s="20"/>
    </row>
    <row r="233" spans="1:147" ht="14.5" x14ac:dyDescent="0.25">
      <c r="A233" s="4"/>
      <c r="B233" s="45"/>
      <c r="C233" s="44"/>
      <c r="D233" s="43"/>
      <c r="E233" s="42"/>
      <c r="F233" s="42"/>
      <c r="G233" s="41"/>
      <c r="H233" s="38"/>
      <c r="I233" s="38"/>
      <c r="J233" s="40"/>
      <c r="K233" s="39"/>
      <c r="L233" s="39"/>
      <c r="M233" s="38"/>
      <c r="N233" s="36"/>
      <c r="O233" s="36"/>
      <c r="P233" s="35"/>
      <c r="Q233" s="37"/>
      <c r="R233" s="36"/>
      <c r="S233" s="35"/>
      <c r="T233" s="35"/>
      <c r="U233" s="23"/>
      <c r="V233" s="21"/>
      <c r="W233" s="22"/>
      <c r="X233" s="22"/>
      <c r="Y233" s="21"/>
      <c r="Z233" s="20"/>
    </row>
    <row r="234" spans="1:147" ht="14.5" x14ac:dyDescent="0.25">
      <c r="A234" s="4"/>
      <c r="B234" s="45"/>
      <c r="C234" s="44"/>
      <c r="D234" s="43"/>
      <c r="E234" s="42"/>
      <c r="F234" s="42"/>
      <c r="G234" s="41"/>
      <c r="H234" s="38"/>
      <c r="I234" s="38"/>
      <c r="J234" s="40"/>
      <c r="K234" s="39"/>
      <c r="L234" s="39"/>
      <c r="M234" s="38"/>
      <c r="N234" s="36"/>
      <c r="O234" s="36"/>
      <c r="P234" s="35"/>
      <c r="Q234" s="37"/>
      <c r="R234" s="36"/>
      <c r="S234" s="35"/>
      <c r="T234" s="35"/>
      <c r="U234" s="23"/>
      <c r="V234" s="21"/>
      <c r="W234" s="22"/>
      <c r="X234" s="22"/>
      <c r="Y234" s="21"/>
      <c r="Z234" s="20"/>
    </row>
    <row r="235" spans="1:147" ht="14.5" x14ac:dyDescent="0.25">
      <c r="A235" s="4"/>
      <c r="B235" s="45"/>
      <c r="C235" s="44"/>
      <c r="D235" s="43"/>
      <c r="E235" s="42"/>
      <c r="F235" s="42"/>
      <c r="G235" s="41"/>
      <c r="H235" s="38"/>
      <c r="I235" s="38"/>
      <c r="J235" s="40"/>
      <c r="K235" s="39"/>
      <c r="L235" s="39"/>
      <c r="M235" s="38"/>
      <c r="N235" s="36"/>
      <c r="O235" s="36"/>
      <c r="P235" s="35"/>
      <c r="Q235" s="37"/>
      <c r="R235" s="36"/>
      <c r="S235" s="35"/>
      <c r="T235" s="35"/>
      <c r="U235" s="23"/>
      <c r="V235" s="21"/>
      <c r="W235" s="22"/>
      <c r="X235" s="22"/>
      <c r="Y235" s="21"/>
      <c r="Z235" s="20"/>
    </row>
    <row r="236" spans="1:147" ht="14.5" x14ac:dyDescent="0.25">
      <c r="A236" s="4"/>
      <c r="B236" s="34"/>
      <c r="C236" s="33"/>
      <c r="D236" s="32"/>
      <c r="E236" s="31"/>
      <c r="F236" s="31"/>
      <c r="G236" s="30"/>
      <c r="H236" s="27"/>
      <c r="I236" s="27"/>
      <c r="J236" s="29"/>
      <c r="K236" s="28"/>
      <c r="L236" s="28"/>
      <c r="M236" s="27"/>
      <c r="N236" s="25"/>
      <c r="O236" s="25"/>
      <c r="P236" s="24"/>
      <c r="Q236" s="26"/>
      <c r="R236" s="25"/>
      <c r="S236" s="24"/>
      <c r="T236" s="24"/>
      <c r="U236" s="23"/>
      <c r="V236" s="21"/>
      <c r="W236" s="22"/>
      <c r="X236" s="22"/>
      <c r="Y236" s="21"/>
      <c r="Z236" s="20"/>
    </row>
    <row r="237" spans="1:147" ht="14.5" x14ac:dyDescent="0.25">
      <c r="A237" s="4"/>
      <c r="B237" s="34"/>
      <c r="C237" s="33"/>
      <c r="D237" s="32"/>
      <c r="E237" s="31"/>
      <c r="F237" s="31"/>
      <c r="G237" s="30"/>
      <c r="H237" s="27"/>
      <c r="I237" s="27"/>
      <c r="J237" s="29"/>
      <c r="K237" s="28"/>
      <c r="L237" s="28"/>
      <c r="M237" s="27"/>
      <c r="N237" s="25"/>
      <c r="O237" s="25"/>
      <c r="P237" s="24"/>
      <c r="Q237" s="26"/>
      <c r="R237" s="25"/>
      <c r="S237" s="24"/>
      <c r="T237" s="24"/>
      <c r="U237" s="23"/>
      <c r="V237" s="21"/>
      <c r="W237" s="22"/>
      <c r="X237" s="22"/>
      <c r="Y237" s="21"/>
      <c r="Z237" s="20"/>
    </row>
    <row r="238" spans="1:147" ht="14.5" x14ac:dyDescent="0.25">
      <c r="A238" s="4"/>
      <c r="B238" s="34"/>
      <c r="C238" s="33"/>
      <c r="D238" s="32"/>
      <c r="E238" s="31"/>
      <c r="F238" s="31"/>
      <c r="G238" s="30"/>
      <c r="H238" s="27"/>
      <c r="I238" s="27"/>
      <c r="J238" s="29"/>
      <c r="K238" s="28"/>
      <c r="L238" s="28"/>
      <c r="M238" s="27"/>
      <c r="N238" s="25"/>
      <c r="O238" s="25"/>
      <c r="P238" s="24"/>
      <c r="Q238" s="26"/>
      <c r="R238" s="25"/>
      <c r="S238" s="24"/>
      <c r="T238" s="24"/>
      <c r="U238" s="23"/>
      <c r="V238" s="21"/>
      <c r="W238" s="22"/>
      <c r="X238" s="22"/>
      <c r="Y238" s="21"/>
      <c r="Z238" s="20"/>
    </row>
    <row r="239" spans="1:147" ht="14.5" x14ac:dyDescent="0.25">
      <c r="A239" s="4"/>
      <c r="B239" s="34"/>
      <c r="C239" s="33"/>
      <c r="D239" s="32"/>
      <c r="E239" s="31"/>
      <c r="F239" s="31"/>
      <c r="G239" s="30"/>
      <c r="H239" s="27"/>
      <c r="I239" s="27"/>
      <c r="J239" s="29"/>
      <c r="K239" s="28"/>
      <c r="L239" s="28"/>
      <c r="M239" s="27"/>
      <c r="N239" s="25"/>
      <c r="O239" s="25"/>
      <c r="P239" s="24"/>
      <c r="Q239" s="26"/>
      <c r="R239" s="25"/>
      <c r="S239" s="24"/>
      <c r="T239" s="24"/>
      <c r="U239" s="23"/>
      <c r="V239" s="21"/>
      <c r="W239" s="22"/>
      <c r="X239" s="22"/>
      <c r="Y239" s="21"/>
      <c r="Z239" s="20"/>
    </row>
    <row r="240" spans="1:147" s="12" customFormat="1" x14ac:dyDescent="0.25">
      <c r="B240" s="19"/>
      <c r="C240" s="14"/>
      <c r="D240" s="18"/>
      <c r="G240" s="17"/>
      <c r="H240" s="14"/>
      <c r="I240" s="14"/>
      <c r="J240" s="16"/>
      <c r="K240" s="15"/>
      <c r="L240" s="15"/>
      <c r="N240" s="14"/>
      <c r="O240" s="14"/>
      <c r="P240" s="13"/>
      <c r="Q240" s="14"/>
      <c r="R240" s="14"/>
      <c r="S240" s="13"/>
      <c r="T240" s="1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</row>
    <row r="241" spans="2:147" s="12" customFormat="1" x14ac:dyDescent="0.25">
      <c r="B241" s="19"/>
      <c r="C241" s="14"/>
      <c r="D241" s="18"/>
      <c r="G241" s="17"/>
      <c r="H241" s="14"/>
      <c r="I241" s="14"/>
      <c r="J241" s="16"/>
      <c r="K241" s="15"/>
      <c r="L241" s="15"/>
      <c r="N241" s="14"/>
      <c r="O241" s="14"/>
      <c r="P241" s="13"/>
      <c r="Q241" s="14"/>
      <c r="R241" s="14"/>
      <c r="S241" s="13"/>
      <c r="T241" s="1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</row>
    <row r="242" spans="2:147" s="12" customFormat="1" x14ac:dyDescent="0.25">
      <c r="B242" s="19"/>
      <c r="C242" s="14"/>
      <c r="D242" s="18"/>
      <c r="G242" s="17"/>
      <c r="H242" s="14"/>
      <c r="I242" s="14"/>
      <c r="J242" s="16"/>
      <c r="K242" s="15"/>
      <c r="L242" s="15"/>
      <c r="N242" s="14"/>
      <c r="O242" s="14"/>
      <c r="P242" s="13"/>
      <c r="Q242" s="14"/>
      <c r="R242" s="14"/>
      <c r="S242" s="13"/>
      <c r="T242" s="1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</row>
    <row r="243" spans="2:147" s="12" customFormat="1" x14ac:dyDescent="0.25">
      <c r="B243" s="19"/>
      <c r="C243" s="14"/>
      <c r="D243" s="18"/>
      <c r="G243" s="17"/>
      <c r="H243" s="14"/>
      <c r="I243" s="14"/>
      <c r="J243" s="16"/>
      <c r="K243" s="15"/>
      <c r="L243" s="15"/>
      <c r="N243" s="14"/>
      <c r="O243" s="14"/>
      <c r="P243" s="13"/>
      <c r="Q243" s="14"/>
      <c r="R243" s="14"/>
      <c r="S243" s="13"/>
      <c r="T243" s="1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</row>
    <row r="244" spans="2:147" s="12" customFormat="1" x14ac:dyDescent="0.25">
      <c r="B244" s="19"/>
      <c r="C244" s="14"/>
      <c r="D244" s="18"/>
      <c r="G244" s="17"/>
      <c r="H244" s="14"/>
      <c r="I244" s="14"/>
      <c r="J244" s="16"/>
      <c r="K244" s="15"/>
      <c r="L244" s="15"/>
      <c r="N244" s="14"/>
      <c r="O244" s="14"/>
      <c r="P244" s="13"/>
      <c r="Q244" s="14"/>
      <c r="R244" s="14"/>
      <c r="S244" s="13"/>
      <c r="T244" s="1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</row>
    <row r="245" spans="2:147" s="12" customFormat="1" x14ac:dyDescent="0.25">
      <c r="B245" s="19"/>
      <c r="C245" s="14"/>
      <c r="D245" s="18"/>
      <c r="G245" s="17"/>
      <c r="H245" s="14"/>
      <c r="I245" s="14"/>
      <c r="J245" s="16"/>
      <c r="K245" s="15"/>
      <c r="L245" s="15"/>
      <c r="N245" s="14"/>
      <c r="O245" s="14"/>
      <c r="P245" s="13"/>
      <c r="Q245" s="14"/>
      <c r="R245" s="14"/>
      <c r="S245" s="13"/>
      <c r="T245" s="1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</row>
    <row r="246" spans="2:147" s="12" customFormat="1" x14ac:dyDescent="0.25">
      <c r="B246" s="19"/>
      <c r="C246" s="14"/>
      <c r="D246" s="18"/>
      <c r="G246" s="17"/>
      <c r="H246" s="14"/>
      <c r="I246" s="14"/>
      <c r="J246" s="16"/>
      <c r="K246" s="15"/>
      <c r="L246" s="15"/>
      <c r="N246" s="14"/>
      <c r="O246" s="14"/>
      <c r="P246" s="13"/>
      <c r="Q246" s="14"/>
      <c r="R246" s="14"/>
      <c r="S246" s="13"/>
      <c r="T246" s="1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</row>
    <row r="247" spans="2:147" s="12" customFormat="1" x14ac:dyDescent="0.25">
      <c r="B247" s="19"/>
      <c r="C247" s="14"/>
      <c r="D247" s="18"/>
      <c r="G247" s="17"/>
      <c r="H247" s="14"/>
      <c r="I247" s="14"/>
      <c r="J247" s="16"/>
      <c r="K247" s="15"/>
      <c r="L247" s="15"/>
      <c r="N247" s="14"/>
      <c r="O247" s="14"/>
      <c r="P247" s="13"/>
      <c r="Q247" s="14"/>
      <c r="R247" s="14"/>
      <c r="S247" s="13"/>
      <c r="T247" s="1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</row>
    <row r="248" spans="2:147" s="12" customFormat="1" x14ac:dyDescent="0.25">
      <c r="B248" s="19"/>
      <c r="C248" s="14"/>
      <c r="D248" s="18"/>
      <c r="G248" s="17"/>
      <c r="H248" s="14"/>
      <c r="I248" s="14"/>
      <c r="J248" s="16"/>
      <c r="K248" s="15"/>
      <c r="L248" s="15"/>
      <c r="N248" s="14"/>
      <c r="O248" s="14"/>
      <c r="P248" s="13"/>
      <c r="Q248" s="14"/>
      <c r="R248" s="14"/>
      <c r="S248" s="13"/>
      <c r="T248" s="1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</row>
    <row r="249" spans="2:147" s="12" customFormat="1" x14ac:dyDescent="0.25">
      <c r="B249" s="19"/>
      <c r="C249" s="14"/>
      <c r="D249" s="18"/>
      <c r="G249" s="17"/>
      <c r="H249" s="14"/>
      <c r="I249" s="14"/>
      <c r="J249" s="16"/>
      <c r="K249" s="15"/>
      <c r="L249" s="15"/>
      <c r="N249" s="14"/>
      <c r="O249" s="14"/>
      <c r="P249" s="13"/>
      <c r="Q249" s="14"/>
      <c r="R249" s="14"/>
      <c r="S249" s="13"/>
      <c r="T249" s="1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</row>
    <row r="250" spans="2:147" s="12" customFormat="1" x14ac:dyDescent="0.25">
      <c r="B250" s="19"/>
      <c r="C250" s="14"/>
      <c r="D250" s="18"/>
      <c r="G250" s="17"/>
      <c r="H250" s="14"/>
      <c r="I250" s="14"/>
      <c r="J250" s="16"/>
      <c r="K250" s="15"/>
      <c r="L250" s="15"/>
      <c r="N250" s="14"/>
      <c r="O250" s="14"/>
      <c r="P250" s="13"/>
      <c r="Q250" s="14"/>
      <c r="R250" s="14"/>
      <c r="S250" s="13"/>
      <c r="T250" s="1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</row>
    <row r="251" spans="2:147" s="12" customFormat="1" x14ac:dyDescent="0.25">
      <c r="B251" s="19"/>
      <c r="C251" s="14"/>
      <c r="D251" s="18"/>
      <c r="G251" s="17"/>
      <c r="H251" s="14"/>
      <c r="I251" s="14"/>
      <c r="J251" s="16"/>
      <c r="K251" s="15"/>
      <c r="L251" s="15"/>
      <c r="N251" s="14"/>
      <c r="O251" s="14"/>
      <c r="P251" s="13"/>
      <c r="Q251" s="14"/>
      <c r="R251" s="14"/>
      <c r="S251" s="13"/>
      <c r="T251" s="1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</row>
    <row r="252" spans="2:147" s="12" customFormat="1" x14ac:dyDescent="0.25">
      <c r="B252" s="19"/>
      <c r="C252" s="14"/>
      <c r="D252" s="18"/>
      <c r="G252" s="17"/>
      <c r="H252" s="14"/>
      <c r="I252" s="14"/>
      <c r="J252" s="16"/>
      <c r="K252" s="15"/>
      <c r="L252" s="15"/>
      <c r="N252" s="14"/>
      <c r="O252" s="14"/>
      <c r="P252" s="13"/>
      <c r="Q252" s="14"/>
      <c r="R252" s="14"/>
      <c r="S252" s="13"/>
      <c r="T252" s="1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</row>
    <row r="253" spans="2:147" s="12" customFormat="1" x14ac:dyDescent="0.25">
      <c r="B253" s="19"/>
      <c r="C253" s="14"/>
      <c r="D253" s="18"/>
      <c r="G253" s="17"/>
      <c r="H253" s="14"/>
      <c r="I253" s="14"/>
      <c r="J253" s="16"/>
      <c r="K253" s="15"/>
      <c r="L253" s="15"/>
      <c r="N253" s="14"/>
      <c r="O253" s="14"/>
      <c r="P253" s="13"/>
      <c r="Q253" s="14"/>
      <c r="R253" s="14"/>
      <c r="S253" s="13"/>
      <c r="T253" s="1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</row>
    <row r="254" spans="2:147" s="12" customFormat="1" x14ac:dyDescent="0.25">
      <c r="B254" s="19"/>
      <c r="C254" s="14"/>
      <c r="D254" s="18"/>
      <c r="G254" s="17"/>
      <c r="H254" s="14"/>
      <c r="I254" s="14"/>
      <c r="J254" s="16"/>
      <c r="K254" s="15"/>
      <c r="L254" s="15"/>
      <c r="N254" s="14"/>
      <c r="O254" s="14"/>
      <c r="P254" s="13"/>
      <c r="Q254" s="14"/>
      <c r="R254" s="14"/>
      <c r="S254" s="13"/>
      <c r="T254" s="1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</row>
    <row r="255" spans="2:147" s="12" customFormat="1" x14ac:dyDescent="0.25">
      <c r="B255" s="19"/>
      <c r="C255" s="14"/>
      <c r="D255" s="18"/>
      <c r="G255" s="17"/>
      <c r="H255" s="14"/>
      <c r="I255" s="14"/>
      <c r="J255" s="16"/>
      <c r="K255" s="15"/>
      <c r="L255" s="15"/>
      <c r="N255" s="14"/>
      <c r="O255" s="14"/>
      <c r="P255" s="13"/>
      <c r="Q255" s="14"/>
      <c r="R255" s="14"/>
      <c r="S255" s="13"/>
      <c r="T255" s="1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</row>
    <row r="256" spans="2:147" s="12" customFormat="1" x14ac:dyDescent="0.25">
      <c r="B256" s="19"/>
      <c r="C256" s="14"/>
      <c r="D256" s="18"/>
      <c r="G256" s="17"/>
      <c r="H256" s="14"/>
      <c r="I256" s="14"/>
      <c r="J256" s="16"/>
      <c r="K256" s="15"/>
      <c r="L256" s="15"/>
      <c r="N256" s="14"/>
      <c r="O256" s="14"/>
      <c r="P256" s="13"/>
      <c r="Q256" s="14"/>
      <c r="R256" s="14"/>
      <c r="S256" s="13"/>
      <c r="T256" s="1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</row>
    <row r="257" spans="2:147" s="12" customFormat="1" x14ac:dyDescent="0.25">
      <c r="B257" s="19"/>
      <c r="C257" s="14"/>
      <c r="D257" s="18"/>
      <c r="G257" s="17"/>
      <c r="H257" s="14"/>
      <c r="I257" s="14"/>
      <c r="J257" s="16"/>
      <c r="K257" s="15"/>
      <c r="L257" s="15"/>
      <c r="N257" s="14"/>
      <c r="O257" s="14"/>
      <c r="P257" s="13"/>
      <c r="Q257" s="14"/>
      <c r="R257" s="14"/>
      <c r="S257" s="13"/>
      <c r="T257" s="1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</row>
    <row r="258" spans="2:147" s="12" customFormat="1" x14ac:dyDescent="0.25">
      <c r="B258" s="19"/>
      <c r="C258" s="14"/>
      <c r="D258" s="18"/>
      <c r="G258" s="17"/>
      <c r="H258" s="14"/>
      <c r="I258" s="14"/>
      <c r="J258" s="16"/>
      <c r="K258" s="15"/>
      <c r="L258" s="15"/>
      <c r="N258" s="14"/>
      <c r="O258" s="14"/>
      <c r="P258" s="13"/>
      <c r="Q258" s="14"/>
      <c r="R258" s="14"/>
      <c r="S258" s="13"/>
      <c r="T258" s="1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</row>
    <row r="259" spans="2:147" s="12" customFormat="1" x14ac:dyDescent="0.25">
      <c r="B259" s="19"/>
      <c r="C259" s="14"/>
      <c r="D259" s="18"/>
      <c r="G259" s="17"/>
      <c r="H259" s="14"/>
      <c r="I259" s="14"/>
      <c r="J259" s="16"/>
      <c r="K259" s="15"/>
      <c r="L259" s="15"/>
      <c r="N259" s="14"/>
      <c r="O259" s="14"/>
      <c r="P259" s="13"/>
      <c r="Q259" s="14"/>
      <c r="R259" s="14"/>
      <c r="S259" s="13"/>
      <c r="T259" s="1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</row>
    <row r="260" spans="2:147" s="12" customFormat="1" x14ac:dyDescent="0.25">
      <c r="B260" s="19"/>
      <c r="C260" s="14"/>
      <c r="D260" s="18"/>
      <c r="G260" s="17"/>
      <c r="H260" s="14"/>
      <c r="I260" s="14"/>
      <c r="J260" s="16"/>
      <c r="K260" s="15"/>
      <c r="L260" s="15"/>
      <c r="N260" s="14"/>
      <c r="O260" s="14"/>
      <c r="P260" s="13"/>
      <c r="Q260" s="14"/>
      <c r="R260" s="14"/>
      <c r="S260" s="13"/>
      <c r="T260" s="1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</row>
    <row r="261" spans="2:147" s="12" customFormat="1" x14ac:dyDescent="0.25">
      <c r="B261" s="19"/>
      <c r="C261" s="14"/>
      <c r="D261" s="18"/>
      <c r="G261" s="17"/>
      <c r="H261" s="14"/>
      <c r="I261" s="14"/>
      <c r="J261" s="16"/>
      <c r="K261" s="15"/>
      <c r="L261" s="15"/>
      <c r="N261" s="14"/>
      <c r="O261" s="14"/>
      <c r="P261" s="13"/>
      <c r="Q261" s="14"/>
      <c r="R261" s="14"/>
      <c r="S261" s="13"/>
      <c r="T261" s="1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</row>
    <row r="262" spans="2:147" s="12" customFormat="1" x14ac:dyDescent="0.25">
      <c r="B262" s="19"/>
      <c r="C262" s="14"/>
      <c r="D262" s="18"/>
      <c r="G262" s="17"/>
      <c r="H262" s="14"/>
      <c r="I262" s="14"/>
      <c r="J262" s="16"/>
      <c r="K262" s="15"/>
      <c r="L262" s="15"/>
      <c r="N262" s="14"/>
      <c r="O262" s="14"/>
      <c r="P262" s="13"/>
      <c r="Q262" s="14"/>
      <c r="R262" s="14"/>
      <c r="S262" s="13"/>
      <c r="T262" s="1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</row>
    <row r="263" spans="2:147" s="12" customFormat="1" x14ac:dyDescent="0.25">
      <c r="B263" s="19"/>
      <c r="C263" s="14"/>
      <c r="D263" s="18"/>
      <c r="G263" s="17"/>
      <c r="H263" s="14"/>
      <c r="I263" s="14"/>
      <c r="J263" s="16"/>
      <c r="K263" s="15"/>
      <c r="L263" s="15"/>
      <c r="N263" s="14"/>
      <c r="O263" s="14"/>
      <c r="P263" s="13"/>
      <c r="Q263" s="14"/>
      <c r="R263" s="14"/>
      <c r="S263" s="13"/>
      <c r="T263" s="1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</row>
    <row r="264" spans="2:147" s="12" customFormat="1" x14ac:dyDescent="0.25">
      <c r="B264" s="19"/>
      <c r="C264" s="14"/>
      <c r="D264" s="18"/>
      <c r="G264" s="17"/>
      <c r="H264" s="14"/>
      <c r="I264" s="14"/>
      <c r="J264" s="16"/>
      <c r="K264" s="15"/>
      <c r="L264" s="15"/>
      <c r="N264" s="14"/>
      <c r="O264" s="14"/>
      <c r="P264" s="13"/>
      <c r="Q264" s="14"/>
      <c r="R264" s="14"/>
      <c r="S264" s="13"/>
      <c r="T264" s="1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</row>
    <row r="265" spans="2:147" s="12" customFormat="1" x14ac:dyDescent="0.25">
      <c r="B265" s="19"/>
      <c r="C265" s="14"/>
      <c r="D265" s="18"/>
      <c r="G265" s="17"/>
      <c r="H265" s="14"/>
      <c r="I265" s="14"/>
      <c r="J265" s="16"/>
      <c r="K265" s="15"/>
      <c r="L265" s="15"/>
      <c r="N265" s="14"/>
      <c r="O265" s="14"/>
      <c r="P265" s="13"/>
      <c r="Q265" s="14"/>
      <c r="R265" s="14"/>
      <c r="S265" s="13"/>
      <c r="T265" s="1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</row>
    <row r="266" spans="2:147" s="12" customFormat="1" x14ac:dyDescent="0.25">
      <c r="B266" s="19"/>
      <c r="C266" s="14"/>
      <c r="D266" s="18"/>
      <c r="G266" s="17"/>
      <c r="H266" s="14"/>
      <c r="I266" s="14"/>
      <c r="J266" s="16"/>
      <c r="K266" s="15"/>
      <c r="L266" s="15"/>
      <c r="N266" s="14"/>
      <c r="O266" s="14"/>
      <c r="P266" s="13"/>
      <c r="Q266" s="14"/>
      <c r="R266" s="14"/>
      <c r="S266" s="13"/>
      <c r="T266" s="1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</row>
    <row r="267" spans="2:147" s="12" customFormat="1" x14ac:dyDescent="0.25">
      <c r="B267" s="19"/>
      <c r="C267" s="14"/>
      <c r="D267" s="18"/>
      <c r="G267" s="17"/>
      <c r="H267" s="14"/>
      <c r="I267" s="14"/>
      <c r="J267" s="16"/>
      <c r="K267" s="15"/>
      <c r="L267" s="15"/>
      <c r="N267" s="14"/>
      <c r="O267" s="14"/>
      <c r="P267" s="13"/>
      <c r="Q267" s="14"/>
      <c r="R267" s="14"/>
      <c r="S267" s="13"/>
      <c r="T267" s="1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</row>
    <row r="268" spans="2:147" s="12" customFormat="1" x14ac:dyDescent="0.25">
      <c r="B268" s="19"/>
      <c r="C268" s="14"/>
      <c r="D268" s="18"/>
      <c r="G268" s="17"/>
      <c r="H268" s="14"/>
      <c r="I268" s="14"/>
      <c r="J268" s="16"/>
      <c r="K268" s="15"/>
      <c r="L268" s="15"/>
      <c r="N268" s="14"/>
      <c r="O268" s="14"/>
      <c r="P268" s="13"/>
      <c r="Q268" s="14"/>
      <c r="R268" s="14"/>
      <c r="S268" s="13"/>
      <c r="T268" s="1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</row>
    <row r="269" spans="2:147" s="12" customFormat="1" x14ac:dyDescent="0.25">
      <c r="B269" s="19"/>
      <c r="C269" s="14"/>
      <c r="D269" s="18"/>
      <c r="G269" s="17"/>
      <c r="H269" s="14"/>
      <c r="I269" s="14"/>
      <c r="J269" s="16"/>
      <c r="K269" s="15"/>
      <c r="L269" s="15"/>
      <c r="N269" s="14"/>
      <c r="O269" s="14"/>
      <c r="P269" s="13"/>
      <c r="Q269" s="14"/>
      <c r="R269" s="14"/>
      <c r="S269" s="13"/>
      <c r="T269" s="1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</row>
    <row r="270" spans="2:147" s="12" customFormat="1" x14ac:dyDescent="0.25">
      <c r="B270" s="19"/>
      <c r="C270" s="14"/>
      <c r="D270" s="18"/>
      <c r="G270" s="17"/>
      <c r="H270" s="14"/>
      <c r="I270" s="14"/>
      <c r="J270" s="16"/>
      <c r="K270" s="15"/>
      <c r="L270" s="15"/>
      <c r="N270" s="14"/>
      <c r="O270" s="14"/>
      <c r="P270" s="13"/>
      <c r="Q270" s="14"/>
      <c r="R270" s="14"/>
      <c r="S270" s="13"/>
      <c r="T270" s="1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</row>
    <row r="271" spans="2:147" s="12" customFormat="1" x14ac:dyDescent="0.25">
      <c r="B271" s="19"/>
      <c r="C271" s="14"/>
      <c r="D271" s="18"/>
      <c r="G271" s="17"/>
      <c r="H271" s="14"/>
      <c r="I271" s="14"/>
      <c r="J271" s="16"/>
      <c r="K271" s="15"/>
      <c r="L271" s="15"/>
      <c r="N271" s="14"/>
      <c r="O271" s="14"/>
      <c r="P271" s="13"/>
      <c r="Q271" s="14"/>
      <c r="R271" s="14"/>
      <c r="S271" s="13"/>
      <c r="T271" s="1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</row>
    <row r="272" spans="2:147" s="12" customFormat="1" x14ac:dyDescent="0.25">
      <c r="B272" s="19"/>
      <c r="C272" s="14"/>
      <c r="D272" s="18"/>
      <c r="G272" s="17"/>
      <c r="H272" s="14"/>
      <c r="I272" s="14"/>
      <c r="J272" s="16"/>
      <c r="K272" s="15"/>
      <c r="L272" s="15"/>
      <c r="N272" s="14"/>
      <c r="O272" s="14"/>
      <c r="P272" s="13"/>
      <c r="Q272" s="14"/>
      <c r="R272" s="14"/>
      <c r="S272" s="13"/>
      <c r="T272" s="1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</row>
    <row r="273" spans="2:147" s="12" customFormat="1" x14ac:dyDescent="0.25">
      <c r="B273" s="19"/>
      <c r="C273" s="14"/>
      <c r="D273" s="18"/>
      <c r="G273" s="17"/>
      <c r="H273" s="14"/>
      <c r="I273" s="14"/>
      <c r="J273" s="16"/>
      <c r="K273" s="15"/>
      <c r="L273" s="15"/>
      <c r="N273" s="14"/>
      <c r="O273" s="14"/>
      <c r="P273" s="13"/>
      <c r="Q273" s="14"/>
      <c r="R273" s="14"/>
      <c r="S273" s="13"/>
      <c r="T273" s="1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</row>
    <row r="274" spans="2:147" s="12" customFormat="1" x14ac:dyDescent="0.25">
      <c r="B274" s="19"/>
      <c r="C274" s="14"/>
      <c r="D274" s="18"/>
      <c r="G274" s="17"/>
      <c r="H274" s="14"/>
      <c r="I274" s="14"/>
      <c r="J274" s="16"/>
      <c r="K274" s="15"/>
      <c r="L274" s="15"/>
      <c r="N274" s="14"/>
      <c r="O274" s="14"/>
      <c r="P274" s="13"/>
      <c r="Q274" s="14"/>
      <c r="R274" s="14"/>
      <c r="S274" s="13"/>
      <c r="T274" s="1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</row>
    <row r="275" spans="2:147" s="12" customFormat="1" x14ac:dyDescent="0.25">
      <c r="B275" s="19"/>
      <c r="C275" s="14"/>
      <c r="D275" s="18"/>
      <c r="G275" s="17"/>
      <c r="H275" s="14"/>
      <c r="I275" s="14"/>
      <c r="J275" s="16"/>
      <c r="K275" s="15"/>
      <c r="L275" s="15"/>
      <c r="N275" s="14"/>
      <c r="O275" s="14"/>
      <c r="P275" s="13"/>
      <c r="Q275" s="14"/>
      <c r="R275" s="14"/>
      <c r="S275" s="13"/>
      <c r="T275" s="1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</row>
    <row r="276" spans="2:147" s="12" customFormat="1" x14ac:dyDescent="0.25">
      <c r="B276" s="19"/>
      <c r="C276" s="14"/>
      <c r="D276" s="18"/>
      <c r="G276" s="17"/>
      <c r="H276" s="14"/>
      <c r="I276" s="14"/>
      <c r="J276" s="16"/>
      <c r="K276" s="15"/>
      <c r="L276" s="15"/>
      <c r="N276" s="14"/>
      <c r="O276" s="14"/>
      <c r="P276" s="13"/>
      <c r="Q276" s="14"/>
      <c r="R276" s="14"/>
      <c r="S276" s="13"/>
      <c r="T276" s="1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</row>
    <row r="277" spans="2:147" s="12" customFormat="1" x14ac:dyDescent="0.25">
      <c r="B277" s="19"/>
      <c r="C277" s="14"/>
      <c r="D277" s="18"/>
      <c r="G277" s="17"/>
      <c r="H277" s="14"/>
      <c r="I277" s="14"/>
      <c r="J277" s="16"/>
      <c r="K277" s="15"/>
      <c r="L277" s="15"/>
      <c r="N277" s="14"/>
      <c r="O277" s="14"/>
      <c r="P277" s="13"/>
      <c r="Q277" s="14"/>
      <c r="R277" s="14"/>
      <c r="S277" s="13"/>
      <c r="T277" s="1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</row>
    <row r="278" spans="2:147" s="12" customFormat="1" x14ac:dyDescent="0.25">
      <c r="B278" s="19"/>
      <c r="C278" s="14"/>
      <c r="D278" s="18"/>
      <c r="G278" s="17"/>
      <c r="H278" s="14"/>
      <c r="I278" s="14"/>
      <c r="J278" s="16"/>
      <c r="K278" s="15"/>
      <c r="L278" s="15"/>
      <c r="N278" s="14"/>
      <c r="O278" s="14"/>
      <c r="P278" s="13"/>
      <c r="Q278" s="14"/>
      <c r="R278" s="14"/>
      <c r="S278" s="13"/>
      <c r="T278" s="1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</row>
    <row r="279" spans="2:147" s="12" customFormat="1" x14ac:dyDescent="0.25">
      <c r="B279" s="19"/>
      <c r="C279" s="14"/>
      <c r="D279" s="18"/>
      <c r="G279" s="17"/>
      <c r="H279" s="14"/>
      <c r="I279" s="14"/>
      <c r="J279" s="16"/>
      <c r="K279" s="15"/>
      <c r="L279" s="15"/>
      <c r="N279" s="14"/>
      <c r="O279" s="14"/>
      <c r="P279" s="13"/>
      <c r="Q279" s="14"/>
      <c r="R279" s="14"/>
      <c r="S279" s="13"/>
      <c r="T279" s="1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</row>
    <row r="280" spans="2:147" s="12" customFormat="1" x14ac:dyDescent="0.25">
      <c r="B280" s="19"/>
      <c r="C280" s="14"/>
      <c r="D280" s="18"/>
      <c r="G280" s="17"/>
      <c r="H280" s="14"/>
      <c r="I280" s="14"/>
      <c r="J280" s="16"/>
      <c r="K280" s="15"/>
      <c r="L280" s="15"/>
      <c r="N280" s="14"/>
      <c r="O280" s="14"/>
      <c r="P280" s="13"/>
      <c r="Q280" s="14"/>
      <c r="R280" s="14"/>
      <c r="S280" s="13"/>
      <c r="T280" s="1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</row>
    <row r="281" spans="2:147" s="12" customFormat="1" x14ac:dyDescent="0.25">
      <c r="B281" s="19"/>
      <c r="C281" s="14"/>
      <c r="D281" s="18"/>
      <c r="G281" s="17"/>
      <c r="H281" s="14"/>
      <c r="I281" s="14"/>
      <c r="J281" s="16"/>
      <c r="K281" s="15"/>
      <c r="L281" s="15"/>
      <c r="N281" s="14"/>
      <c r="O281" s="14"/>
      <c r="P281" s="13"/>
      <c r="Q281" s="14"/>
      <c r="R281" s="14"/>
      <c r="S281" s="13"/>
      <c r="T281" s="1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</row>
    <row r="282" spans="2:147" s="12" customFormat="1" x14ac:dyDescent="0.25">
      <c r="B282" s="19"/>
      <c r="C282" s="14"/>
      <c r="D282" s="18"/>
      <c r="G282" s="17"/>
      <c r="H282" s="14"/>
      <c r="I282" s="14"/>
      <c r="J282" s="16"/>
      <c r="K282" s="15"/>
      <c r="L282" s="15"/>
      <c r="N282" s="14"/>
      <c r="O282" s="14"/>
      <c r="P282" s="13"/>
      <c r="Q282" s="14"/>
      <c r="R282" s="14"/>
      <c r="S282" s="13"/>
      <c r="T282" s="1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</row>
    <row r="283" spans="2:147" s="12" customFormat="1" x14ac:dyDescent="0.25">
      <c r="B283" s="19"/>
      <c r="C283" s="14"/>
      <c r="D283" s="18"/>
      <c r="G283" s="17"/>
      <c r="H283" s="14"/>
      <c r="I283" s="14"/>
      <c r="J283" s="16"/>
      <c r="K283" s="15"/>
      <c r="L283" s="15"/>
      <c r="N283" s="14"/>
      <c r="O283" s="14"/>
      <c r="P283" s="13"/>
      <c r="Q283" s="14"/>
      <c r="R283" s="14"/>
      <c r="S283" s="13"/>
      <c r="T283" s="1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</row>
    <row r="284" spans="2:147" s="12" customFormat="1" x14ac:dyDescent="0.25">
      <c r="B284" s="19"/>
      <c r="C284" s="14"/>
      <c r="D284" s="18"/>
      <c r="G284" s="17"/>
      <c r="H284" s="14"/>
      <c r="I284" s="14"/>
      <c r="J284" s="16"/>
      <c r="K284" s="15"/>
      <c r="L284" s="15"/>
      <c r="N284" s="14"/>
      <c r="O284" s="14"/>
      <c r="P284" s="13"/>
      <c r="Q284" s="14"/>
      <c r="R284" s="14"/>
      <c r="S284" s="13"/>
      <c r="T284" s="1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</row>
    <row r="285" spans="2:147" s="12" customFormat="1" x14ac:dyDescent="0.25">
      <c r="B285" s="19"/>
      <c r="C285" s="14"/>
      <c r="D285" s="18"/>
      <c r="G285" s="17"/>
      <c r="H285" s="14"/>
      <c r="I285" s="14"/>
      <c r="J285" s="16"/>
      <c r="K285" s="15"/>
      <c r="L285" s="15"/>
      <c r="N285" s="14"/>
      <c r="O285" s="14"/>
      <c r="P285" s="13"/>
      <c r="Q285" s="14"/>
      <c r="R285" s="14"/>
      <c r="S285" s="13"/>
      <c r="T285" s="1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</row>
    <row r="286" spans="2:147" s="12" customFormat="1" x14ac:dyDescent="0.25">
      <c r="B286" s="19"/>
      <c r="C286" s="14"/>
      <c r="D286" s="18"/>
      <c r="G286" s="17"/>
      <c r="H286" s="14"/>
      <c r="I286" s="14"/>
      <c r="J286" s="16"/>
      <c r="K286" s="15"/>
      <c r="L286" s="15"/>
      <c r="N286" s="14"/>
      <c r="O286" s="14"/>
      <c r="P286" s="13"/>
      <c r="Q286" s="14"/>
      <c r="R286" s="14"/>
      <c r="S286" s="13"/>
      <c r="T286" s="1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</row>
    <row r="287" spans="2:147" s="12" customFormat="1" x14ac:dyDescent="0.25">
      <c r="B287" s="19"/>
      <c r="C287" s="14"/>
      <c r="D287" s="18"/>
      <c r="G287" s="17"/>
      <c r="H287" s="14"/>
      <c r="I287" s="14"/>
      <c r="J287" s="16"/>
      <c r="K287" s="15"/>
      <c r="L287" s="15"/>
      <c r="N287" s="14"/>
      <c r="O287" s="14"/>
      <c r="P287" s="13"/>
      <c r="Q287" s="14"/>
      <c r="R287" s="14"/>
      <c r="S287" s="13"/>
      <c r="T287" s="1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</row>
    <row r="288" spans="2:147" s="12" customFormat="1" x14ac:dyDescent="0.25">
      <c r="B288" s="19"/>
      <c r="C288" s="14"/>
      <c r="D288" s="18"/>
      <c r="G288" s="17"/>
      <c r="H288" s="14"/>
      <c r="I288" s="14"/>
      <c r="J288" s="16"/>
      <c r="K288" s="15"/>
      <c r="L288" s="15"/>
      <c r="N288" s="14"/>
      <c r="O288" s="14"/>
      <c r="P288" s="13"/>
      <c r="Q288" s="14"/>
      <c r="R288" s="14"/>
      <c r="S288" s="13"/>
      <c r="T288" s="1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</row>
    <row r="289" spans="2:147" s="12" customFormat="1" x14ac:dyDescent="0.25">
      <c r="B289" s="19"/>
      <c r="C289" s="14"/>
      <c r="D289" s="18"/>
      <c r="G289" s="17"/>
      <c r="H289" s="14"/>
      <c r="I289" s="14"/>
      <c r="J289" s="16"/>
      <c r="K289" s="15"/>
      <c r="L289" s="15"/>
      <c r="N289" s="14"/>
      <c r="O289" s="14"/>
      <c r="P289" s="13"/>
      <c r="Q289" s="14"/>
      <c r="R289" s="14"/>
      <c r="S289" s="13"/>
      <c r="T289" s="1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</row>
    <row r="290" spans="2:147" s="12" customFormat="1" x14ac:dyDescent="0.25">
      <c r="B290" s="19"/>
      <c r="C290" s="14"/>
      <c r="D290" s="18"/>
      <c r="G290" s="17"/>
      <c r="H290" s="14"/>
      <c r="I290" s="14"/>
      <c r="J290" s="16"/>
      <c r="K290" s="15"/>
      <c r="L290" s="15"/>
      <c r="N290" s="14"/>
      <c r="O290" s="14"/>
      <c r="P290" s="13"/>
      <c r="Q290" s="14"/>
      <c r="R290" s="14"/>
      <c r="S290" s="13"/>
      <c r="T290" s="1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</row>
    <row r="291" spans="2:147" s="12" customFormat="1" x14ac:dyDescent="0.25">
      <c r="B291" s="19"/>
      <c r="C291" s="14"/>
      <c r="D291" s="18"/>
      <c r="G291" s="17"/>
      <c r="H291" s="14"/>
      <c r="I291" s="14"/>
      <c r="J291" s="16"/>
      <c r="K291" s="15"/>
      <c r="L291" s="15"/>
      <c r="N291" s="14"/>
      <c r="O291" s="14"/>
      <c r="P291" s="13"/>
      <c r="Q291" s="14"/>
      <c r="R291" s="14"/>
      <c r="S291" s="13"/>
      <c r="T291" s="1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</row>
    <row r="292" spans="2:147" s="12" customFormat="1" x14ac:dyDescent="0.25">
      <c r="B292" s="19"/>
      <c r="C292" s="14"/>
      <c r="D292" s="18"/>
      <c r="G292" s="17"/>
      <c r="H292" s="14"/>
      <c r="I292" s="14"/>
      <c r="J292" s="16"/>
      <c r="K292" s="15"/>
      <c r="L292" s="15"/>
      <c r="N292" s="14"/>
      <c r="O292" s="14"/>
      <c r="P292" s="13"/>
      <c r="Q292" s="14"/>
      <c r="R292" s="14"/>
      <c r="S292" s="13"/>
      <c r="T292" s="1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</row>
    <row r="293" spans="2:147" s="12" customFormat="1" x14ac:dyDescent="0.25">
      <c r="B293" s="19"/>
      <c r="C293" s="14"/>
      <c r="D293" s="18"/>
      <c r="G293" s="17"/>
      <c r="H293" s="14"/>
      <c r="I293" s="14"/>
      <c r="J293" s="16"/>
      <c r="K293" s="15"/>
      <c r="L293" s="15"/>
      <c r="N293" s="14"/>
      <c r="O293" s="14"/>
      <c r="P293" s="13"/>
      <c r="Q293" s="14"/>
      <c r="R293" s="14"/>
      <c r="S293" s="13"/>
      <c r="T293" s="1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</row>
    <row r="294" spans="2:147" s="12" customFormat="1" x14ac:dyDescent="0.25">
      <c r="B294" s="19"/>
      <c r="C294" s="14"/>
      <c r="D294" s="18"/>
      <c r="G294" s="17"/>
      <c r="H294" s="14"/>
      <c r="I294" s="14"/>
      <c r="J294" s="16"/>
      <c r="K294" s="15"/>
      <c r="L294" s="15"/>
      <c r="N294" s="14"/>
      <c r="O294" s="14"/>
      <c r="P294" s="13"/>
      <c r="Q294" s="14"/>
      <c r="R294" s="14"/>
      <c r="S294" s="13"/>
      <c r="T294" s="1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</row>
    <row r="295" spans="2:147" s="12" customFormat="1" x14ac:dyDescent="0.25">
      <c r="B295" s="19"/>
      <c r="C295" s="14"/>
      <c r="D295" s="18"/>
      <c r="G295" s="17"/>
      <c r="H295" s="14"/>
      <c r="I295" s="14"/>
      <c r="J295" s="16"/>
      <c r="K295" s="15"/>
      <c r="L295" s="15"/>
      <c r="N295" s="14"/>
      <c r="O295" s="14"/>
      <c r="P295" s="13"/>
      <c r="Q295" s="14"/>
      <c r="R295" s="14"/>
      <c r="S295" s="13"/>
      <c r="T295" s="1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</row>
    <row r="296" spans="2:147" s="12" customFormat="1" x14ac:dyDescent="0.25">
      <c r="B296" s="19"/>
      <c r="C296" s="14"/>
      <c r="D296" s="18"/>
      <c r="G296" s="17"/>
      <c r="H296" s="14"/>
      <c r="I296" s="14"/>
      <c r="J296" s="16"/>
      <c r="K296" s="15"/>
      <c r="L296" s="15"/>
      <c r="N296" s="14"/>
      <c r="O296" s="14"/>
      <c r="P296" s="13"/>
      <c r="Q296" s="14"/>
      <c r="R296" s="14"/>
      <c r="S296" s="13"/>
      <c r="T296" s="1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</row>
    <row r="297" spans="2:147" s="12" customFormat="1" x14ac:dyDescent="0.25">
      <c r="B297" s="19"/>
      <c r="C297" s="14"/>
      <c r="D297" s="18"/>
      <c r="G297" s="17"/>
      <c r="H297" s="14"/>
      <c r="I297" s="14"/>
      <c r="J297" s="16"/>
      <c r="K297" s="15"/>
      <c r="L297" s="15"/>
      <c r="N297" s="14"/>
      <c r="O297" s="14"/>
      <c r="P297" s="13"/>
      <c r="Q297" s="14"/>
      <c r="R297" s="14"/>
      <c r="S297" s="13"/>
      <c r="T297" s="1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</row>
    <row r="298" spans="2:147" s="12" customFormat="1" x14ac:dyDescent="0.25">
      <c r="B298" s="19"/>
      <c r="C298" s="14"/>
      <c r="D298" s="18"/>
      <c r="G298" s="17"/>
      <c r="H298" s="14"/>
      <c r="I298" s="14"/>
      <c r="J298" s="16"/>
      <c r="K298" s="15"/>
      <c r="L298" s="15"/>
      <c r="N298" s="14"/>
      <c r="O298" s="14"/>
      <c r="P298" s="13"/>
      <c r="Q298" s="14"/>
      <c r="R298" s="14"/>
      <c r="S298" s="13"/>
      <c r="T298" s="1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</row>
    <row r="299" spans="2:147" s="12" customFormat="1" x14ac:dyDescent="0.25">
      <c r="B299" s="19"/>
      <c r="C299" s="14"/>
      <c r="D299" s="18"/>
      <c r="G299" s="17"/>
      <c r="H299" s="14"/>
      <c r="I299" s="14"/>
      <c r="J299" s="16"/>
      <c r="K299" s="15"/>
      <c r="L299" s="15"/>
      <c r="N299" s="14"/>
      <c r="O299" s="14"/>
      <c r="P299" s="13"/>
      <c r="Q299" s="14"/>
      <c r="R299" s="14"/>
      <c r="S299" s="13"/>
      <c r="T299" s="1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</row>
    <row r="300" spans="2:147" s="12" customFormat="1" x14ac:dyDescent="0.25">
      <c r="B300" s="19"/>
      <c r="C300" s="14"/>
      <c r="D300" s="18"/>
      <c r="G300" s="17"/>
      <c r="H300" s="14"/>
      <c r="I300" s="14"/>
      <c r="J300" s="16"/>
      <c r="K300" s="15"/>
      <c r="L300" s="15"/>
      <c r="N300" s="14"/>
      <c r="O300" s="14"/>
      <c r="P300" s="13"/>
      <c r="Q300" s="14"/>
      <c r="R300" s="14"/>
      <c r="S300" s="13"/>
      <c r="T300" s="1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</row>
    <row r="301" spans="2:147" s="12" customFormat="1" x14ac:dyDescent="0.25">
      <c r="B301" s="19"/>
      <c r="C301" s="14"/>
      <c r="D301" s="18"/>
      <c r="G301" s="17"/>
      <c r="H301" s="14"/>
      <c r="I301" s="14"/>
      <c r="J301" s="16"/>
      <c r="K301" s="15"/>
      <c r="L301" s="15"/>
      <c r="N301" s="14"/>
      <c r="O301" s="14"/>
      <c r="P301" s="13"/>
      <c r="Q301" s="14"/>
      <c r="R301" s="14"/>
      <c r="S301" s="13"/>
      <c r="T301" s="1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</row>
    <row r="302" spans="2:147" s="12" customFormat="1" x14ac:dyDescent="0.25">
      <c r="B302" s="19"/>
      <c r="C302" s="14"/>
      <c r="D302" s="18"/>
      <c r="G302" s="17"/>
      <c r="H302" s="14"/>
      <c r="I302" s="14"/>
      <c r="J302" s="16"/>
      <c r="K302" s="15"/>
      <c r="L302" s="15"/>
      <c r="N302" s="14"/>
      <c r="O302" s="14"/>
      <c r="P302" s="13"/>
      <c r="Q302" s="14"/>
      <c r="R302" s="14"/>
      <c r="S302" s="13"/>
      <c r="T302" s="1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</row>
    <row r="303" spans="2:147" s="12" customFormat="1" x14ac:dyDescent="0.25">
      <c r="B303" s="19"/>
      <c r="C303" s="14"/>
      <c r="D303" s="18"/>
      <c r="G303" s="17"/>
      <c r="H303" s="14"/>
      <c r="I303" s="14"/>
      <c r="J303" s="16"/>
      <c r="K303" s="15"/>
      <c r="L303" s="15"/>
      <c r="N303" s="14"/>
      <c r="O303" s="14"/>
      <c r="P303" s="13"/>
      <c r="Q303" s="14"/>
      <c r="R303" s="14"/>
      <c r="S303" s="13"/>
      <c r="T303" s="1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</row>
    <row r="304" spans="2:147" s="12" customFormat="1" x14ac:dyDescent="0.25">
      <c r="B304" s="19"/>
      <c r="C304" s="14"/>
      <c r="D304" s="18"/>
      <c r="G304" s="17"/>
      <c r="H304" s="14"/>
      <c r="I304" s="14"/>
      <c r="J304" s="16"/>
      <c r="K304" s="15"/>
      <c r="L304" s="15"/>
      <c r="N304" s="14"/>
      <c r="O304" s="14"/>
      <c r="P304" s="13"/>
      <c r="Q304" s="14"/>
      <c r="R304" s="14"/>
      <c r="S304" s="13"/>
      <c r="T304" s="1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</row>
    <row r="305" spans="2:147" s="12" customFormat="1" x14ac:dyDescent="0.25">
      <c r="B305" s="19"/>
      <c r="C305" s="14"/>
      <c r="D305" s="18"/>
      <c r="G305" s="17"/>
      <c r="H305" s="14"/>
      <c r="I305" s="14"/>
      <c r="J305" s="16"/>
      <c r="K305" s="15"/>
      <c r="L305" s="15"/>
      <c r="N305" s="14"/>
      <c r="O305" s="14"/>
      <c r="P305" s="13"/>
      <c r="Q305" s="14"/>
      <c r="R305" s="14"/>
      <c r="S305" s="13"/>
      <c r="T305" s="1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</row>
    <row r="306" spans="2:147" s="12" customFormat="1" x14ac:dyDescent="0.25">
      <c r="B306" s="19"/>
      <c r="C306" s="14"/>
      <c r="D306" s="18"/>
      <c r="G306" s="17"/>
      <c r="H306" s="14"/>
      <c r="I306" s="14"/>
      <c r="J306" s="16"/>
      <c r="K306" s="15"/>
      <c r="L306" s="15"/>
      <c r="N306" s="14"/>
      <c r="O306" s="14"/>
      <c r="P306" s="13"/>
      <c r="Q306" s="14"/>
      <c r="R306" s="14"/>
      <c r="S306" s="13"/>
      <c r="T306" s="1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</row>
    <row r="307" spans="2:147" s="12" customFormat="1" x14ac:dyDescent="0.25">
      <c r="B307" s="19"/>
      <c r="C307" s="14"/>
      <c r="D307" s="18"/>
      <c r="G307" s="17"/>
      <c r="H307" s="14"/>
      <c r="I307" s="14"/>
      <c r="J307" s="16"/>
      <c r="K307" s="15"/>
      <c r="L307" s="15"/>
      <c r="N307" s="14"/>
      <c r="O307" s="14"/>
      <c r="P307" s="13"/>
      <c r="Q307" s="14"/>
      <c r="R307" s="14"/>
      <c r="S307" s="13"/>
      <c r="T307" s="1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</row>
    <row r="308" spans="2:147" s="12" customFormat="1" x14ac:dyDescent="0.25">
      <c r="B308" s="19"/>
      <c r="C308" s="14"/>
      <c r="D308" s="18"/>
      <c r="G308" s="17"/>
      <c r="H308" s="14"/>
      <c r="I308" s="14"/>
      <c r="J308" s="16"/>
      <c r="K308" s="15"/>
      <c r="L308" s="15"/>
      <c r="N308" s="14"/>
      <c r="O308" s="14"/>
      <c r="P308" s="13"/>
      <c r="Q308" s="14"/>
      <c r="R308" s="14"/>
      <c r="S308" s="13"/>
      <c r="T308" s="1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</row>
    <row r="309" spans="2:147" s="12" customFormat="1" x14ac:dyDescent="0.25">
      <c r="B309" s="19"/>
      <c r="C309" s="14"/>
      <c r="D309" s="18"/>
      <c r="G309" s="17"/>
      <c r="H309" s="14"/>
      <c r="I309" s="14"/>
      <c r="J309" s="16"/>
      <c r="K309" s="15"/>
      <c r="L309" s="15"/>
      <c r="N309" s="14"/>
      <c r="O309" s="14"/>
      <c r="P309" s="13"/>
      <c r="Q309" s="14"/>
      <c r="R309" s="14"/>
      <c r="S309" s="13"/>
      <c r="T309" s="1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</row>
    <row r="310" spans="2:147" s="12" customFormat="1" x14ac:dyDescent="0.25">
      <c r="B310" s="19"/>
      <c r="C310" s="14"/>
      <c r="D310" s="18"/>
      <c r="G310" s="17"/>
      <c r="H310" s="14"/>
      <c r="I310" s="14"/>
      <c r="J310" s="16"/>
      <c r="K310" s="15"/>
      <c r="L310" s="15"/>
      <c r="N310" s="14"/>
      <c r="O310" s="14"/>
      <c r="P310" s="13"/>
      <c r="Q310" s="14"/>
      <c r="R310" s="14"/>
      <c r="S310" s="13"/>
      <c r="T310" s="1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</row>
    <row r="311" spans="2:147" s="12" customFormat="1" x14ac:dyDescent="0.25">
      <c r="B311" s="19"/>
      <c r="C311" s="14"/>
      <c r="D311" s="18"/>
      <c r="G311" s="17"/>
      <c r="H311" s="14"/>
      <c r="I311" s="14"/>
      <c r="J311" s="16"/>
      <c r="K311" s="15"/>
      <c r="L311" s="15"/>
      <c r="N311" s="14"/>
      <c r="O311" s="14"/>
      <c r="P311" s="13"/>
      <c r="Q311" s="14"/>
      <c r="R311" s="14"/>
      <c r="S311" s="13"/>
      <c r="T311" s="1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</row>
    <row r="312" spans="2:147" s="12" customFormat="1" x14ac:dyDescent="0.25">
      <c r="B312" s="19"/>
      <c r="C312" s="14"/>
      <c r="D312" s="18"/>
      <c r="G312" s="17"/>
      <c r="H312" s="14"/>
      <c r="I312" s="14"/>
      <c r="J312" s="16"/>
      <c r="K312" s="15"/>
      <c r="L312" s="15"/>
      <c r="N312" s="14"/>
      <c r="O312" s="14"/>
      <c r="P312" s="13"/>
      <c r="Q312" s="14"/>
      <c r="R312" s="14"/>
      <c r="S312" s="13"/>
      <c r="T312" s="1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</row>
    <row r="313" spans="2:147" s="12" customFormat="1" x14ac:dyDescent="0.25">
      <c r="B313" s="19"/>
      <c r="C313" s="14"/>
      <c r="D313" s="18"/>
      <c r="G313" s="17"/>
      <c r="H313" s="14"/>
      <c r="I313" s="14"/>
      <c r="J313" s="16"/>
      <c r="K313" s="15"/>
      <c r="L313" s="15"/>
      <c r="N313" s="14"/>
      <c r="O313" s="14"/>
      <c r="P313" s="13"/>
      <c r="Q313" s="14"/>
      <c r="R313" s="14"/>
      <c r="S313" s="13"/>
      <c r="T313" s="1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</row>
    <row r="314" spans="2:147" s="12" customFormat="1" x14ac:dyDescent="0.25">
      <c r="B314" s="19"/>
      <c r="C314" s="14"/>
      <c r="D314" s="18"/>
      <c r="G314" s="17"/>
      <c r="H314" s="14"/>
      <c r="I314" s="14"/>
      <c r="J314" s="16"/>
      <c r="K314" s="15"/>
      <c r="L314" s="15"/>
      <c r="N314" s="14"/>
      <c r="O314" s="14"/>
      <c r="P314" s="13"/>
      <c r="Q314" s="14"/>
      <c r="R314" s="14"/>
      <c r="S314" s="13"/>
      <c r="T314" s="1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</row>
    <row r="315" spans="2:147" s="12" customFormat="1" x14ac:dyDescent="0.25">
      <c r="B315" s="19"/>
      <c r="C315" s="14"/>
      <c r="D315" s="18"/>
      <c r="G315" s="17"/>
      <c r="H315" s="14"/>
      <c r="I315" s="14"/>
      <c r="J315" s="16"/>
      <c r="K315" s="15"/>
      <c r="L315" s="15"/>
      <c r="N315" s="14"/>
      <c r="O315" s="14"/>
      <c r="P315" s="13"/>
      <c r="Q315" s="14"/>
      <c r="R315" s="14"/>
      <c r="S315" s="13"/>
      <c r="T315" s="1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</row>
    <row r="316" spans="2:147" s="12" customFormat="1" x14ac:dyDescent="0.25">
      <c r="B316" s="19"/>
      <c r="C316" s="14"/>
      <c r="D316" s="18"/>
      <c r="G316" s="17"/>
      <c r="H316" s="14"/>
      <c r="I316" s="14"/>
      <c r="J316" s="16"/>
      <c r="K316" s="15"/>
      <c r="L316" s="15"/>
      <c r="N316" s="14"/>
      <c r="O316" s="14"/>
      <c r="P316" s="13"/>
      <c r="Q316" s="14"/>
      <c r="R316" s="14"/>
      <c r="S316" s="13"/>
      <c r="T316" s="1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</row>
    <row r="317" spans="2:147" s="12" customFormat="1" x14ac:dyDescent="0.25">
      <c r="B317" s="19"/>
      <c r="C317" s="14"/>
      <c r="D317" s="18"/>
      <c r="G317" s="17"/>
      <c r="H317" s="14"/>
      <c r="I317" s="14"/>
      <c r="J317" s="16"/>
      <c r="K317" s="15"/>
      <c r="L317" s="15"/>
      <c r="N317" s="14"/>
      <c r="O317" s="14"/>
      <c r="P317" s="13"/>
      <c r="Q317" s="14"/>
      <c r="R317" s="14"/>
      <c r="S317" s="13"/>
      <c r="T317" s="1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</row>
    <row r="318" spans="2:147" s="12" customFormat="1" x14ac:dyDescent="0.25">
      <c r="B318" s="19"/>
      <c r="C318" s="14"/>
      <c r="D318" s="18"/>
      <c r="G318" s="17"/>
      <c r="H318" s="14"/>
      <c r="I318" s="14"/>
      <c r="J318" s="16"/>
      <c r="K318" s="15"/>
      <c r="L318" s="15"/>
      <c r="N318" s="14"/>
      <c r="O318" s="14"/>
      <c r="P318" s="13"/>
      <c r="Q318" s="14"/>
      <c r="R318" s="14"/>
      <c r="S318" s="13"/>
      <c r="T318" s="1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</row>
    <row r="319" spans="2:147" s="12" customFormat="1" x14ac:dyDescent="0.25">
      <c r="B319" s="19"/>
      <c r="C319" s="14"/>
      <c r="D319" s="18"/>
      <c r="G319" s="17"/>
      <c r="H319" s="14"/>
      <c r="I319" s="14"/>
      <c r="J319" s="16"/>
      <c r="K319" s="15"/>
      <c r="L319" s="15"/>
      <c r="N319" s="14"/>
      <c r="O319" s="14"/>
      <c r="P319" s="13"/>
      <c r="Q319" s="14"/>
      <c r="R319" s="14"/>
      <c r="S319" s="13"/>
      <c r="T319" s="1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</row>
    <row r="320" spans="2:147" s="12" customFormat="1" x14ac:dyDescent="0.25">
      <c r="B320" s="19"/>
      <c r="C320" s="14"/>
      <c r="D320" s="18"/>
      <c r="G320" s="17"/>
      <c r="H320" s="14"/>
      <c r="I320" s="14"/>
      <c r="J320" s="16"/>
      <c r="K320" s="15"/>
      <c r="L320" s="15"/>
      <c r="N320" s="14"/>
      <c r="O320" s="14"/>
      <c r="P320" s="13"/>
      <c r="Q320" s="14"/>
      <c r="R320" s="14"/>
      <c r="S320" s="13"/>
      <c r="T320" s="1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</row>
    <row r="321" spans="2:147" s="12" customFormat="1" x14ac:dyDescent="0.25">
      <c r="B321" s="19"/>
      <c r="C321" s="14"/>
      <c r="D321" s="18"/>
      <c r="G321" s="17"/>
      <c r="H321" s="14"/>
      <c r="I321" s="14"/>
      <c r="J321" s="16"/>
      <c r="K321" s="15"/>
      <c r="L321" s="15"/>
      <c r="N321" s="14"/>
      <c r="O321" s="14"/>
      <c r="P321" s="13"/>
      <c r="Q321" s="14"/>
      <c r="R321" s="14"/>
      <c r="S321" s="13"/>
      <c r="T321" s="1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</row>
    <row r="322" spans="2:147" s="12" customFormat="1" x14ac:dyDescent="0.25">
      <c r="B322" s="19"/>
      <c r="C322" s="14"/>
      <c r="D322" s="18"/>
      <c r="G322" s="17"/>
      <c r="H322" s="14"/>
      <c r="I322" s="14"/>
      <c r="J322" s="16"/>
      <c r="K322" s="15"/>
      <c r="L322" s="15"/>
      <c r="N322" s="14"/>
      <c r="O322" s="14"/>
      <c r="P322" s="13"/>
      <c r="Q322" s="14"/>
      <c r="R322" s="14"/>
      <c r="S322" s="13"/>
      <c r="T322" s="1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</row>
    <row r="323" spans="2:147" s="12" customFormat="1" x14ac:dyDescent="0.25">
      <c r="B323" s="19"/>
      <c r="C323" s="14"/>
      <c r="D323" s="18"/>
      <c r="G323" s="17"/>
      <c r="H323" s="14"/>
      <c r="I323" s="14"/>
      <c r="J323" s="16"/>
      <c r="K323" s="15"/>
      <c r="L323" s="15"/>
      <c r="N323" s="14"/>
      <c r="O323" s="14"/>
      <c r="P323" s="13"/>
      <c r="Q323" s="14"/>
      <c r="R323" s="14"/>
      <c r="S323" s="13"/>
      <c r="T323" s="1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</row>
    <row r="324" spans="2:147" s="12" customFormat="1" x14ac:dyDescent="0.25">
      <c r="B324" s="19"/>
      <c r="C324" s="14"/>
      <c r="D324" s="18"/>
      <c r="G324" s="17"/>
      <c r="H324" s="14"/>
      <c r="I324" s="14"/>
      <c r="J324" s="16"/>
      <c r="K324" s="15"/>
      <c r="L324" s="15"/>
      <c r="N324" s="14"/>
      <c r="O324" s="14"/>
      <c r="P324" s="13"/>
      <c r="Q324" s="14"/>
      <c r="R324" s="14"/>
      <c r="S324" s="13"/>
      <c r="T324" s="1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</row>
    <row r="325" spans="2:147" s="12" customFormat="1" x14ac:dyDescent="0.25">
      <c r="B325" s="19"/>
      <c r="C325" s="14"/>
      <c r="D325" s="18"/>
      <c r="G325" s="17"/>
      <c r="H325" s="14"/>
      <c r="I325" s="14"/>
      <c r="J325" s="16"/>
      <c r="K325" s="15"/>
      <c r="L325" s="15"/>
      <c r="N325" s="14"/>
      <c r="O325" s="14"/>
      <c r="P325" s="13"/>
      <c r="Q325" s="14"/>
      <c r="R325" s="14"/>
      <c r="S325" s="13"/>
      <c r="T325" s="1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</row>
    <row r="326" spans="2:147" s="12" customFormat="1" x14ac:dyDescent="0.25">
      <c r="B326" s="19"/>
      <c r="C326" s="14"/>
      <c r="D326" s="18"/>
      <c r="G326" s="17"/>
      <c r="H326" s="14"/>
      <c r="I326" s="14"/>
      <c r="J326" s="16"/>
      <c r="K326" s="15"/>
      <c r="L326" s="15"/>
      <c r="N326" s="14"/>
      <c r="O326" s="14"/>
      <c r="P326" s="13"/>
      <c r="Q326" s="14"/>
      <c r="R326" s="14"/>
      <c r="S326" s="13"/>
      <c r="T326" s="1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</row>
    <row r="327" spans="2:147" s="12" customFormat="1" x14ac:dyDescent="0.25">
      <c r="B327" s="19"/>
      <c r="C327" s="14"/>
      <c r="D327" s="18"/>
      <c r="G327" s="17"/>
      <c r="H327" s="14"/>
      <c r="I327" s="14"/>
      <c r="J327" s="16"/>
      <c r="K327" s="15"/>
      <c r="L327" s="15"/>
      <c r="N327" s="14"/>
      <c r="O327" s="14"/>
      <c r="P327" s="13"/>
      <c r="Q327" s="14"/>
      <c r="R327" s="14"/>
      <c r="S327" s="13"/>
      <c r="T327" s="1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</row>
    <row r="328" spans="2:147" s="12" customFormat="1" x14ac:dyDescent="0.25">
      <c r="B328" s="19"/>
      <c r="C328" s="14"/>
      <c r="D328" s="18"/>
      <c r="G328" s="17"/>
      <c r="H328" s="14"/>
      <c r="I328" s="14"/>
      <c r="J328" s="16"/>
      <c r="K328" s="15"/>
      <c r="L328" s="15"/>
      <c r="N328" s="14"/>
      <c r="O328" s="14"/>
      <c r="P328" s="13"/>
      <c r="Q328" s="14"/>
      <c r="R328" s="14"/>
      <c r="S328" s="13"/>
      <c r="T328" s="1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</row>
    <row r="329" spans="2:147" s="12" customFormat="1" x14ac:dyDescent="0.25">
      <c r="B329" s="19"/>
      <c r="C329" s="14"/>
      <c r="D329" s="18"/>
      <c r="G329" s="17"/>
      <c r="H329" s="14"/>
      <c r="I329" s="14"/>
      <c r="J329" s="16"/>
      <c r="K329" s="15"/>
      <c r="L329" s="15"/>
      <c r="N329" s="14"/>
      <c r="O329" s="14"/>
      <c r="P329" s="13"/>
      <c r="Q329" s="14"/>
      <c r="R329" s="14"/>
      <c r="S329" s="13"/>
      <c r="T329" s="1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</row>
    <row r="330" spans="2:147" s="12" customFormat="1" x14ac:dyDescent="0.25">
      <c r="B330" s="19"/>
      <c r="C330" s="14"/>
      <c r="D330" s="18"/>
      <c r="G330" s="17"/>
      <c r="H330" s="14"/>
      <c r="I330" s="14"/>
      <c r="J330" s="16"/>
      <c r="K330" s="15"/>
      <c r="L330" s="15"/>
      <c r="N330" s="14"/>
      <c r="O330" s="14"/>
      <c r="P330" s="13"/>
      <c r="Q330" s="14"/>
      <c r="R330" s="14"/>
      <c r="S330" s="13"/>
      <c r="T330" s="1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</row>
    <row r="331" spans="2:147" s="12" customFormat="1" x14ac:dyDescent="0.25">
      <c r="B331" s="19"/>
      <c r="C331" s="14"/>
      <c r="D331" s="18"/>
      <c r="G331" s="17"/>
      <c r="H331" s="14"/>
      <c r="I331" s="14"/>
      <c r="J331" s="16"/>
      <c r="K331" s="15"/>
      <c r="L331" s="15"/>
      <c r="N331" s="14"/>
      <c r="O331" s="14"/>
      <c r="P331" s="13"/>
      <c r="Q331" s="14"/>
      <c r="R331" s="14"/>
      <c r="S331" s="13"/>
      <c r="T331" s="1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</row>
    <row r="332" spans="2:147" s="12" customFormat="1" x14ac:dyDescent="0.25">
      <c r="B332" s="19"/>
      <c r="C332" s="14"/>
      <c r="D332" s="18"/>
      <c r="G332" s="17"/>
      <c r="H332" s="14"/>
      <c r="I332" s="14"/>
      <c r="J332" s="16"/>
      <c r="K332" s="15"/>
      <c r="L332" s="15"/>
      <c r="N332" s="14"/>
      <c r="O332" s="14"/>
      <c r="P332" s="13"/>
      <c r="Q332" s="14"/>
      <c r="R332" s="14"/>
      <c r="S332" s="13"/>
      <c r="T332" s="1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</row>
    <row r="333" spans="2:147" s="12" customFormat="1" x14ac:dyDescent="0.25">
      <c r="B333" s="19"/>
      <c r="C333" s="14"/>
      <c r="D333" s="18"/>
      <c r="G333" s="17"/>
      <c r="H333" s="14"/>
      <c r="I333" s="14"/>
      <c r="J333" s="16"/>
      <c r="K333" s="15"/>
      <c r="L333" s="15"/>
      <c r="N333" s="14"/>
      <c r="O333" s="14"/>
      <c r="P333" s="13"/>
      <c r="Q333" s="14"/>
      <c r="R333" s="14"/>
      <c r="S333" s="13"/>
      <c r="T333" s="1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</row>
    <row r="334" spans="2:147" s="12" customFormat="1" x14ac:dyDescent="0.25">
      <c r="B334" s="19"/>
      <c r="C334" s="14"/>
      <c r="D334" s="18"/>
      <c r="G334" s="17"/>
      <c r="H334" s="14"/>
      <c r="I334" s="14"/>
      <c r="J334" s="16"/>
      <c r="K334" s="15"/>
      <c r="L334" s="15"/>
      <c r="N334" s="14"/>
      <c r="O334" s="14"/>
      <c r="P334" s="13"/>
      <c r="Q334" s="14"/>
      <c r="R334" s="14"/>
      <c r="S334" s="13"/>
      <c r="T334" s="1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</row>
    <row r="335" spans="2:147" s="12" customFormat="1" x14ac:dyDescent="0.25">
      <c r="B335" s="19"/>
      <c r="C335" s="14"/>
      <c r="D335" s="18"/>
      <c r="G335" s="17"/>
      <c r="H335" s="14"/>
      <c r="I335" s="14"/>
      <c r="J335" s="16"/>
      <c r="K335" s="15"/>
      <c r="L335" s="15"/>
      <c r="N335" s="14"/>
      <c r="O335" s="14"/>
      <c r="P335" s="13"/>
      <c r="Q335" s="14"/>
      <c r="R335" s="14"/>
      <c r="S335" s="13"/>
      <c r="T335" s="1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</row>
    <row r="336" spans="2:147" s="12" customFormat="1" x14ac:dyDescent="0.25">
      <c r="B336" s="19"/>
      <c r="C336" s="14"/>
      <c r="D336" s="18"/>
      <c r="G336" s="17"/>
      <c r="H336" s="14"/>
      <c r="I336" s="14"/>
      <c r="J336" s="16"/>
      <c r="K336" s="15"/>
      <c r="L336" s="15"/>
      <c r="N336" s="14"/>
      <c r="O336" s="14"/>
      <c r="P336" s="13"/>
      <c r="Q336" s="14"/>
      <c r="R336" s="14"/>
      <c r="S336" s="13"/>
      <c r="T336" s="1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</row>
    <row r="337" spans="2:147" s="12" customFormat="1" x14ac:dyDescent="0.25">
      <c r="B337" s="19"/>
      <c r="C337" s="14"/>
      <c r="D337" s="18"/>
      <c r="G337" s="17"/>
      <c r="H337" s="14"/>
      <c r="I337" s="14"/>
      <c r="J337" s="16"/>
      <c r="K337" s="15"/>
      <c r="L337" s="15"/>
      <c r="N337" s="14"/>
      <c r="O337" s="14"/>
      <c r="P337" s="13"/>
      <c r="Q337" s="14"/>
      <c r="R337" s="14"/>
      <c r="S337" s="13"/>
      <c r="T337" s="1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</row>
    <row r="338" spans="2:147" s="12" customFormat="1" x14ac:dyDescent="0.25">
      <c r="B338" s="19"/>
      <c r="C338" s="14"/>
      <c r="D338" s="18"/>
      <c r="G338" s="17"/>
      <c r="H338" s="14"/>
      <c r="I338" s="14"/>
      <c r="J338" s="16"/>
      <c r="K338" s="15"/>
      <c r="L338" s="15"/>
      <c r="N338" s="14"/>
      <c r="O338" s="14"/>
      <c r="P338" s="13"/>
      <c r="Q338" s="14"/>
      <c r="R338" s="14"/>
      <c r="S338" s="13"/>
      <c r="T338" s="1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</row>
    <row r="339" spans="2:147" s="12" customFormat="1" x14ac:dyDescent="0.25">
      <c r="B339" s="19"/>
      <c r="C339" s="14"/>
      <c r="D339" s="18"/>
      <c r="G339" s="17"/>
      <c r="H339" s="14"/>
      <c r="I339" s="14"/>
      <c r="J339" s="16"/>
      <c r="K339" s="15"/>
      <c r="L339" s="15"/>
      <c r="N339" s="14"/>
      <c r="O339" s="14"/>
      <c r="P339" s="13"/>
      <c r="Q339" s="14"/>
      <c r="R339" s="14"/>
      <c r="S339" s="13"/>
      <c r="T339" s="1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</row>
    <row r="340" spans="2:147" s="12" customFormat="1" x14ac:dyDescent="0.25">
      <c r="B340" s="19"/>
      <c r="C340" s="14"/>
      <c r="D340" s="18"/>
      <c r="G340" s="17"/>
      <c r="H340" s="14"/>
      <c r="I340" s="14"/>
      <c r="J340" s="16"/>
      <c r="K340" s="15"/>
      <c r="L340" s="15"/>
      <c r="N340" s="14"/>
      <c r="O340" s="14"/>
      <c r="P340" s="13"/>
      <c r="Q340" s="14"/>
      <c r="R340" s="14"/>
      <c r="S340" s="13"/>
      <c r="T340" s="1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</row>
    <row r="341" spans="2:147" s="12" customFormat="1" x14ac:dyDescent="0.25">
      <c r="B341" s="19"/>
      <c r="C341" s="14"/>
      <c r="D341" s="18"/>
      <c r="G341" s="17"/>
      <c r="H341" s="14"/>
      <c r="I341" s="14"/>
      <c r="J341" s="16"/>
      <c r="K341" s="15"/>
      <c r="L341" s="15"/>
      <c r="N341" s="14"/>
      <c r="O341" s="14"/>
      <c r="P341" s="13"/>
      <c r="Q341" s="14"/>
      <c r="R341" s="14"/>
      <c r="S341" s="13"/>
      <c r="T341" s="1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</row>
    <row r="342" spans="2:147" s="12" customFormat="1" x14ac:dyDescent="0.25">
      <c r="B342" s="19"/>
      <c r="C342" s="14"/>
      <c r="D342" s="18"/>
      <c r="G342" s="17"/>
      <c r="H342" s="14"/>
      <c r="I342" s="14"/>
      <c r="J342" s="16"/>
      <c r="K342" s="15"/>
      <c r="L342" s="15"/>
      <c r="N342" s="14"/>
      <c r="O342" s="14"/>
      <c r="P342" s="13"/>
      <c r="Q342" s="14"/>
      <c r="R342" s="14"/>
      <c r="S342" s="13"/>
      <c r="T342" s="1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</row>
    <row r="343" spans="2:147" s="12" customFormat="1" x14ac:dyDescent="0.25">
      <c r="B343" s="19"/>
      <c r="C343" s="14"/>
      <c r="D343" s="18"/>
      <c r="G343" s="17"/>
      <c r="H343" s="14"/>
      <c r="I343" s="14"/>
      <c r="J343" s="16"/>
      <c r="K343" s="15"/>
      <c r="L343" s="15"/>
      <c r="N343" s="14"/>
      <c r="O343" s="14"/>
      <c r="P343" s="13"/>
      <c r="Q343" s="14"/>
      <c r="R343" s="14"/>
      <c r="S343" s="13"/>
      <c r="T343" s="1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</row>
    <row r="344" spans="2:147" s="12" customFormat="1" x14ac:dyDescent="0.25">
      <c r="B344" s="19"/>
      <c r="C344" s="14"/>
      <c r="D344" s="18"/>
      <c r="G344" s="17"/>
      <c r="H344" s="14"/>
      <c r="I344" s="14"/>
      <c r="J344" s="16"/>
      <c r="K344" s="15"/>
      <c r="L344" s="15"/>
      <c r="N344" s="14"/>
      <c r="O344" s="14"/>
      <c r="P344" s="13"/>
      <c r="Q344" s="14"/>
      <c r="R344" s="14"/>
      <c r="S344" s="13"/>
      <c r="T344" s="1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</row>
    <row r="345" spans="2:147" s="12" customFormat="1" x14ac:dyDescent="0.25">
      <c r="B345" s="19"/>
      <c r="C345" s="14"/>
      <c r="D345" s="18"/>
      <c r="G345" s="17"/>
      <c r="H345" s="14"/>
      <c r="I345" s="14"/>
      <c r="J345" s="16"/>
      <c r="K345" s="15"/>
      <c r="L345" s="15"/>
      <c r="N345" s="14"/>
      <c r="O345" s="14"/>
      <c r="P345" s="13"/>
      <c r="Q345" s="14"/>
      <c r="R345" s="14"/>
      <c r="S345" s="13"/>
      <c r="T345" s="1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</row>
    <row r="346" spans="2:147" s="12" customFormat="1" x14ac:dyDescent="0.25">
      <c r="B346" s="19"/>
      <c r="C346" s="14"/>
      <c r="D346" s="18"/>
      <c r="G346" s="17"/>
      <c r="H346" s="14"/>
      <c r="I346" s="14"/>
      <c r="J346" s="16"/>
      <c r="K346" s="15"/>
      <c r="L346" s="15"/>
      <c r="N346" s="14"/>
      <c r="O346" s="14"/>
      <c r="P346" s="13"/>
      <c r="Q346" s="14"/>
      <c r="R346" s="14"/>
      <c r="S346" s="13"/>
      <c r="T346" s="1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</row>
    <row r="347" spans="2:147" s="12" customFormat="1" x14ac:dyDescent="0.25">
      <c r="B347" s="19"/>
      <c r="C347" s="14"/>
      <c r="D347" s="18"/>
      <c r="G347" s="17"/>
      <c r="H347" s="14"/>
      <c r="I347" s="14"/>
      <c r="J347" s="16"/>
      <c r="K347" s="15"/>
      <c r="L347" s="15"/>
      <c r="N347" s="14"/>
      <c r="O347" s="14"/>
      <c r="P347" s="13"/>
      <c r="Q347" s="14"/>
      <c r="R347" s="14"/>
      <c r="S347" s="13"/>
      <c r="T347" s="1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</row>
    <row r="348" spans="2:147" s="12" customFormat="1" x14ac:dyDescent="0.25">
      <c r="B348" s="19"/>
      <c r="C348" s="14"/>
      <c r="D348" s="18"/>
      <c r="G348" s="17"/>
      <c r="H348" s="14"/>
      <c r="I348" s="14"/>
      <c r="J348" s="16"/>
      <c r="K348" s="15"/>
      <c r="L348" s="15"/>
      <c r="N348" s="14"/>
      <c r="O348" s="14"/>
      <c r="P348" s="13"/>
      <c r="Q348" s="14"/>
      <c r="R348" s="14"/>
      <c r="S348" s="13"/>
      <c r="T348" s="1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</row>
    <row r="349" spans="2:147" s="12" customFormat="1" x14ac:dyDescent="0.25">
      <c r="B349" s="19"/>
      <c r="C349" s="14"/>
      <c r="D349" s="18"/>
      <c r="G349" s="17"/>
      <c r="H349" s="14"/>
      <c r="I349" s="14"/>
      <c r="J349" s="16"/>
      <c r="K349" s="15"/>
      <c r="L349" s="15"/>
      <c r="N349" s="14"/>
      <c r="O349" s="14"/>
      <c r="P349" s="13"/>
      <c r="Q349" s="14"/>
      <c r="R349" s="14"/>
      <c r="S349" s="13"/>
      <c r="T349" s="1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</row>
    <row r="350" spans="2:147" s="12" customFormat="1" x14ac:dyDescent="0.25">
      <c r="B350" s="19"/>
      <c r="C350" s="14"/>
      <c r="D350" s="18"/>
      <c r="G350" s="17"/>
      <c r="H350" s="14"/>
      <c r="I350" s="14"/>
      <c r="J350" s="16"/>
      <c r="K350" s="15"/>
      <c r="L350" s="15"/>
      <c r="N350" s="14"/>
      <c r="O350" s="14"/>
      <c r="P350" s="13"/>
      <c r="Q350" s="14"/>
      <c r="R350" s="14"/>
      <c r="S350" s="13"/>
      <c r="T350" s="1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</row>
    <row r="351" spans="2:147" s="12" customFormat="1" x14ac:dyDescent="0.25">
      <c r="B351" s="19"/>
      <c r="C351" s="14"/>
      <c r="D351" s="18"/>
      <c r="G351" s="17"/>
      <c r="H351" s="14"/>
      <c r="I351" s="14"/>
      <c r="J351" s="16"/>
      <c r="K351" s="15"/>
      <c r="L351" s="15"/>
      <c r="N351" s="14"/>
      <c r="O351" s="14"/>
      <c r="P351" s="13"/>
      <c r="Q351" s="14"/>
      <c r="R351" s="14"/>
      <c r="S351" s="13"/>
      <c r="T351" s="1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</row>
    <row r="352" spans="2:147" s="12" customFormat="1" x14ac:dyDescent="0.25">
      <c r="B352" s="19"/>
      <c r="C352" s="14"/>
      <c r="D352" s="18"/>
      <c r="G352" s="17"/>
      <c r="H352" s="14"/>
      <c r="I352" s="14"/>
      <c r="J352" s="16"/>
      <c r="K352" s="15"/>
      <c r="L352" s="15"/>
      <c r="N352" s="14"/>
      <c r="O352" s="14"/>
      <c r="P352" s="13"/>
      <c r="Q352" s="14"/>
      <c r="R352" s="14"/>
      <c r="S352" s="13"/>
      <c r="T352" s="1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</row>
    <row r="353" spans="2:147" s="12" customFormat="1" x14ac:dyDescent="0.25">
      <c r="B353" s="19"/>
      <c r="C353" s="14"/>
      <c r="D353" s="18"/>
      <c r="G353" s="17"/>
      <c r="H353" s="14"/>
      <c r="I353" s="14"/>
      <c r="J353" s="16"/>
      <c r="K353" s="15"/>
      <c r="L353" s="15"/>
      <c r="N353" s="14"/>
      <c r="O353" s="14"/>
      <c r="P353" s="13"/>
      <c r="Q353" s="14"/>
      <c r="R353" s="14"/>
      <c r="S353" s="13"/>
      <c r="T353" s="1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</row>
    <row r="354" spans="2:147" s="12" customFormat="1" x14ac:dyDescent="0.25">
      <c r="B354" s="19"/>
      <c r="C354" s="14"/>
      <c r="D354" s="18"/>
      <c r="G354" s="17"/>
      <c r="H354" s="14"/>
      <c r="I354" s="14"/>
      <c r="J354" s="16"/>
      <c r="K354" s="15"/>
      <c r="L354" s="15"/>
      <c r="N354" s="14"/>
      <c r="O354" s="14"/>
      <c r="P354" s="13"/>
      <c r="Q354" s="14"/>
      <c r="R354" s="14"/>
      <c r="S354" s="13"/>
      <c r="T354" s="1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</row>
    <row r="355" spans="2:147" s="12" customFormat="1" x14ac:dyDescent="0.25">
      <c r="B355" s="19"/>
      <c r="C355" s="14"/>
      <c r="D355" s="18"/>
      <c r="G355" s="17"/>
      <c r="H355" s="14"/>
      <c r="I355" s="14"/>
      <c r="J355" s="16"/>
      <c r="K355" s="15"/>
      <c r="L355" s="15"/>
      <c r="N355" s="14"/>
      <c r="O355" s="14"/>
      <c r="P355" s="13"/>
      <c r="Q355" s="14"/>
      <c r="R355" s="14"/>
      <c r="S355" s="13"/>
      <c r="T355" s="1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</row>
    <row r="356" spans="2:147" s="12" customFormat="1" x14ac:dyDescent="0.25">
      <c r="B356" s="19"/>
      <c r="C356" s="14"/>
      <c r="D356" s="18"/>
      <c r="G356" s="17"/>
      <c r="H356" s="14"/>
      <c r="I356" s="14"/>
      <c r="J356" s="16"/>
      <c r="K356" s="15"/>
      <c r="L356" s="15"/>
      <c r="N356" s="14"/>
      <c r="O356" s="14"/>
      <c r="P356" s="13"/>
      <c r="Q356" s="14"/>
      <c r="R356" s="14"/>
      <c r="S356" s="13"/>
      <c r="T356" s="1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</row>
    <row r="357" spans="2:147" s="12" customFormat="1" x14ac:dyDescent="0.25">
      <c r="B357" s="19"/>
      <c r="C357" s="14"/>
      <c r="D357" s="18"/>
      <c r="G357" s="17"/>
      <c r="H357" s="14"/>
      <c r="I357" s="14"/>
      <c r="J357" s="16"/>
      <c r="K357" s="15"/>
      <c r="L357" s="15"/>
      <c r="N357" s="14"/>
      <c r="O357" s="14"/>
      <c r="P357" s="13"/>
      <c r="Q357" s="14"/>
      <c r="R357" s="14"/>
      <c r="S357" s="13"/>
      <c r="T357" s="1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</row>
    <row r="358" spans="2:147" s="12" customFormat="1" x14ac:dyDescent="0.25">
      <c r="B358" s="19"/>
      <c r="C358" s="14"/>
      <c r="D358" s="18"/>
      <c r="G358" s="17"/>
      <c r="H358" s="14"/>
      <c r="I358" s="14"/>
      <c r="J358" s="16"/>
      <c r="K358" s="15"/>
      <c r="L358" s="15"/>
      <c r="N358" s="14"/>
      <c r="O358" s="14"/>
      <c r="P358" s="13"/>
      <c r="Q358" s="14"/>
      <c r="R358" s="14"/>
      <c r="S358" s="13"/>
      <c r="T358" s="1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</row>
    <row r="359" spans="2:147" s="12" customFormat="1" x14ac:dyDescent="0.25">
      <c r="B359" s="19"/>
      <c r="C359" s="14"/>
      <c r="D359" s="18"/>
      <c r="G359" s="17"/>
      <c r="H359" s="14"/>
      <c r="I359" s="14"/>
      <c r="J359" s="16"/>
      <c r="K359" s="15"/>
      <c r="L359" s="15"/>
      <c r="N359" s="14"/>
      <c r="O359" s="14"/>
      <c r="P359" s="13"/>
      <c r="Q359" s="14"/>
      <c r="R359" s="14"/>
      <c r="S359" s="13"/>
      <c r="T359" s="1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</row>
    <row r="360" spans="2:147" s="12" customFormat="1" x14ac:dyDescent="0.25">
      <c r="B360" s="19"/>
      <c r="C360" s="14"/>
      <c r="D360" s="18"/>
      <c r="G360" s="17"/>
      <c r="H360" s="14"/>
      <c r="I360" s="14"/>
      <c r="J360" s="16"/>
      <c r="K360" s="15"/>
      <c r="L360" s="15"/>
      <c r="N360" s="14"/>
      <c r="O360" s="14"/>
      <c r="P360" s="13"/>
      <c r="Q360" s="14"/>
      <c r="R360" s="14"/>
      <c r="S360" s="13"/>
      <c r="T360" s="1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</row>
    <row r="361" spans="2:147" s="12" customFormat="1" x14ac:dyDescent="0.25">
      <c r="B361" s="19"/>
      <c r="C361" s="14"/>
      <c r="D361" s="18"/>
      <c r="G361" s="17"/>
      <c r="H361" s="14"/>
      <c r="I361" s="14"/>
      <c r="J361" s="16"/>
      <c r="K361" s="15"/>
      <c r="L361" s="15"/>
      <c r="N361" s="14"/>
      <c r="O361" s="14"/>
      <c r="P361" s="13"/>
      <c r="Q361" s="14"/>
      <c r="R361" s="14"/>
      <c r="S361" s="13"/>
      <c r="T361" s="1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</row>
    <row r="362" spans="2:147" s="12" customFormat="1" x14ac:dyDescent="0.25">
      <c r="B362" s="19"/>
      <c r="C362" s="14"/>
      <c r="D362" s="18"/>
      <c r="G362" s="17"/>
      <c r="H362" s="14"/>
      <c r="I362" s="14"/>
      <c r="J362" s="16"/>
      <c r="K362" s="15"/>
      <c r="L362" s="15"/>
      <c r="N362" s="14"/>
      <c r="O362" s="14"/>
      <c r="P362" s="13"/>
      <c r="Q362" s="14"/>
      <c r="R362" s="14"/>
      <c r="S362" s="13"/>
      <c r="T362" s="1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</row>
    <row r="363" spans="2:147" s="12" customFormat="1" x14ac:dyDescent="0.25">
      <c r="B363" s="19"/>
      <c r="C363" s="14"/>
      <c r="D363" s="18"/>
      <c r="G363" s="17"/>
      <c r="H363" s="14"/>
      <c r="I363" s="14"/>
      <c r="J363" s="16"/>
      <c r="K363" s="15"/>
      <c r="L363" s="15"/>
      <c r="N363" s="14"/>
      <c r="O363" s="14"/>
      <c r="P363" s="13"/>
      <c r="Q363" s="14"/>
      <c r="R363" s="14"/>
      <c r="S363" s="13"/>
      <c r="T363" s="1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</row>
    <row r="364" spans="2:147" s="12" customFormat="1" x14ac:dyDescent="0.25">
      <c r="B364" s="19"/>
      <c r="C364" s="14"/>
      <c r="D364" s="18"/>
      <c r="G364" s="17"/>
      <c r="H364" s="14"/>
      <c r="I364" s="14"/>
      <c r="J364" s="16"/>
      <c r="K364" s="15"/>
      <c r="L364" s="15"/>
      <c r="N364" s="14"/>
      <c r="O364" s="14"/>
      <c r="P364" s="13"/>
      <c r="Q364" s="14"/>
      <c r="R364" s="14"/>
      <c r="S364" s="13"/>
      <c r="T364" s="1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</row>
    <row r="365" spans="2:147" s="12" customFormat="1" x14ac:dyDescent="0.25">
      <c r="B365" s="19"/>
      <c r="C365" s="14"/>
      <c r="D365" s="18"/>
      <c r="G365" s="17"/>
      <c r="H365" s="14"/>
      <c r="I365" s="14"/>
      <c r="J365" s="16"/>
      <c r="K365" s="15"/>
      <c r="L365" s="15"/>
      <c r="N365" s="14"/>
      <c r="O365" s="14"/>
      <c r="P365" s="13"/>
      <c r="Q365" s="14"/>
      <c r="R365" s="14"/>
      <c r="S365" s="13"/>
      <c r="T365" s="1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</row>
    <row r="366" spans="2:147" s="12" customFormat="1" x14ac:dyDescent="0.25">
      <c r="B366" s="19"/>
      <c r="C366" s="14"/>
      <c r="D366" s="18"/>
      <c r="G366" s="17"/>
      <c r="H366" s="14"/>
      <c r="I366" s="14"/>
      <c r="J366" s="16"/>
      <c r="K366" s="15"/>
      <c r="L366" s="15"/>
      <c r="N366" s="14"/>
      <c r="O366" s="14"/>
      <c r="P366" s="13"/>
      <c r="Q366" s="14"/>
      <c r="R366" s="14"/>
      <c r="S366" s="13"/>
      <c r="T366" s="1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</row>
    <row r="367" spans="2:147" s="12" customFormat="1" x14ac:dyDescent="0.25">
      <c r="B367" s="19"/>
      <c r="C367" s="14"/>
      <c r="D367" s="18"/>
      <c r="G367" s="17"/>
      <c r="H367" s="14"/>
      <c r="I367" s="14"/>
      <c r="J367" s="16"/>
      <c r="K367" s="15"/>
      <c r="L367" s="15"/>
      <c r="N367" s="14"/>
      <c r="O367" s="14"/>
      <c r="P367" s="13"/>
      <c r="Q367" s="14"/>
      <c r="R367" s="14"/>
      <c r="S367" s="13"/>
      <c r="T367" s="1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</row>
    <row r="368" spans="2:147" s="12" customFormat="1" x14ac:dyDescent="0.25">
      <c r="B368" s="19"/>
      <c r="C368" s="14"/>
      <c r="D368" s="18"/>
      <c r="G368" s="17"/>
      <c r="H368" s="14"/>
      <c r="I368" s="14"/>
      <c r="J368" s="16"/>
      <c r="K368" s="15"/>
      <c r="L368" s="15"/>
      <c r="N368" s="14"/>
      <c r="O368" s="14"/>
      <c r="P368" s="13"/>
      <c r="Q368" s="14"/>
      <c r="R368" s="14"/>
      <c r="S368" s="13"/>
      <c r="T368" s="1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</row>
    <row r="369" spans="2:147" s="12" customFormat="1" x14ac:dyDescent="0.25">
      <c r="B369" s="19"/>
      <c r="C369" s="14"/>
      <c r="D369" s="18"/>
      <c r="G369" s="17"/>
      <c r="H369" s="14"/>
      <c r="I369" s="14"/>
      <c r="J369" s="16"/>
      <c r="K369" s="15"/>
      <c r="L369" s="15"/>
      <c r="N369" s="14"/>
      <c r="O369" s="14"/>
      <c r="P369" s="13"/>
      <c r="Q369" s="14"/>
      <c r="R369" s="14"/>
      <c r="S369" s="13"/>
      <c r="T369" s="1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</row>
    <row r="370" spans="2:147" s="12" customFormat="1" x14ac:dyDescent="0.25">
      <c r="B370" s="19"/>
      <c r="C370" s="14"/>
      <c r="D370" s="18"/>
      <c r="G370" s="17"/>
      <c r="H370" s="14"/>
      <c r="I370" s="14"/>
      <c r="J370" s="16"/>
      <c r="K370" s="15"/>
      <c r="L370" s="15"/>
      <c r="N370" s="14"/>
      <c r="O370" s="14"/>
      <c r="P370" s="13"/>
      <c r="Q370" s="14"/>
      <c r="R370" s="14"/>
      <c r="S370" s="13"/>
      <c r="T370" s="1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</row>
    <row r="371" spans="2:147" s="12" customFormat="1" x14ac:dyDescent="0.25">
      <c r="B371" s="19"/>
      <c r="C371" s="14"/>
      <c r="D371" s="18"/>
      <c r="G371" s="17"/>
      <c r="H371" s="14"/>
      <c r="I371" s="14"/>
      <c r="J371" s="16"/>
      <c r="K371" s="15"/>
      <c r="L371" s="15"/>
      <c r="N371" s="14"/>
      <c r="O371" s="14"/>
      <c r="P371" s="13"/>
      <c r="Q371" s="14"/>
      <c r="R371" s="14"/>
      <c r="S371" s="13"/>
      <c r="T371" s="1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</row>
    <row r="372" spans="2:147" s="12" customFormat="1" x14ac:dyDescent="0.25">
      <c r="B372" s="19"/>
      <c r="C372" s="14"/>
      <c r="D372" s="18"/>
      <c r="G372" s="17"/>
      <c r="H372" s="14"/>
      <c r="I372" s="14"/>
      <c r="J372" s="16"/>
      <c r="K372" s="15"/>
      <c r="L372" s="15"/>
      <c r="N372" s="14"/>
      <c r="O372" s="14"/>
      <c r="P372" s="13"/>
      <c r="Q372" s="14"/>
      <c r="R372" s="14"/>
      <c r="S372" s="13"/>
      <c r="T372" s="1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</row>
    <row r="373" spans="2:147" s="12" customFormat="1" x14ac:dyDescent="0.25">
      <c r="B373" s="19"/>
      <c r="C373" s="14"/>
      <c r="D373" s="18"/>
      <c r="G373" s="17"/>
      <c r="H373" s="14"/>
      <c r="I373" s="14"/>
      <c r="J373" s="16"/>
      <c r="K373" s="15"/>
      <c r="L373" s="15"/>
      <c r="N373" s="14"/>
      <c r="O373" s="14"/>
      <c r="P373" s="13"/>
      <c r="Q373" s="14"/>
      <c r="R373" s="14"/>
      <c r="S373" s="13"/>
      <c r="T373" s="1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</row>
    <row r="374" spans="2:147" s="12" customFormat="1" x14ac:dyDescent="0.25">
      <c r="B374" s="19"/>
      <c r="C374" s="14"/>
      <c r="D374" s="18"/>
      <c r="G374" s="17"/>
      <c r="H374" s="14"/>
      <c r="I374" s="14"/>
      <c r="J374" s="16"/>
      <c r="K374" s="15"/>
      <c r="L374" s="15"/>
      <c r="N374" s="14"/>
      <c r="O374" s="14"/>
      <c r="P374" s="13"/>
      <c r="Q374" s="14"/>
      <c r="R374" s="14"/>
      <c r="S374" s="13"/>
      <c r="T374" s="1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</row>
    <row r="375" spans="2:147" s="12" customFormat="1" x14ac:dyDescent="0.25">
      <c r="B375" s="19"/>
      <c r="C375" s="14"/>
      <c r="D375" s="18"/>
      <c r="G375" s="17"/>
      <c r="H375" s="14"/>
      <c r="I375" s="14"/>
      <c r="J375" s="16"/>
      <c r="K375" s="15"/>
      <c r="L375" s="15"/>
      <c r="N375" s="14"/>
      <c r="O375" s="14"/>
      <c r="P375" s="13"/>
      <c r="Q375" s="14"/>
      <c r="R375" s="14"/>
      <c r="S375" s="13"/>
      <c r="T375" s="1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</row>
    <row r="376" spans="2:147" s="12" customFormat="1" x14ac:dyDescent="0.25">
      <c r="B376" s="19"/>
      <c r="C376" s="14"/>
      <c r="D376" s="18"/>
      <c r="G376" s="17"/>
      <c r="H376" s="14"/>
      <c r="I376" s="14"/>
      <c r="J376" s="16"/>
      <c r="K376" s="15"/>
      <c r="L376" s="15"/>
      <c r="N376" s="14"/>
      <c r="O376" s="14"/>
      <c r="P376" s="13"/>
      <c r="Q376" s="14"/>
      <c r="R376" s="14"/>
      <c r="S376" s="13"/>
      <c r="T376" s="1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</row>
    <row r="377" spans="2:147" s="12" customFormat="1" x14ac:dyDescent="0.25">
      <c r="B377" s="19"/>
      <c r="C377" s="14"/>
      <c r="D377" s="18"/>
      <c r="G377" s="17"/>
      <c r="H377" s="14"/>
      <c r="I377" s="14"/>
      <c r="J377" s="16"/>
      <c r="K377" s="15"/>
      <c r="L377" s="15"/>
      <c r="N377" s="14"/>
      <c r="O377" s="14"/>
      <c r="P377" s="13"/>
      <c r="Q377" s="14"/>
      <c r="R377" s="14"/>
      <c r="S377" s="13"/>
      <c r="T377" s="1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</row>
    <row r="378" spans="2:147" s="12" customFormat="1" x14ac:dyDescent="0.25">
      <c r="B378" s="19"/>
      <c r="C378" s="14"/>
      <c r="D378" s="18"/>
      <c r="G378" s="17"/>
      <c r="H378" s="14"/>
      <c r="I378" s="14"/>
      <c r="J378" s="16"/>
      <c r="K378" s="15"/>
      <c r="L378" s="15"/>
      <c r="N378" s="14"/>
      <c r="O378" s="14"/>
      <c r="P378" s="13"/>
      <c r="Q378" s="14"/>
      <c r="R378" s="14"/>
      <c r="S378" s="13"/>
      <c r="T378" s="1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</row>
    <row r="379" spans="2:147" s="12" customFormat="1" x14ac:dyDescent="0.25">
      <c r="B379" s="19"/>
      <c r="C379" s="14"/>
      <c r="D379" s="18"/>
      <c r="G379" s="17"/>
      <c r="H379" s="14"/>
      <c r="I379" s="14"/>
      <c r="J379" s="16"/>
      <c r="K379" s="15"/>
      <c r="L379" s="15"/>
      <c r="N379" s="14"/>
      <c r="O379" s="14"/>
      <c r="P379" s="13"/>
      <c r="Q379" s="14"/>
      <c r="R379" s="14"/>
      <c r="S379" s="13"/>
      <c r="T379" s="1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</row>
    <row r="380" spans="2:147" s="12" customFormat="1" x14ac:dyDescent="0.25">
      <c r="B380" s="19"/>
      <c r="C380" s="14"/>
      <c r="D380" s="18"/>
      <c r="G380" s="17"/>
      <c r="H380" s="14"/>
      <c r="I380" s="14"/>
      <c r="J380" s="16"/>
      <c r="K380" s="15"/>
      <c r="L380" s="15"/>
      <c r="N380" s="14"/>
      <c r="O380" s="14"/>
      <c r="P380" s="13"/>
      <c r="Q380" s="14"/>
      <c r="R380" s="14"/>
      <c r="S380" s="13"/>
      <c r="T380" s="1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</row>
    <row r="381" spans="2:147" s="12" customFormat="1" x14ac:dyDescent="0.25">
      <c r="B381" s="19"/>
      <c r="C381" s="14"/>
      <c r="D381" s="18"/>
      <c r="G381" s="17"/>
      <c r="H381" s="14"/>
      <c r="I381" s="14"/>
      <c r="J381" s="16"/>
      <c r="K381" s="15"/>
      <c r="L381" s="15"/>
      <c r="N381" s="14"/>
      <c r="O381" s="14"/>
      <c r="P381" s="13"/>
      <c r="Q381" s="14"/>
      <c r="R381" s="14"/>
      <c r="S381" s="13"/>
      <c r="T381" s="1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</row>
    <row r="382" spans="2:147" s="12" customFormat="1" x14ac:dyDescent="0.25">
      <c r="B382" s="19"/>
      <c r="C382" s="14"/>
      <c r="D382" s="18"/>
      <c r="G382" s="17"/>
      <c r="H382" s="14"/>
      <c r="I382" s="14"/>
      <c r="J382" s="16"/>
      <c r="K382" s="15"/>
      <c r="L382" s="15"/>
      <c r="N382" s="14"/>
      <c r="O382" s="14"/>
      <c r="P382" s="13"/>
      <c r="Q382" s="14"/>
      <c r="R382" s="14"/>
      <c r="S382" s="13"/>
      <c r="T382" s="1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</row>
    <row r="383" spans="2:147" s="12" customFormat="1" x14ac:dyDescent="0.25">
      <c r="B383" s="19"/>
      <c r="C383" s="14"/>
      <c r="D383" s="18"/>
      <c r="G383" s="17"/>
      <c r="H383" s="14"/>
      <c r="I383" s="14"/>
      <c r="J383" s="16"/>
      <c r="K383" s="15"/>
      <c r="L383" s="15"/>
      <c r="N383" s="14"/>
      <c r="O383" s="14"/>
      <c r="P383" s="13"/>
      <c r="Q383" s="14"/>
      <c r="R383" s="14"/>
      <c r="S383" s="13"/>
      <c r="T383" s="1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</row>
    <row r="384" spans="2:147" s="12" customFormat="1" x14ac:dyDescent="0.25">
      <c r="B384" s="19"/>
      <c r="C384" s="14"/>
      <c r="D384" s="18"/>
      <c r="G384" s="17"/>
      <c r="H384" s="14"/>
      <c r="I384" s="14"/>
      <c r="J384" s="16"/>
      <c r="K384" s="15"/>
      <c r="L384" s="15"/>
      <c r="N384" s="14"/>
      <c r="O384" s="14"/>
      <c r="P384" s="13"/>
      <c r="Q384" s="14"/>
      <c r="R384" s="14"/>
      <c r="S384" s="13"/>
      <c r="T384" s="1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</row>
    <row r="385" spans="2:147" s="12" customFormat="1" x14ac:dyDescent="0.25">
      <c r="B385" s="19"/>
      <c r="C385" s="14"/>
      <c r="D385" s="18"/>
      <c r="G385" s="17"/>
      <c r="H385" s="14"/>
      <c r="I385" s="14"/>
      <c r="J385" s="16"/>
      <c r="K385" s="15"/>
      <c r="L385" s="15"/>
      <c r="N385" s="14"/>
      <c r="O385" s="14"/>
      <c r="P385" s="13"/>
      <c r="Q385" s="14"/>
      <c r="R385" s="14"/>
      <c r="S385" s="13"/>
      <c r="T385" s="1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</row>
    <row r="386" spans="2:147" s="12" customFormat="1" x14ac:dyDescent="0.25">
      <c r="B386" s="19"/>
      <c r="C386" s="14"/>
      <c r="D386" s="18"/>
      <c r="G386" s="17"/>
      <c r="H386" s="14"/>
      <c r="I386" s="14"/>
      <c r="J386" s="16"/>
      <c r="K386" s="15"/>
      <c r="L386" s="15"/>
      <c r="N386" s="14"/>
      <c r="O386" s="14"/>
      <c r="P386" s="13"/>
      <c r="Q386" s="14"/>
      <c r="R386" s="14"/>
      <c r="S386" s="13"/>
      <c r="T386" s="1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</row>
    <row r="387" spans="2:147" s="12" customFormat="1" x14ac:dyDescent="0.25">
      <c r="B387" s="19"/>
      <c r="C387" s="14"/>
      <c r="D387" s="18"/>
      <c r="G387" s="17"/>
      <c r="H387" s="14"/>
      <c r="I387" s="14"/>
      <c r="J387" s="16"/>
      <c r="K387" s="15"/>
      <c r="L387" s="15"/>
      <c r="N387" s="14"/>
      <c r="O387" s="14"/>
      <c r="P387" s="13"/>
      <c r="Q387" s="14"/>
      <c r="R387" s="14"/>
      <c r="S387" s="13"/>
      <c r="T387" s="1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</row>
    <row r="388" spans="2:147" s="12" customFormat="1" x14ac:dyDescent="0.25">
      <c r="B388" s="19"/>
      <c r="C388" s="14"/>
      <c r="D388" s="18"/>
      <c r="G388" s="17"/>
      <c r="H388" s="14"/>
      <c r="I388" s="14"/>
      <c r="J388" s="16"/>
      <c r="K388" s="15"/>
      <c r="L388" s="15"/>
      <c r="N388" s="14"/>
      <c r="O388" s="14"/>
      <c r="P388" s="13"/>
      <c r="Q388" s="14"/>
      <c r="R388" s="14"/>
      <c r="S388" s="13"/>
      <c r="T388" s="1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</row>
    <row r="389" spans="2:147" s="12" customFormat="1" x14ac:dyDescent="0.25">
      <c r="B389" s="19"/>
      <c r="C389" s="14"/>
      <c r="D389" s="18"/>
      <c r="G389" s="17"/>
      <c r="H389" s="14"/>
      <c r="I389" s="14"/>
      <c r="J389" s="16"/>
      <c r="K389" s="15"/>
      <c r="L389" s="15"/>
      <c r="N389" s="14"/>
      <c r="O389" s="14"/>
      <c r="P389" s="13"/>
      <c r="Q389" s="14"/>
      <c r="R389" s="14"/>
      <c r="S389" s="13"/>
      <c r="T389" s="1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</row>
    <row r="390" spans="2:147" s="12" customFormat="1" x14ac:dyDescent="0.25">
      <c r="B390" s="19"/>
      <c r="C390" s="14"/>
      <c r="D390" s="18"/>
      <c r="G390" s="17"/>
      <c r="H390" s="14"/>
      <c r="I390" s="14"/>
      <c r="J390" s="16"/>
      <c r="K390" s="15"/>
      <c r="L390" s="15"/>
      <c r="N390" s="14"/>
      <c r="O390" s="14"/>
      <c r="P390" s="13"/>
      <c r="Q390" s="14"/>
      <c r="R390" s="14"/>
      <c r="S390" s="13"/>
      <c r="T390" s="1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</row>
    <row r="391" spans="2:147" s="12" customFormat="1" x14ac:dyDescent="0.25">
      <c r="B391" s="19"/>
      <c r="C391" s="14"/>
      <c r="D391" s="18"/>
      <c r="G391" s="17"/>
      <c r="H391" s="14"/>
      <c r="I391" s="14"/>
      <c r="J391" s="16"/>
      <c r="K391" s="15"/>
      <c r="L391" s="15"/>
      <c r="N391" s="14"/>
      <c r="O391" s="14"/>
      <c r="P391" s="13"/>
      <c r="Q391" s="14"/>
      <c r="R391" s="14"/>
      <c r="S391" s="13"/>
      <c r="T391" s="1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</row>
    <row r="392" spans="2:147" s="12" customFormat="1" x14ac:dyDescent="0.25">
      <c r="B392" s="19"/>
      <c r="C392" s="14"/>
      <c r="D392" s="18"/>
      <c r="G392" s="17"/>
      <c r="H392" s="14"/>
      <c r="I392" s="14"/>
      <c r="J392" s="16"/>
      <c r="K392" s="15"/>
      <c r="L392" s="15"/>
      <c r="N392" s="14"/>
      <c r="O392" s="14"/>
      <c r="P392" s="13"/>
      <c r="Q392" s="14"/>
      <c r="R392" s="14"/>
      <c r="S392" s="13"/>
      <c r="T392" s="1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</row>
    <row r="393" spans="2:147" s="12" customFormat="1" x14ac:dyDescent="0.25">
      <c r="B393" s="19"/>
      <c r="C393" s="14"/>
      <c r="D393" s="18"/>
      <c r="G393" s="17"/>
      <c r="H393" s="14"/>
      <c r="I393" s="14"/>
      <c r="J393" s="16"/>
      <c r="K393" s="15"/>
      <c r="L393" s="15"/>
      <c r="N393" s="14"/>
      <c r="O393" s="14"/>
      <c r="P393" s="13"/>
      <c r="Q393" s="14"/>
      <c r="R393" s="14"/>
      <c r="S393" s="13"/>
      <c r="T393" s="1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</row>
    <row r="394" spans="2:147" s="12" customFormat="1" x14ac:dyDescent="0.25">
      <c r="B394" s="19"/>
      <c r="C394" s="14"/>
      <c r="D394" s="18"/>
      <c r="G394" s="17"/>
      <c r="H394" s="14"/>
      <c r="I394" s="14"/>
      <c r="J394" s="16"/>
      <c r="K394" s="15"/>
      <c r="L394" s="15"/>
      <c r="N394" s="14"/>
      <c r="O394" s="14"/>
      <c r="P394" s="13"/>
      <c r="Q394" s="14"/>
      <c r="R394" s="14"/>
      <c r="S394" s="13"/>
      <c r="T394" s="1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</row>
    <row r="395" spans="2:147" s="12" customFormat="1" x14ac:dyDescent="0.25">
      <c r="B395" s="19"/>
      <c r="C395" s="14"/>
      <c r="D395" s="18"/>
      <c r="G395" s="17"/>
      <c r="H395" s="14"/>
      <c r="I395" s="14"/>
      <c r="J395" s="16"/>
      <c r="K395" s="15"/>
      <c r="L395" s="15"/>
      <c r="N395" s="14"/>
      <c r="O395" s="14"/>
      <c r="P395" s="13"/>
      <c r="Q395" s="14"/>
      <c r="R395" s="14"/>
      <c r="S395" s="13"/>
      <c r="T395" s="1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</row>
    <row r="396" spans="2:147" s="12" customFormat="1" x14ac:dyDescent="0.25">
      <c r="B396" s="19"/>
      <c r="C396" s="14"/>
      <c r="D396" s="18"/>
      <c r="G396" s="17"/>
      <c r="H396" s="14"/>
      <c r="I396" s="14"/>
      <c r="J396" s="16"/>
      <c r="K396" s="15"/>
      <c r="L396" s="15"/>
      <c r="N396" s="14"/>
      <c r="O396" s="14"/>
      <c r="P396" s="13"/>
      <c r="Q396" s="14"/>
      <c r="R396" s="14"/>
      <c r="S396" s="13"/>
      <c r="T396" s="1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</row>
    <row r="397" spans="2:147" s="12" customFormat="1" x14ac:dyDescent="0.25">
      <c r="B397" s="19"/>
      <c r="C397" s="14"/>
      <c r="D397" s="18"/>
      <c r="G397" s="17"/>
      <c r="H397" s="14"/>
      <c r="I397" s="14"/>
      <c r="J397" s="16"/>
      <c r="K397" s="15"/>
      <c r="L397" s="15"/>
      <c r="N397" s="14"/>
      <c r="O397" s="14"/>
      <c r="P397" s="13"/>
      <c r="Q397" s="14"/>
      <c r="R397" s="14"/>
      <c r="S397" s="13"/>
      <c r="T397" s="1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</row>
    <row r="398" spans="2:147" s="12" customFormat="1" x14ac:dyDescent="0.25">
      <c r="B398" s="19"/>
      <c r="C398" s="14"/>
      <c r="D398" s="18"/>
      <c r="G398" s="17"/>
      <c r="H398" s="14"/>
      <c r="I398" s="14"/>
      <c r="J398" s="16"/>
      <c r="K398" s="15"/>
      <c r="L398" s="15"/>
      <c r="N398" s="14"/>
      <c r="O398" s="14"/>
      <c r="P398" s="13"/>
      <c r="Q398" s="14"/>
      <c r="R398" s="14"/>
      <c r="S398" s="13"/>
      <c r="T398" s="1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</row>
    <row r="399" spans="2:147" s="12" customFormat="1" x14ac:dyDescent="0.25">
      <c r="B399" s="19"/>
      <c r="C399" s="14"/>
      <c r="D399" s="18"/>
      <c r="G399" s="17"/>
      <c r="H399" s="14"/>
      <c r="I399" s="14"/>
      <c r="J399" s="16"/>
      <c r="K399" s="15"/>
      <c r="L399" s="15"/>
      <c r="N399" s="14"/>
      <c r="O399" s="14"/>
      <c r="P399" s="13"/>
      <c r="Q399" s="14"/>
      <c r="R399" s="14"/>
      <c r="S399" s="13"/>
      <c r="T399" s="1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</row>
    <row r="400" spans="2:147" s="12" customFormat="1" x14ac:dyDescent="0.25">
      <c r="B400" s="19"/>
      <c r="C400" s="14"/>
      <c r="D400" s="18"/>
      <c r="G400" s="17"/>
      <c r="H400" s="14"/>
      <c r="I400" s="14"/>
      <c r="J400" s="16"/>
      <c r="K400" s="15"/>
      <c r="L400" s="15"/>
      <c r="N400" s="14"/>
      <c r="O400" s="14"/>
      <c r="P400" s="13"/>
      <c r="Q400" s="14"/>
      <c r="R400" s="14"/>
      <c r="S400" s="13"/>
      <c r="T400" s="1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</row>
    <row r="401" spans="2:147" s="12" customFormat="1" x14ac:dyDescent="0.25">
      <c r="B401" s="19"/>
      <c r="C401" s="14"/>
      <c r="D401" s="18"/>
      <c r="G401" s="17"/>
      <c r="H401" s="14"/>
      <c r="I401" s="14"/>
      <c r="J401" s="16"/>
      <c r="K401" s="15"/>
      <c r="L401" s="15"/>
      <c r="N401" s="14"/>
      <c r="O401" s="14"/>
      <c r="P401" s="13"/>
      <c r="Q401" s="14"/>
      <c r="R401" s="14"/>
      <c r="S401" s="13"/>
      <c r="T401" s="1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</row>
    <row r="402" spans="2:147" s="12" customFormat="1" x14ac:dyDescent="0.25">
      <c r="B402" s="19"/>
      <c r="C402" s="14"/>
      <c r="D402" s="18"/>
      <c r="G402" s="17"/>
      <c r="H402" s="14"/>
      <c r="I402" s="14"/>
      <c r="J402" s="16"/>
      <c r="K402" s="15"/>
      <c r="L402" s="15"/>
      <c r="N402" s="14"/>
      <c r="O402" s="14"/>
      <c r="P402" s="13"/>
      <c r="Q402" s="14"/>
      <c r="R402" s="14"/>
      <c r="S402" s="13"/>
      <c r="T402" s="1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</row>
    <row r="403" spans="2:147" s="12" customFormat="1" x14ac:dyDescent="0.25">
      <c r="B403" s="19"/>
      <c r="C403" s="14"/>
      <c r="D403" s="18"/>
      <c r="G403" s="17"/>
      <c r="H403" s="14"/>
      <c r="I403" s="14"/>
      <c r="J403" s="16"/>
      <c r="K403" s="15"/>
      <c r="L403" s="15"/>
      <c r="N403" s="14"/>
      <c r="O403" s="14"/>
      <c r="P403" s="13"/>
      <c r="Q403" s="14"/>
      <c r="R403" s="14"/>
      <c r="S403" s="13"/>
      <c r="T403" s="1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</row>
    <row r="404" spans="2:147" s="12" customFormat="1" x14ac:dyDescent="0.25">
      <c r="B404" s="19"/>
      <c r="C404" s="14"/>
      <c r="D404" s="18"/>
      <c r="G404" s="17"/>
      <c r="H404" s="14"/>
      <c r="I404" s="14"/>
      <c r="J404" s="16"/>
      <c r="K404" s="15"/>
      <c r="L404" s="15"/>
      <c r="N404" s="14"/>
      <c r="O404" s="14"/>
      <c r="P404" s="13"/>
      <c r="Q404" s="14"/>
      <c r="R404" s="14"/>
      <c r="S404" s="13"/>
      <c r="T404" s="1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</row>
    <row r="405" spans="2:147" s="12" customFormat="1" x14ac:dyDescent="0.25">
      <c r="B405" s="19"/>
      <c r="C405" s="14"/>
      <c r="D405" s="18"/>
      <c r="G405" s="17"/>
      <c r="H405" s="14"/>
      <c r="I405" s="14"/>
      <c r="J405" s="16"/>
      <c r="K405" s="15"/>
      <c r="L405" s="15"/>
      <c r="N405" s="14"/>
      <c r="O405" s="14"/>
      <c r="P405" s="13"/>
      <c r="Q405" s="14"/>
      <c r="R405" s="14"/>
      <c r="S405" s="13"/>
      <c r="T405" s="1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</row>
    <row r="406" spans="2:147" s="12" customFormat="1" x14ac:dyDescent="0.25">
      <c r="B406" s="19"/>
      <c r="C406" s="14"/>
      <c r="D406" s="18"/>
      <c r="G406" s="17"/>
      <c r="H406" s="14"/>
      <c r="I406" s="14"/>
      <c r="J406" s="16"/>
      <c r="K406" s="15"/>
      <c r="L406" s="15"/>
      <c r="N406" s="14"/>
      <c r="O406" s="14"/>
      <c r="P406" s="13"/>
      <c r="Q406" s="14"/>
      <c r="R406" s="14"/>
      <c r="S406" s="13"/>
      <c r="T406" s="1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</row>
    <row r="407" spans="2:147" s="12" customFormat="1" x14ac:dyDescent="0.25">
      <c r="B407" s="19"/>
      <c r="C407" s="14"/>
      <c r="D407" s="18"/>
      <c r="G407" s="17"/>
      <c r="H407" s="14"/>
      <c r="I407" s="14"/>
      <c r="J407" s="16"/>
      <c r="K407" s="15"/>
      <c r="L407" s="15"/>
      <c r="N407" s="14"/>
      <c r="O407" s="14"/>
      <c r="P407" s="13"/>
      <c r="Q407" s="14"/>
      <c r="R407" s="14"/>
      <c r="S407" s="13"/>
      <c r="T407" s="1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</row>
    <row r="408" spans="2:147" s="12" customFormat="1" x14ac:dyDescent="0.25">
      <c r="B408" s="19"/>
      <c r="C408" s="14"/>
      <c r="D408" s="18"/>
      <c r="G408" s="17"/>
      <c r="H408" s="14"/>
      <c r="I408" s="14"/>
      <c r="J408" s="16"/>
      <c r="K408" s="15"/>
      <c r="L408" s="15"/>
      <c r="N408" s="14"/>
      <c r="O408" s="14"/>
      <c r="P408" s="13"/>
      <c r="Q408" s="14"/>
      <c r="R408" s="14"/>
      <c r="S408" s="13"/>
      <c r="T408" s="1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</row>
    <row r="409" spans="2:147" s="12" customFormat="1" x14ac:dyDescent="0.25">
      <c r="B409" s="19"/>
      <c r="C409" s="14"/>
      <c r="D409" s="18"/>
      <c r="G409" s="17"/>
      <c r="H409" s="14"/>
      <c r="I409" s="14"/>
      <c r="J409" s="16"/>
      <c r="K409" s="15"/>
      <c r="L409" s="15"/>
      <c r="N409" s="14"/>
      <c r="O409" s="14"/>
      <c r="P409" s="13"/>
      <c r="Q409" s="14"/>
      <c r="R409" s="14"/>
      <c r="S409" s="13"/>
      <c r="T409" s="1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</row>
    <row r="410" spans="2:147" s="12" customFormat="1" x14ac:dyDescent="0.25">
      <c r="B410" s="19"/>
      <c r="C410" s="14"/>
      <c r="D410" s="18"/>
      <c r="G410" s="17"/>
      <c r="H410" s="14"/>
      <c r="I410" s="14"/>
      <c r="J410" s="16"/>
      <c r="K410" s="15"/>
      <c r="L410" s="15"/>
      <c r="N410" s="14"/>
      <c r="O410" s="14"/>
      <c r="P410" s="13"/>
      <c r="Q410" s="14"/>
      <c r="R410" s="14"/>
      <c r="S410" s="13"/>
      <c r="T410" s="1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</row>
    <row r="411" spans="2:147" s="12" customFormat="1" x14ac:dyDescent="0.25">
      <c r="B411" s="19"/>
      <c r="C411" s="14"/>
      <c r="D411" s="18"/>
      <c r="G411" s="17"/>
      <c r="H411" s="14"/>
      <c r="I411" s="14"/>
      <c r="J411" s="16"/>
      <c r="K411" s="15"/>
      <c r="L411" s="15"/>
      <c r="N411" s="14"/>
      <c r="O411" s="14"/>
      <c r="P411" s="13"/>
      <c r="Q411" s="14"/>
      <c r="R411" s="14"/>
      <c r="S411" s="13"/>
      <c r="T411" s="1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</row>
    <row r="412" spans="2:147" s="12" customFormat="1" x14ac:dyDescent="0.25">
      <c r="B412" s="19"/>
      <c r="C412" s="14"/>
      <c r="D412" s="18"/>
      <c r="G412" s="17"/>
      <c r="H412" s="14"/>
      <c r="I412" s="14"/>
      <c r="J412" s="16"/>
      <c r="K412" s="15"/>
      <c r="L412" s="15"/>
      <c r="N412" s="14"/>
      <c r="O412" s="14"/>
      <c r="P412" s="13"/>
      <c r="Q412" s="14"/>
      <c r="R412" s="14"/>
      <c r="S412" s="13"/>
      <c r="T412" s="1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</row>
    <row r="413" spans="2:147" s="12" customFormat="1" x14ac:dyDescent="0.25">
      <c r="B413" s="19"/>
      <c r="C413" s="14"/>
      <c r="D413" s="18"/>
      <c r="G413" s="17"/>
      <c r="H413" s="14"/>
      <c r="I413" s="14"/>
      <c r="J413" s="16"/>
      <c r="K413" s="15"/>
      <c r="L413" s="15"/>
      <c r="N413" s="14"/>
      <c r="O413" s="14"/>
      <c r="P413" s="13"/>
      <c r="Q413" s="14"/>
      <c r="R413" s="14"/>
      <c r="S413" s="13"/>
      <c r="T413" s="1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</row>
    <row r="414" spans="2:147" s="12" customFormat="1" x14ac:dyDescent="0.25">
      <c r="B414" s="19"/>
      <c r="C414" s="14"/>
      <c r="D414" s="18"/>
      <c r="G414" s="17"/>
      <c r="H414" s="14"/>
      <c r="I414" s="14"/>
      <c r="J414" s="16"/>
      <c r="K414" s="15"/>
      <c r="L414" s="15"/>
      <c r="N414" s="14"/>
      <c r="O414" s="14"/>
      <c r="P414" s="13"/>
      <c r="Q414" s="14"/>
      <c r="R414" s="14"/>
      <c r="S414" s="13"/>
      <c r="T414" s="1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</row>
    <row r="415" spans="2:147" s="12" customFormat="1" x14ac:dyDescent="0.25">
      <c r="B415" s="19"/>
      <c r="C415" s="14"/>
      <c r="D415" s="18"/>
      <c r="G415" s="17"/>
      <c r="H415" s="14"/>
      <c r="I415" s="14"/>
      <c r="J415" s="16"/>
      <c r="K415" s="15"/>
      <c r="L415" s="15"/>
      <c r="N415" s="14"/>
      <c r="O415" s="14"/>
      <c r="P415" s="13"/>
      <c r="Q415" s="14"/>
      <c r="R415" s="14"/>
      <c r="S415" s="13"/>
      <c r="T415" s="1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</row>
    <row r="416" spans="2:147" s="12" customFormat="1" x14ac:dyDescent="0.25">
      <c r="B416" s="19"/>
      <c r="C416" s="14"/>
      <c r="D416" s="18"/>
      <c r="G416" s="17"/>
      <c r="H416" s="14"/>
      <c r="I416" s="14"/>
      <c r="J416" s="16"/>
      <c r="K416" s="15"/>
      <c r="L416" s="15"/>
      <c r="N416" s="14"/>
      <c r="O416" s="14"/>
      <c r="P416" s="13"/>
      <c r="Q416" s="14"/>
      <c r="R416" s="14"/>
      <c r="S416" s="13"/>
      <c r="T416" s="1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</row>
    <row r="417" spans="2:147" s="12" customFormat="1" x14ac:dyDescent="0.25">
      <c r="B417" s="19"/>
      <c r="C417" s="14"/>
      <c r="D417" s="18"/>
      <c r="G417" s="17"/>
      <c r="H417" s="14"/>
      <c r="I417" s="14"/>
      <c r="J417" s="16"/>
      <c r="K417" s="15"/>
      <c r="L417" s="15"/>
      <c r="N417" s="14"/>
      <c r="O417" s="14"/>
      <c r="P417" s="13"/>
      <c r="Q417" s="14"/>
      <c r="R417" s="14"/>
      <c r="S417" s="13"/>
      <c r="T417" s="1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</row>
    <row r="418" spans="2:147" s="12" customFormat="1" x14ac:dyDescent="0.25">
      <c r="B418" s="19"/>
      <c r="C418" s="14"/>
      <c r="D418" s="18"/>
      <c r="G418" s="17"/>
      <c r="H418" s="14"/>
      <c r="I418" s="14"/>
      <c r="J418" s="16"/>
      <c r="K418" s="15"/>
      <c r="L418" s="15"/>
      <c r="N418" s="14"/>
      <c r="O418" s="14"/>
      <c r="P418" s="13"/>
      <c r="Q418" s="14"/>
      <c r="R418" s="14"/>
      <c r="S418" s="13"/>
      <c r="T418" s="1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</row>
    <row r="419" spans="2:147" s="12" customFormat="1" x14ac:dyDescent="0.25">
      <c r="B419" s="19"/>
      <c r="C419" s="14"/>
      <c r="D419" s="18"/>
      <c r="G419" s="17"/>
      <c r="H419" s="14"/>
      <c r="I419" s="14"/>
      <c r="J419" s="16"/>
      <c r="K419" s="15"/>
      <c r="L419" s="15"/>
      <c r="N419" s="14"/>
      <c r="O419" s="14"/>
      <c r="P419" s="13"/>
      <c r="Q419" s="14"/>
      <c r="R419" s="14"/>
      <c r="S419" s="13"/>
      <c r="T419" s="1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</row>
    <row r="420" spans="2:147" s="12" customFormat="1" x14ac:dyDescent="0.25">
      <c r="B420" s="19"/>
      <c r="C420" s="14"/>
      <c r="D420" s="18"/>
      <c r="G420" s="17"/>
      <c r="H420" s="14"/>
      <c r="I420" s="14"/>
      <c r="J420" s="16"/>
      <c r="K420" s="15"/>
      <c r="L420" s="15"/>
      <c r="N420" s="14"/>
      <c r="O420" s="14"/>
      <c r="P420" s="13"/>
      <c r="Q420" s="14"/>
      <c r="R420" s="14"/>
      <c r="S420" s="13"/>
      <c r="T420" s="1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</row>
    <row r="421" spans="2:147" s="12" customFormat="1" x14ac:dyDescent="0.25">
      <c r="B421" s="19"/>
      <c r="C421" s="14"/>
      <c r="D421" s="18"/>
      <c r="G421" s="17"/>
      <c r="H421" s="14"/>
      <c r="I421" s="14"/>
      <c r="J421" s="16"/>
      <c r="K421" s="15"/>
      <c r="L421" s="15"/>
      <c r="N421" s="14"/>
      <c r="O421" s="14"/>
      <c r="P421" s="13"/>
      <c r="Q421" s="14"/>
      <c r="R421" s="14"/>
      <c r="S421" s="13"/>
      <c r="T421" s="1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</row>
    <row r="422" spans="2:147" s="12" customFormat="1" x14ac:dyDescent="0.25">
      <c r="B422" s="19"/>
      <c r="C422" s="14"/>
      <c r="D422" s="18"/>
      <c r="G422" s="17"/>
      <c r="H422" s="14"/>
      <c r="I422" s="14"/>
      <c r="J422" s="16"/>
      <c r="K422" s="15"/>
      <c r="L422" s="15"/>
      <c r="N422" s="14"/>
      <c r="O422" s="14"/>
      <c r="P422" s="13"/>
      <c r="Q422" s="14"/>
      <c r="R422" s="14"/>
      <c r="S422" s="13"/>
      <c r="T422" s="1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</row>
    <row r="423" spans="2:147" s="12" customFormat="1" x14ac:dyDescent="0.25">
      <c r="B423" s="19"/>
      <c r="C423" s="14"/>
      <c r="D423" s="18"/>
      <c r="G423" s="17"/>
      <c r="H423" s="14"/>
      <c r="I423" s="14"/>
      <c r="J423" s="16"/>
      <c r="K423" s="15"/>
      <c r="L423" s="15"/>
      <c r="N423" s="14"/>
      <c r="O423" s="14"/>
      <c r="P423" s="13"/>
      <c r="Q423" s="14"/>
      <c r="R423" s="14"/>
      <c r="S423" s="13"/>
      <c r="T423" s="1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</row>
    <row r="424" spans="2:147" s="12" customFormat="1" x14ac:dyDescent="0.25">
      <c r="B424" s="19"/>
      <c r="C424" s="14"/>
      <c r="D424" s="18"/>
      <c r="G424" s="17"/>
      <c r="H424" s="14"/>
      <c r="I424" s="14"/>
      <c r="J424" s="16"/>
      <c r="K424" s="15"/>
      <c r="L424" s="15"/>
      <c r="N424" s="14"/>
      <c r="O424" s="14"/>
      <c r="P424" s="13"/>
      <c r="Q424" s="14"/>
      <c r="R424" s="14"/>
      <c r="S424" s="13"/>
      <c r="T424" s="1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</row>
    <row r="425" spans="2:147" s="12" customFormat="1" x14ac:dyDescent="0.25">
      <c r="B425" s="19"/>
      <c r="C425" s="14"/>
      <c r="D425" s="18"/>
      <c r="G425" s="17"/>
      <c r="H425" s="14"/>
      <c r="I425" s="14"/>
      <c r="J425" s="16"/>
      <c r="K425" s="15"/>
      <c r="L425" s="15"/>
      <c r="N425" s="14"/>
      <c r="O425" s="14"/>
      <c r="P425" s="13"/>
      <c r="Q425" s="14"/>
      <c r="R425" s="14"/>
      <c r="S425" s="13"/>
      <c r="T425" s="1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</row>
    <row r="426" spans="2:147" s="12" customFormat="1" x14ac:dyDescent="0.25">
      <c r="B426" s="19"/>
      <c r="C426" s="14"/>
      <c r="D426" s="18"/>
      <c r="G426" s="17"/>
      <c r="H426" s="14"/>
      <c r="I426" s="14"/>
      <c r="J426" s="16"/>
      <c r="K426" s="15"/>
      <c r="L426" s="15"/>
      <c r="N426" s="14"/>
      <c r="O426" s="14"/>
      <c r="P426" s="13"/>
      <c r="Q426" s="14"/>
      <c r="R426" s="14"/>
      <c r="S426" s="13"/>
      <c r="T426" s="1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</row>
    <row r="427" spans="2:147" s="12" customFormat="1" x14ac:dyDescent="0.25">
      <c r="B427" s="19"/>
      <c r="C427" s="14"/>
      <c r="D427" s="18"/>
      <c r="G427" s="17"/>
      <c r="H427" s="14"/>
      <c r="I427" s="14"/>
      <c r="J427" s="16"/>
      <c r="K427" s="15"/>
      <c r="L427" s="15"/>
      <c r="N427" s="14"/>
      <c r="O427" s="14"/>
      <c r="P427" s="13"/>
      <c r="Q427" s="14"/>
      <c r="R427" s="14"/>
      <c r="S427" s="13"/>
      <c r="T427" s="1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</row>
    <row r="428" spans="2:147" s="12" customFormat="1" x14ac:dyDescent="0.25">
      <c r="B428" s="19"/>
      <c r="C428" s="14"/>
      <c r="D428" s="18"/>
      <c r="G428" s="17"/>
      <c r="H428" s="14"/>
      <c r="I428" s="14"/>
      <c r="J428" s="16"/>
      <c r="K428" s="15"/>
      <c r="L428" s="15"/>
      <c r="N428" s="14"/>
      <c r="O428" s="14"/>
      <c r="P428" s="13"/>
      <c r="Q428" s="14"/>
      <c r="R428" s="14"/>
      <c r="S428" s="13"/>
      <c r="T428" s="1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</row>
    <row r="429" spans="2:147" s="12" customFormat="1" x14ac:dyDescent="0.25">
      <c r="B429" s="19"/>
      <c r="C429" s="14"/>
      <c r="D429" s="18"/>
      <c r="G429" s="17"/>
      <c r="H429" s="14"/>
      <c r="I429" s="14"/>
      <c r="J429" s="16"/>
      <c r="K429" s="15"/>
      <c r="L429" s="15"/>
      <c r="N429" s="14"/>
      <c r="O429" s="14"/>
      <c r="P429" s="13"/>
      <c r="Q429" s="14"/>
      <c r="R429" s="14"/>
      <c r="S429" s="13"/>
      <c r="T429" s="1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</row>
    <row r="430" spans="2:147" s="12" customFormat="1" x14ac:dyDescent="0.25">
      <c r="B430" s="19"/>
      <c r="C430" s="14"/>
      <c r="D430" s="18"/>
      <c r="G430" s="17"/>
      <c r="H430" s="14"/>
      <c r="I430" s="14"/>
      <c r="J430" s="16"/>
      <c r="K430" s="15"/>
      <c r="L430" s="15"/>
      <c r="N430" s="14"/>
      <c r="O430" s="14"/>
      <c r="P430" s="13"/>
      <c r="Q430" s="14"/>
      <c r="R430" s="14"/>
      <c r="S430" s="13"/>
      <c r="T430" s="1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</row>
    <row r="431" spans="2:147" s="12" customFormat="1" x14ac:dyDescent="0.25">
      <c r="B431" s="19"/>
      <c r="C431" s="14"/>
      <c r="D431" s="18"/>
      <c r="G431" s="17"/>
      <c r="H431" s="14"/>
      <c r="I431" s="14"/>
      <c r="J431" s="16"/>
      <c r="K431" s="15"/>
      <c r="L431" s="15"/>
      <c r="N431" s="14"/>
      <c r="O431" s="14"/>
      <c r="P431" s="13"/>
      <c r="Q431" s="14"/>
      <c r="R431" s="14"/>
      <c r="S431" s="13"/>
      <c r="T431" s="1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</row>
    <row r="432" spans="2:147" s="12" customFormat="1" x14ac:dyDescent="0.25">
      <c r="B432" s="19"/>
      <c r="C432" s="14"/>
      <c r="D432" s="18"/>
      <c r="G432" s="17"/>
      <c r="H432" s="14"/>
      <c r="I432" s="14"/>
      <c r="J432" s="16"/>
      <c r="K432" s="15"/>
      <c r="L432" s="15"/>
      <c r="N432" s="14"/>
      <c r="O432" s="14"/>
      <c r="P432" s="13"/>
      <c r="Q432" s="14"/>
      <c r="R432" s="14"/>
      <c r="S432" s="13"/>
      <c r="T432" s="1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</row>
    <row r="433" spans="2:147" s="12" customFormat="1" x14ac:dyDescent="0.25">
      <c r="B433" s="19"/>
      <c r="C433" s="14"/>
      <c r="D433" s="18"/>
      <c r="G433" s="17"/>
      <c r="H433" s="14"/>
      <c r="I433" s="14"/>
      <c r="J433" s="16"/>
      <c r="K433" s="15"/>
      <c r="L433" s="15"/>
      <c r="N433" s="14"/>
      <c r="O433" s="14"/>
      <c r="P433" s="13"/>
      <c r="Q433" s="14"/>
      <c r="R433" s="14"/>
      <c r="S433" s="13"/>
      <c r="T433" s="1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</row>
    <row r="434" spans="2:147" s="12" customFormat="1" x14ac:dyDescent="0.25">
      <c r="B434" s="19"/>
      <c r="C434" s="14"/>
      <c r="D434" s="18"/>
      <c r="G434" s="17"/>
      <c r="H434" s="14"/>
      <c r="I434" s="14"/>
      <c r="J434" s="16"/>
      <c r="K434" s="15"/>
      <c r="L434" s="15"/>
      <c r="N434" s="14"/>
      <c r="O434" s="14"/>
      <c r="P434" s="13"/>
      <c r="Q434" s="14"/>
      <c r="R434" s="14"/>
      <c r="S434" s="13"/>
      <c r="T434" s="1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</row>
    <row r="435" spans="2:147" s="12" customFormat="1" x14ac:dyDescent="0.25">
      <c r="B435" s="19"/>
      <c r="C435" s="14"/>
      <c r="D435" s="18"/>
      <c r="G435" s="17"/>
      <c r="H435" s="14"/>
      <c r="I435" s="14"/>
      <c r="J435" s="16"/>
      <c r="K435" s="15"/>
      <c r="L435" s="15"/>
      <c r="N435" s="14"/>
      <c r="O435" s="14"/>
      <c r="P435" s="13"/>
      <c r="Q435" s="14"/>
      <c r="R435" s="14"/>
      <c r="S435" s="13"/>
      <c r="T435" s="1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</row>
    <row r="436" spans="2:147" s="12" customFormat="1" x14ac:dyDescent="0.25">
      <c r="B436" s="19"/>
      <c r="C436" s="14"/>
      <c r="D436" s="18"/>
      <c r="G436" s="17"/>
      <c r="H436" s="14"/>
      <c r="I436" s="14"/>
      <c r="J436" s="16"/>
      <c r="K436" s="15"/>
      <c r="L436" s="15"/>
      <c r="N436" s="14"/>
      <c r="O436" s="14"/>
      <c r="P436" s="13"/>
      <c r="Q436" s="14"/>
      <c r="R436" s="14"/>
      <c r="S436" s="13"/>
      <c r="T436" s="1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</row>
    <row r="437" spans="2:147" s="12" customFormat="1" x14ac:dyDescent="0.25">
      <c r="B437" s="19"/>
      <c r="C437" s="14"/>
      <c r="D437" s="18"/>
      <c r="G437" s="17"/>
      <c r="H437" s="14"/>
      <c r="I437" s="14"/>
      <c r="J437" s="16"/>
      <c r="K437" s="15"/>
      <c r="L437" s="15"/>
      <c r="N437" s="14"/>
      <c r="O437" s="14"/>
      <c r="P437" s="13"/>
      <c r="Q437" s="14"/>
      <c r="R437" s="14"/>
      <c r="S437" s="13"/>
      <c r="T437" s="1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</row>
    <row r="438" spans="2:147" s="12" customFormat="1" x14ac:dyDescent="0.25">
      <c r="B438" s="19"/>
      <c r="C438" s="14"/>
      <c r="D438" s="18"/>
      <c r="G438" s="17"/>
      <c r="H438" s="14"/>
      <c r="I438" s="14"/>
      <c r="J438" s="16"/>
      <c r="K438" s="15"/>
      <c r="L438" s="15"/>
      <c r="N438" s="14"/>
      <c r="O438" s="14"/>
      <c r="P438" s="13"/>
      <c r="Q438" s="14"/>
      <c r="R438" s="14"/>
      <c r="S438" s="13"/>
      <c r="T438" s="1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</row>
    <row r="439" spans="2:147" s="12" customFormat="1" x14ac:dyDescent="0.25">
      <c r="B439" s="19"/>
      <c r="C439" s="14"/>
      <c r="D439" s="18"/>
      <c r="G439" s="17"/>
      <c r="H439" s="14"/>
      <c r="I439" s="14"/>
      <c r="J439" s="16"/>
      <c r="K439" s="15"/>
      <c r="L439" s="15"/>
      <c r="N439" s="14"/>
      <c r="O439" s="14"/>
      <c r="P439" s="13"/>
      <c r="Q439" s="14"/>
      <c r="R439" s="14"/>
      <c r="S439" s="13"/>
      <c r="T439" s="1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</row>
    <row r="440" spans="2:147" s="12" customFormat="1" x14ac:dyDescent="0.25">
      <c r="B440" s="19"/>
      <c r="C440" s="14"/>
      <c r="D440" s="18"/>
      <c r="G440" s="17"/>
      <c r="H440" s="14"/>
      <c r="I440" s="14"/>
      <c r="J440" s="16"/>
      <c r="K440" s="15"/>
      <c r="L440" s="15"/>
      <c r="N440" s="14"/>
      <c r="O440" s="14"/>
      <c r="P440" s="13"/>
      <c r="Q440" s="14"/>
      <c r="R440" s="14"/>
      <c r="S440" s="13"/>
      <c r="T440" s="1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</row>
    <row r="441" spans="2:147" s="12" customFormat="1" x14ac:dyDescent="0.25">
      <c r="B441" s="19"/>
      <c r="C441" s="14"/>
      <c r="D441" s="18"/>
      <c r="G441" s="17"/>
      <c r="H441" s="14"/>
      <c r="I441" s="14"/>
      <c r="J441" s="16"/>
      <c r="K441" s="15"/>
      <c r="L441" s="15"/>
      <c r="N441" s="14"/>
      <c r="O441" s="14"/>
      <c r="P441" s="13"/>
      <c r="Q441" s="14"/>
      <c r="R441" s="14"/>
      <c r="S441" s="13"/>
      <c r="T441" s="1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</row>
    <row r="442" spans="2:147" s="12" customFormat="1" x14ac:dyDescent="0.25">
      <c r="B442" s="19"/>
      <c r="C442" s="14"/>
      <c r="D442" s="18"/>
      <c r="G442" s="17"/>
      <c r="H442" s="14"/>
      <c r="I442" s="14"/>
      <c r="J442" s="16"/>
      <c r="K442" s="15"/>
      <c r="L442" s="15"/>
      <c r="N442" s="14"/>
      <c r="O442" s="14"/>
      <c r="P442" s="13"/>
      <c r="Q442" s="14"/>
      <c r="R442" s="14"/>
      <c r="S442" s="13"/>
      <c r="T442" s="1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</row>
    <row r="443" spans="2:147" s="12" customFormat="1" x14ac:dyDescent="0.25">
      <c r="B443" s="19"/>
      <c r="C443" s="14"/>
      <c r="D443" s="18"/>
      <c r="G443" s="17"/>
      <c r="H443" s="14"/>
      <c r="I443" s="14"/>
      <c r="J443" s="16"/>
      <c r="K443" s="15"/>
      <c r="L443" s="15"/>
      <c r="N443" s="14"/>
      <c r="O443" s="14"/>
      <c r="P443" s="13"/>
      <c r="Q443" s="14"/>
      <c r="R443" s="14"/>
      <c r="S443" s="13"/>
      <c r="T443" s="1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</row>
    <row r="444" spans="2:147" s="12" customFormat="1" x14ac:dyDescent="0.25">
      <c r="B444" s="19"/>
      <c r="C444" s="14"/>
      <c r="D444" s="18"/>
      <c r="G444" s="17"/>
      <c r="H444" s="14"/>
      <c r="I444" s="14"/>
      <c r="J444" s="16"/>
      <c r="K444" s="15"/>
      <c r="L444" s="15"/>
      <c r="N444" s="14"/>
      <c r="O444" s="14"/>
      <c r="P444" s="13"/>
      <c r="Q444" s="14"/>
      <c r="R444" s="14"/>
      <c r="S444" s="13"/>
      <c r="T444" s="1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</row>
    <row r="445" spans="2:147" s="12" customFormat="1" x14ac:dyDescent="0.25">
      <c r="B445" s="19"/>
      <c r="C445" s="14"/>
      <c r="D445" s="18"/>
      <c r="G445" s="17"/>
      <c r="H445" s="14"/>
      <c r="I445" s="14"/>
      <c r="J445" s="16"/>
      <c r="K445" s="15"/>
      <c r="L445" s="15"/>
      <c r="N445" s="14"/>
      <c r="O445" s="14"/>
      <c r="P445" s="13"/>
      <c r="Q445" s="14"/>
      <c r="R445" s="14"/>
      <c r="S445" s="13"/>
      <c r="T445" s="1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</row>
    <row r="446" spans="2:147" s="12" customFormat="1" x14ac:dyDescent="0.25">
      <c r="B446" s="19"/>
      <c r="C446" s="14"/>
      <c r="D446" s="18"/>
      <c r="G446" s="17"/>
      <c r="H446" s="14"/>
      <c r="I446" s="14"/>
      <c r="J446" s="16"/>
      <c r="K446" s="15"/>
      <c r="L446" s="15"/>
      <c r="N446" s="14"/>
      <c r="O446" s="14"/>
      <c r="P446" s="13"/>
      <c r="Q446" s="14"/>
      <c r="R446" s="14"/>
      <c r="S446" s="13"/>
      <c r="T446" s="1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</row>
    <row r="447" spans="2:147" s="12" customFormat="1" x14ac:dyDescent="0.25">
      <c r="B447" s="19"/>
      <c r="C447" s="14"/>
      <c r="D447" s="18"/>
      <c r="G447" s="17"/>
      <c r="H447" s="14"/>
      <c r="I447" s="14"/>
      <c r="J447" s="16"/>
      <c r="K447" s="15"/>
      <c r="L447" s="15"/>
      <c r="N447" s="14"/>
      <c r="O447" s="14"/>
      <c r="P447" s="13"/>
      <c r="Q447" s="14"/>
      <c r="R447" s="14"/>
      <c r="S447" s="13"/>
      <c r="T447" s="1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</row>
    <row r="448" spans="2:147" s="12" customFormat="1" x14ac:dyDescent="0.25">
      <c r="B448" s="19"/>
      <c r="C448" s="14"/>
      <c r="D448" s="18"/>
      <c r="G448" s="17"/>
      <c r="H448" s="14"/>
      <c r="I448" s="14"/>
      <c r="J448" s="16"/>
      <c r="K448" s="15"/>
      <c r="L448" s="15"/>
      <c r="N448" s="14"/>
      <c r="O448" s="14"/>
      <c r="P448" s="13"/>
      <c r="Q448" s="14"/>
      <c r="R448" s="14"/>
      <c r="S448" s="13"/>
      <c r="T448" s="1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</row>
    <row r="449" spans="2:147" s="12" customFormat="1" x14ac:dyDescent="0.25">
      <c r="B449" s="19"/>
      <c r="C449" s="14"/>
      <c r="D449" s="18"/>
      <c r="G449" s="17"/>
      <c r="H449" s="14"/>
      <c r="I449" s="14"/>
      <c r="J449" s="16"/>
      <c r="K449" s="15"/>
      <c r="L449" s="15"/>
      <c r="N449" s="14"/>
      <c r="O449" s="14"/>
      <c r="P449" s="13"/>
      <c r="Q449" s="14"/>
      <c r="R449" s="14"/>
      <c r="S449" s="13"/>
      <c r="T449" s="1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</row>
    <row r="450" spans="2:147" s="12" customFormat="1" x14ac:dyDescent="0.25">
      <c r="B450" s="19"/>
      <c r="C450" s="14"/>
      <c r="D450" s="18"/>
      <c r="G450" s="17"/>
      <c r="H450" s="14"/>
      <c r="I450" s="14"/>
      <c r="J450" s="16"/>
      <c r="K450" s="15"/>
      <c r="L450" s="15"/>
      <c r="N450" s="14"/>
      <c r="O450" s="14"/>
      <c r="P450" s="13"/>
      <c r="Q450" s="14"/>
      <c r="R450" s="14"/>
      <c r="S450" s="13"/>
      <c r="T450" s="1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</row>
    <row r="451" spans="2:147" s="12" customFormat="1" x14ac:dyDescent="0.25">
      <c r="B451" s="19"/>
      <c r="C451" s="14"/>
      <c r="D451" s="18"/>
      <c r="G451" s="17"/>
      <c r="H451" s="14"/>
      <c r="I451" s="14"/>
      <c r="J451" s="16"/>
      <c r="K451" s="15"/>
      <c r="L451" s="15"/>
      <c r="N451" s="14"/>
      <c r="O451" s="14"/>
      <c r="P451" s="13"/>
      <c r="Q451" s="14"/>
      <c r="R451" s="14"/>
      <c r="S451" s="13"/>
      <c r="T451" s="1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</row>
    <row r="452" spans="2:147" s="12" customFormat="1" x14ac:dyDescent="0.25">
      <c r="B452" s="19"/>
      <c r="C452" s="14"/>
      <c r="D452" s="18"/>
      <c r="G452" s="17"/>
      <c r="H452" s="14"/>
      <c r="I452" s="14"/>
      <c r="J452" s="16"/>
      <c r="K452" s="15"/>
      <c r="L452" s="15"/>
      <c r="N452" s="14"/>
      <c r="O452" s="14"/>
      <c r="P452" s="13"/>
      <c r="Q452" s="14"/>
      <c r="R452" s="14"/>
      <c r="S452" s="13"/>
      <c r="T452" s="1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</row>
    <row r="453" spans="2:147" s="12" customFormat="1" x14ac:dyDescent="0.25">
      <c r="B453" s="19"/>
      <c r="C453" s="14"/>
      <c r="D453" s="18"/>
      <c r="G453" s="17"/>
      <c r="H453" s="14"/>
      <c r="I453" s="14"/>
      <c r="J453" s="16"/>
      <c r="K453" s="15"/>
      <c r="L453" s="15"/>
      <c r="N453" s="14"/>
      <c r="O453" s="14"/>
      <c r="P453" s="13"/>
      <c r="Q453" s="14"/>
      <c r="R453" s="14"/>
      <c r="S453" s="13"/>
      <c r="T453" s="1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</row>
    <row r="454" spans="2:147" s="12" customFormat="1" x14ac:dyDescent="0.25">
      <c r="B454" s="19"/>
      <c r="C454" s="14"/>
      <c r="D454" s="18"/>
      <c r="G454" s="17"/>
      <c r="H454" s="14"/>
      <c r="I454" s="14"/>
      <c r="J454" s="16"/>
      <c r="K454" s="15"/>
      <c r="L454" s="15"/>
      <c r="N454" s="14"/>
      <c r="O454" s="14"/>
      <c r="P454" s="13"/>
      <c r="Q454" s="14"/>
      <c r="R454" s="14"/>
      <c r="S454" s="13"/>
      <c r="T454" s="1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</row>
    <row r="455" spans="2:147" s="12" customFormat="1" x14ac:dyDescent="0.25">
      <c r="B455" s="19"/>
      <c r="C455" s="14"/>
      <c r="D455" s="18"/>
      <c r="G455" s="17"/>
      <c r="H455" s="14"/>
      <c r="I455" s="14"/>
      <c r="J455" s="16"/>
      <c r="K455" s="15"/>
      <c r="L455" s="15"/>
      <c r="N455" s="14"/>
      <c r="O455" s="14"/>
      <c r="P455" s="13"/>
      <c r="Q455" s="14"/>
      <c r="R455" s="14"/>
      <c r="S455" s="13"/>
      <c r="T455" s="1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</row>
    <row r="456" spans="2:147" s="12" customFormat="1" x14ac:dyDescent="0.25">
      <c r="B456" s="19"/>
      <c r="C456" s="14"/>
      <c r="D456" s="18"/>
      <c r="G456" s="17"/>
      <c r="H456" s="14"/>
      <c r="I456" s="14"/>
      <c r="J456" s="16"/>
      <c r="K456" s="15"/>
      <c r="L456" s="15"/>
      <c r="N456" s="14"/>
      <c r="O456" s="14"/>
      <c r="P456" s="13"/>
      <c r="Q456" s="14"/>
      <c r="R456" s="14"/>
      <c r="S456" s="13"/>
      <c r="T456" s="1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</row>
    <row r="457" spans="2:147" s="12" customFormat="1" x14ac:dyDescent="0.25">
      <c r="B457" s="19"/>
      <c r="C457" s="14"/>
      <c r="D457" s="18"/>
      <c r="G457" s="17"/>
      <c r="H457" s="14"/>
      <c r="I457" s="14"/>
      <c r="J457" s="16"/>
      <c r="K457" s="15"/>
      <c r="L457" s="15"/>
      <c r="N457" s="14"/>
      <c r="O457" s="14"/>
      <c r="P457" s="13"/>
      <c r="Q457" s="14"/>
      <c r="R457" s="14"/>
      <c r="S457" s="13"/>
      <c r="T457" s="1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</row>
    <row r="458" spans="2:147" s="12" customFormat="1" x14ac:dyDescent="0.25">
      <c r="B458" s="19"/>
      <c r="C458" s="14"/>
      <c r="D458" s="18"/>
      <c r="G458" s="17"/>
      <c r="H458" s="14"/>
      <c r="I458" s="14"/>
      <c r="J458" s="16"/>
      <c r="K458" s="15"/>
      <c r="L458" s="15"/>
      <c r="N458" s="14"/>
      <c r="O458" s="14"/>
      <c r="P458" s="13"/>
      <c r="Q458" s="14"/>
      <c r="R458" s="14"/>
      <c r="S458" s="13"/>
      <c r="T458" s="1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</row>
    <row r="459" spans="2:147" s="12" customFormat="1" x14ac:dyDescent="0.25">
      <c r="B459" s="19"/>
      <c r="C459" s="14"/>
      <c r="D459" s="18"/>
      <c r="G459" s="17"/>
      <c r="H459" s="14"/>
      <c r="I459" s="14"/>
      <c r="J459" s="16"/>
      <c r="K459" s="15"/>
      <c r="L459" s="15"/>
      <c r="N459" s="14"/>
      <c r="O459" s="14"/>
      <c r="P459" s="13"/>
      <c r="Q459" s="14"/>
      <c r="R459" s="14"/>
      <c r="S459" s="13"/>
      <c r="T459" s="1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</row>
    <row r="460" spans="2:147" s="12" customFormat="1" x14ac:dyDescent="0.25">
      <c r="B460" s="19"/>
      <c r="C460" s="14"/>
      <c r="D460" s="18"/>
      <c r="G460" s="17"/>
      <c r="H460" s="14"/>
      <c r="I460" s="14"/>
      <c r="J460" s="16"/>
      <c r="K460" s="15"/>
      <c r="L460" s="15"/>
      <c r="N460" s="14"/>
      <c r="O460" s="14"/>
      <c r="P460" s="13"/>
      <c r="Q460" s="14"/>
      <c r="R460" s="14"/>
      <c r="S460" s="13"/>
      <c r="T460" s="1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</row>
    <row r="461" spans="2:147" s="12" customFormat="1" x14ac:dyDescent="0.25">
      <c r="B461" s="19"/>
      <c r="C461" s="14"/>
      <c r="D461" s="18"/>
      <c r="G461" s="17"/>
      <c r="H461" s="14"/>
      <c r="I461" s="14"/>
      <c r="J461" s="16"/>
      <c r="K461" s="15"/>
      <c r="L461" s="15"/>
      <c r="N461" s="14"/>
      <c r="O461" s="14"/>
      <c r="P461" s="13"/>
      <c r="Q461" s="14"/>
      <c r="R461" s="14"/>
      <c r="S461" s="13"/>
      <c r="T461" s="1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</row>
    <row r="462" spans="2:147" s="12" customFormat="1" x14ac:dyDescent="0.25">
      <c r="B462" s="19"/>
      <c r="C462" s="14"/>
      <c r="D462" s="18"/>
      <c r="G462" s="17"/>
      <c r="H462" s="14"/>
      <c r="I462" s="14"/>
      <c r="J462" s="16"/>
      <c r="K462" s="15"/>
      <c r="L462" s="15"/>
      <c r="N462" s="14"/>
      <c r="O462" s="14"/>
      <c r="P462" s="13"/>
      <c r="Q462" s="14"/>
      <c r="R462" s="14"/>
      <c r="S462" s="13"/>
      <c r="T462" s="1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</row>
    <row r="463" spans="2:147" s="12" customFormat="1" x14ac:dyDescent="0.25">
      <c r="B463" s="19"/>
      <c r="C463" s="14"/>
      <c r="D463" s="18"/>
      <c r="G463" s="17"/>
      <c r="H463" s="14"/>
      <c r="I463" s="14"/>
      <c r="J463" s="16"/>
      <c r="K463" s="15"/>
      <c r="L463" s="15"/>
      <c r="N463" s="14"/>
      <c r="O463" s="14"/>
      <c r="P463" s="13"/>
      <c r="Q463" s="14"/>
      <c r="R463" s="14"/>
      <c r="S463" s="13"/>
      <c r="T463" s="1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</row>
    <row r="464" spans="2:147" s="12" customFormat="1" x14ac:dyDescent="0.25">
      <c r="B464" s="19"/>
      <c r="C464" s="14"/>
      <c r="D464" s="18"/>
      <c r="G464" s="17"/>
      <c r="H464" s="14"/>
      <c r="I464" s="14"/>
      <c r="J464" s="16"/>
      <c r="K464" s="15"/>
      <c r="L464" s="15"/>
      <c r="N464" s="14"/>
      <c r="O464" s="14"/>
      <c r="P464" s="13"/>
      <c r="Q464" s="14"/>
      <c r="R464" s="14"/>
      <c r="S464" s="13"/>
      <c r="T464" s="1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</row>
    <row r="465" spans="2:147" s="12" customFormat="1" x14ac:dyDescent="0.25">
      <c r="B465" s="19"/>
      <c r="C465" s="14"/>
      <c r="D465" s="18"/>
      <c r="G465" s="17"/>
      <c r="H465" s="14"/>
      <c r="I465" s="14"/>
      <c r="J465" s="16"/>
      <c r="K465" s="15"/>
      <c r="L465" s="15"/>
      <c r="N465" s="14"/>
      <c r="O465" s="14"/>
      <c r="P465" s="13"/>
      <c r="Q465" s="14"/>
      <c r="R465" s="14"/>
      <c r="S465" s="13"/>
      <c r="T465" s="1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</row>
    <row r="466" spans="2:147" s="12" customFormat="1" x14ac:dyDescent="0.25">
      <c r="B466" s="19"/>
      <c r="C466" s="14"/>
      <c r="D466" s="18"/>
      <c r="G466" s="17"/>
      <c r="H466" s="14"/>
      <c r="I466" s="14"/>
      <c r="J466" s="16"/>
      <c r="K466" s="15"/>
      <c r="L466" s="15"/>
      <c r="N466" s="14"/>
      <c r="O466" s="14"/>
      <c r="P466" s="13"/>
      <c r="Q466" s="14"/>
      <c r="R466" s="14"/>
      <c r="S466" s="13"/>
      <c r="T466" s="1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</row>
    <row r="467" spans="2:147" s="12" customFormat="1" x14ac:dyDescent="0.25">
      <c r="B467" s="19"/>
      <c r="C467" s="14"/>
      <c r="D467" s="18"/>
      <c r="G467" s="17"/>
      <c r="H467" s="14"/>
      <c r="I467" s="14"/>
      <c r="J467" s="16"/>
      <c r="K467" s="15"/>
      <c r="L467" s="15"/>
      <c r="N467" s="14"/>
      <c r="O467" s="14"/>
      <c r="P467" s="13"/>
      <c r="Q467" s="14"/>
      <c r="R467" s="14"/>
      <c r="S467" s="13"/>
      <c r="T467" s="1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</row>
    <row r="468" spans="2:147" s="12" customFormat="1" x14ac:dyDescent="0.25">
      <c r="B468" s="19"/>
      <c r="C468" s="14"/>
      <c r="D468" s="18"/>
      <c r="G468" s="17"/>
      <c r="H468" s="14"/>
      <c r="I468" s="14"/>
      <c r="J468" s="16"/>
      <c r="K468" s="15"/>
      <c r="L468" s="15"/>
      <c r="N468" s="14"/>
      <c r="O468" s="14"/>
      <c r="P468" s="13"/>
      <c r="Q468" s="14"/>
      <c r="R468" s="14"/>
      <c r="S468" s="13"/>
      <c r="T468" s="1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</row>
    <row r="469" spans="2:147" s="12" customFormat="1" x14ac:dyDescent="0.25">
      <c r="B469" s="19"/>
      <c r="C469" s="14"/>
      <c r="D469" s="18"/>
      <c r="G469" s="17"/>
      <c r="H469" s="14"/>
      <c r="I469" s="14"/>
      <c r="J469" s="16"/>
      <c r="K469" s="15"/>
      <c r="L469" s="15"/>
      <c r="N469" s="14"/>
      <c r="O469" s="14"/>
      <c r="P469" s="13"/>
      <c r="Q469" s="14"/>
      <c r="R469" s="14"/>
      <c r="S469" s="13"/>
      <c r="T469" s="1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</row>
    <row r="470" spans="2:147" s="12" customFormat="1" x14ac:dyDescent="0.25">
      <c r="B470" s="19"/>
      <c r="C470" s="14"/>
      <c r="D470" s="18"/>
      <c r="G470" s="17"/>
      <c r="H470" s="14"/>
      <c r="I470" s="14"/>
      <c r="J470" s="16"/>
      <c r="K470" s="15"/>
      <c r="L470" s="15"/>
      <c r="N470" s="14"/>
      <c r="O470" s="14"/>
      <c r="P470" s="13"/>
      <c r="Q470" s="14"/>
      <c r="R470" s="14"/>
      <c r="S470" s="13"/>
      <c r="T470" s="1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</row>
    <row r="471" spans="2:147" s="12" customFormat="1" x14ac:dyDescent="0.25">
      <c r="B471" s="19"/>
      <c r="C471" s="14"/>
      <c r="D471" s="18"/>
      <c r="G471" s="17"/>
      <c r="H471" s="14"/>
      <c r="I471" s="14"/>
      <c r="J471" s="16"/>
      <c r="K471" s="15"/>
      <c r="L471" s="15"/>
      <c r="N471" s="14"/>
      <c r="O471" s="14"/>
      <c r="P471" s="13"/>
      <c r="Q471" s="14"/>
      <c r="R471" s="14"/>
      <c r="S471" s="13"/>
      <c r="T471" s="1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</row>
    <row r="472" spans="2:147" s="12" customFormat="1" x14ac:dyDescent="0.25">
      <c r="B472" s="19"/>
      <c r="C472" s="14"/>
      <c r="D472" s="18"/>
      <c r="G472" s="17"/>
      <c r="H472" s="14"/>
      <c r="I472" s="14"/>
      <c r="J472" s="16"/>
      <c r="K472" s="15"/>
      <c r="L472" s="15"/>
      <c r="N472" s="14"/>
      <c r="O472" s="14"/>
      <c r="P472" s="13"/>
      <c r="Q472" s="14"/>
      <c r="R472" s="14"/>
      <c r="S472" s="13"/>
      <c r="T472" s="1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</row>
    <row r="473" spans="2:147" s="12" customFormat="1" x14ac:dyDescent="0.25">
      <c r="B473" s="19"/>
      <c r="C473" s="14"/>
      <c r="D473" s="18"/>
      <c r="G473" s="17"/>
      <c r="H473" s="14"/>
      <c r="I473" s="14"/>
      <c r="J473" s="16"/>
      <c r="K473" s="15"/>
      <c r="L473" s="15"/>
      <c r="N473" s="14"/>
      <c r="O473" s="14"/>
      <c r="P473" s="13"/>
      <c r="Q473" s="14"/>
      <c r="R473" s="14"/>
      <c r="S473" s="13"/>
      <c r="T473" s="1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</row>
    <row r="474" spans="2:147" s="12" customFormat="1" x14ac:dyDescent="0.25">
      <c r="B474" s="19"/>
      <c r="C474" s="14"/>
      <c r="D474" s="18"/>
      <c r="G474" s="17"/>
      <c r="H474" s="14"/>
      <c r="I474" s="14"/>
      <c r="J474" s="16"/>
      <c r="K474" s="15"/>
      <c r="L474" s="15"/>
      <c r="N474" s="14"/>
      <c r="O474" s="14"/>
      <c r="P474" s="13"/>
      <c r="Q474" s="14"/>
      <c r="R474" s="14"/>
      <c r="S474" s="13"/>
      <c r="T474" s="1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</row>
    <row r="475" spans="2:147" s="12" customFormat="1" x14ac:dyDescent="0.25">
      <c r="B475" s="19"/>
      <c r="C475" s="14"/>
      <c r="D475" s="18"/>
      <c r="G475" s="17"/>
      <c r="H475" s="14"/>
      <c r="I475" s="14"/>
      <c r="J475" s="16"/>
      <c r="K475" s="15"/>
      <c r="L475" s="15"/>
      <c r="N475" s="14"/>
      <c r="O475" s="14"/>
      <c r="P475" s="13"/>
      <c r="Q475" s="14"/>
      <c r="R475" s="14"/>
      <c r="S475" s="13"/>
      <c r="T475" s="1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</row>
    <row r="476" spans="2:147" s="12" customFormat="1" x14ac:dyDescent="0.25">
      <c r="B476" s="19"/>
      <c r="C476" s="14"/>
      <c r="D476" s="18"/>
      <c r="G476" s="17"/>
      <c r="H476" s="14"/>
      <c r="I476" s="14"/>
      <c r="J476" s="16"/>
      <c r="K476" s="15"/>
      <c r="L476" s="15"/>
      <c r="N476" s="14"/>
      <c r="O476" s="14"/>
      <c r="P476" s="13"/>
      <c r="Q476" s="14"/>
      <c r="R476" s="14"/>
      <c r="S476" s="13"/>
      <c r="T476" s="1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</row>
    <row r="477" spans="2:147" s="12" customFormat="1" x14ac:dyDescent="0.25">
      <c r="B477" s="19"/>
      <c r="C477" s="14"/>
      <c r="D477" s="18"/>
      <c r="G477" s="17"/>
      <c r="H477" s="14"/>
      <c r="I477" s="14"/>
      <c r="J477" s="16"/>
      <c r="K477" s="15"/>
      <c r="L477" s="15"/>
      <c r="N477" s="14"/>
      <c r="O477" s="14"/>
      <c r="P477" s="13"/>
      <c r="Q477" s="14"/>
      <c r="R477" s="14"/>
      <c r="S477" s="13"/>
      <c r="T477" s="1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</row>
    <row r="478" spans="2:147" s="12" customFormat="1" x14ac:dyDescent="0.25">
      <c r="B478" s="19"/>
      <c r="C478" s="14"/>
      <c r="D478" s="18"/>
      <c r="G478" s="17"/>
      <c r="H478" s="14"/>
      <c r="I478" s="14"/>
      <c r="J478" s="16"/>
      <c r="K478" s="15"/>
      <c r="L478" s="15"/>
      <c r="N478" s="14"/>
      <c r="O478" s="14"/>
      <c r="P478" s="13"/>
      <c r="Q478" s="14"/>
      <c r="R478" s="14"/>
      <c r="S478" s="13"/>
      <c r="T478" s="1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</row>
    <row r="479" spans="2:147" s="12" customFormat="1" x14ac:dyDescent="0.25">
      <c r="B479" s="19"/>
      <c r="C479" s="14"/>
      <c r="D479" s="18"/>
      <c r="G479" s="17"/>
      <c r="H479" s="14"/>
      <c r="I479" s="14"/>
      <c r="J479" s="16"/>
      <c r="K479" s="15"/>
      <c r="L479" s="15"/>
      <c r="N479" s="14"/>
      <c r="O479" s="14"/>
      <c r="P479" s="13"/>
      <c r="Q479" s="14"/>
      <c r="R479" s="14"/>
      <c r="S479" s="13"/>
      <c r="T479" s="1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</row>
    <row r="480" spans="2:147" s="12" customFormat="1" x14ac:dyDescent="0.25">
      <c r="B480" s="19"/>
      <c r="C480" s="14"/>
      <c r="D480" s="18"/>
      <c r="G480" s="17"/>
      <c r="H480" s="14"/>
      <c r="I480" s="14"/>
      <c r="J480" s="16"/>
      <c r="K480" s="15"/>
      <c r="L480" s="15"/>
      <c r="N480" s="14"/>
      <c r="O480" s="14"/>
      <c r="P480" s="13"/>
      <c r="Q480" s="14"/>
      <c r="R480" s="14"/>
      <c r="S480" s="13"/>
      <c r="T480" s="1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</row>
    <row r="481" spans="2:147" s="12" customFormat="1" x14ac:dyDescent="0.25">
      <c r="B481" s="19"/>
      <c r="C481" s="14"/>
      <c r="D481" s="18"/>
      <c r="G481" s="17"/>
      <c r="H481" s="14"/>
      <c r="I481" s="14"/>
      <c r="J481" s="16"/>
      <c r="K481" s="15"/>
      <c r="L481" s="15"/>
      <c r="N481" s="14"/>
      <c r="O481" s="14"/>
      <c r="P481" s="13"/>
      <c r="Q481" s="14"/>
      <c r="R481" s="14"/>
      <c r="S481" s="13"/>
      <c r="T481" s="1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</row>
    <row r="482" spans="2:147" s="12" customFormat="1" x14ac:dyDescent="0.25">
      <c r="B482" s="19"/>
      <c r="C482" s="14"/>
      <c r="D482" s="18"/>
      <c r="G482" s="17"/>
      <c r="H482" s="14"/>
      <c r="I482" s="14"/>
      <c r="J482" s="16"/>
      <c r="K482" s="15"/>
      <c r="L482" s="15"/>
      <c r="N482" s="14"/>
      <c r="O482" s="14"/>
      <c r="P482" s="13"/>
      <c r="Q482" s="14"/>
      <c r="R482" s="14"/>
      <c r="S482" s="13"/>
      <c r="T482" s="1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</row>
    <row r="483" spans="2:147" s="12" customFormat="1" x14ac:dyDescent="0.25">
      <c r="B483" s="19"/>
      <c r="C483" s="14"/>
      <c r="D483" s="18"/>
      <c r="G483" s="17"/>
      <c r="H483" s="14"/>
      <c r="I483" s="14"/>
      <c r="J483" s="16"/>
      <c r="K483" s="15"/>
      <c r="L483" s="15"/>
      <c r="N483" s="14"/>
      <c r="O483" s="14"/>
      <c r="P483" s="13"/>
      <c r="Q483" s="14"/>
      <c r="R483" s="14"/>
      <c r="S483" s="13"/>
      <c r="T483" s="1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</row>
    <row r="484" spans="2:147" s="12" customFormat="1" x14ac:dyDescent="0.25">
      <c r="B484" s="19"/>
      <c r="C484" s="14"/>
      <c r="D484" s="18"/>
      <c r="G484" s="17"/>
      <c r="H484" s="14"/>
      <c r="I484" s="14"/>
      <c r="J484" s="16"/>
      <c r="K484" s="15"/>
      <c r="L484" s="15"/>
      <c r="N484" s="14"/>
      <c r="O484" s="14"/>
      <c r="P484" s="13"/>
      <c r="Q484" s="14"/>
      <c r="R484" s="14"/>
      <c r="S484" s="13"/>
      <c r="T484" s="1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</row>
    <row r="485" spans="2:147" s="12" customFormat="1" x14ac:dyDescent="0.25">
      <c r="B485" s="19"/>
      <c r="C485" s="14"/>
      <c r="D485" s="18"/>
      <c r="G485" s="17"/>
      <c r="H485" s="14"/>
      <c r="I485" s="14"/>
      <c r="J485" s="16"/>
      <c r="K485" s="15"/>
      <c r="L485" s="15"/>
      <c r="N485" s="14"/>
      <c r="O485" s="14"/>
      <c r="P485" s="13"/>
      <c r="Q485" s="14"/>
      <c r="R485" s="14"/>
      <c r="S485" s="13"/>
      <c r="T485" s="1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</row>
    <row r="486" spans="2:147" s="12" customFormat="1" x14ac:dyDescent="0.25">
      <c r="B486" s="19"/>
      <c r="C486" s="14"/>
      <c r="D486" s="18"/>
      <c r="G486" s="17"/>
      <c r="H486" s="14"/>
      <c r="I486" s="14"/>
      <c r="J486" s="16"/>
      <c r="K486" s="15"/>
      <c r="L486" s="15"/>
      <c r="N486" s="14"/>
      <c r="O486" s="14"/>
      <c r="P486" s="13"/>
      <c r="Q486" s="14"/>
      <c r="R486" s="14"/>
      <c r="S486" s="13"/>
      <c r="T486" s="1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</row>
    <row r="487" spans="2:147" s="12" customFormat="1" x14ac:dyDescent="0.25">
      <c r="B487" s="19"/>
      <c r="C487" s="14"/>
      <c r="D487" s="18"/>
      <c r="G487" s="17"/>
      <c r="H487" s="14"/>
      <c r="I487" s="14"/>
      <c r="J487" s="16"/>
      <c r="K487" s="15"/>
      <c r="L487" s="15"/>
      <c r="N487" s="14"/>
      <c r="O487" s="14"/>
      <c r="P487" s="13"/>
      <c r="Q487" s="14"/>
      <c r="R487" s="14"/>
      <c r="S487" s="13"/>
      <c r="T487" s="1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</row>
    <row r="488" spans="2:147" s="12" customFormat="1" x14ac:dyDescent="0.25">
      <c r="B488" s="19"/>
      <c r="C488" s="14"/>
      <c r="D488" s="18"/>
      <c r="G488" s="17"/>
      <c r="H488" s="14"/>
      <c r="I488" s="14"/>
      <c r="J488" s="16"/>
      <c r="K488" s="15"/>
      <c r="L488" s="15"/>
      <c r="N488" s="14"/>
      <c r="O488" s="14"/>
      <c r="P488" s="13"/>
      <c r="Q488" s="14"/>
      <c r="R488" s="14"/>
      <c r="S488" s="13"/>
      <c r="T488" s="1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</row>
    <row r="489" spans="2:147" s="12" customFormat="1" x14ac:dyDescent="0.25">
      <c r="B489" s="19"/>
      <c r="C489" s="14"/>
      <c r="D489" s="18"/>
      <c r="G489" s="17"/>
      <c r="H489" s="14"/>
      <c r="I489" s="14"/>
      <c r="J489" s="16"/>
      <c r="K489" s="15"/>
      <c r="L489" s="15"/>
      <c r="N489" s="14"/>
      <c r="O489" s="14"/>
      <c r="P489" s="13"/>
      <c r="Q489" s="14"/>
      <c r="R489" s="14"/>
      <c r="S489" s="13"/>
      <c r="T489" s="1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</row>
    <row r="490" spans="2:147" s="12" customFormat="1" x14ac:dyDescent="0.25">
      <c r="B490" s="19"/>
      <c r="C490" s="14"/>
      <c r="D490" s="18"/>
      <c r="G490" s="17"/>
      <c r="H490" s="14"/>
      <c r="I490" s="14"/>
      <c r="J490" s="16"/>
      <c r="K490" s="15"/>
      <c r="L490" s="15"/>
      <c r="N490" s="14"/>
      <c r="O490" s="14"/>
      <c r="P490" s="13"/>
      <c r="Q490" s="14"/>
      <c r="R490" s="14"/>
      <c r="S490" s="13"/>
      <c r="T490" s="1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</row>
    <row r="491" spans="2:147" s="12" customFormat="1" x14ac:dyDescent="0.25">
      <c r="B491" s="19"/>
      <c r="C491" s="14"/>
      <c r="D491" s="18"/>
      <c r="G491" s="17"/>
      <c r="H491" s="14"/>
      <c r="I491" s="14"/>
      <c r="J491" s="16"/>
      <c r="K491" s="15"/>
      <c r="L491" s="15"/>
      <c r="N491" s="14"/>
      <c r="O491" s="14"/>
      <c r="P491" s="13"/>
      <c r="Q491" s="14"/>
      <c r="R491" s="14"/>
      <c r="S491" s="13"/>
      <c r="T491" s="1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</row>
    <row r="492" spans="2:147" s="12" customFormat="1" x14ac:dyDescent="0.25">
      <c r="B492" s="19"/>
      <c r="C492" s="14"/>
      <c r="D492" s="18"/>
      <c r="G492" s="17"/>
      <c r="H492" s="14"/>
      <c r="I492" s="14"/>
      <c r="J492" s="16"/>
      <c r="K492" s="15"/>
      <c r="L492" s="15"/>
      <c r="N492" s="14"/>
      <c r="O492" s="14"/>
      <c r="P492" s="13"/>
      <c r="Q492" s="14"/>
      <c r="R492" s="14"/>
      <c r="S492" s="13"/>
      <c r="T492" s="1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</row>
    <row r="493" spans="2:147" s="12" customFormat="1" x14ac:dyDescent="0.25">
      <c r="B493" s="19"/>
      <c r="C493" s="14"/>
      <c r="D493" s="18"/>
      <c r="G493" s="17"/>
      <c r="H493" s="14"/>
      <c r="I493" s="14"/>
      <c r="J493" s="16"/>
      <c r="K493" s="15"/>
      <c r="L493" s="15"/>
      <c r="N493" s="14"/>
      <c r="O493" s="14"/>
      <c r="P493" s="13"/>
      <c r="Q493" s="14"/>
      <c r="R493" s="14"/>
      <c r="S493" s="13"/>
      <c r="T493" s="1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</row>
    <row r="494" spans="2:147" s="12" customFormat="1" x14ac:dyDescent="0.25">
      <c r="B494" s="19"/>
      <c r="C494" s="14"/>
      <c r="D494" s="18"/>
      <c r="G494" s="17"/>
      <c r="H494" s="14"/>
      <c r="I494" s="14"/>
      <c r="J494" s="16"/>
      <c r="K494" s="15"/>
      <c r="L494" s="15"/>
      <c r="N494" s="14"/>
      <c r="O494" s="14"/>
      <c r="P494" s="13"/>
      <c r="Q494" s="14"/>
      <c r="R494" s="14"/>
      <c r="S494" s="13"/>
      <c r="T494" s="1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</row>
    <row r="495" spans="2:147" s="12" customFormat="1" x14ac:dyDescent="0.25">
      <c r="B495" s="19"/>
      <c r="C495" s="14"/>
      <c r="D495" s="18"/>
      <c r="G495" s="17"/>
      <c r="H495" s="14"/>
      <c r="I495" s="14"/>
      <c r="J495" s="16"/>
      <c r="K495" s="15"/>
      <c r="L495" s="15"/>
      <c r="N495" s="14"/>
      <c r="O495" s="14"/>
      <c r="P495" s="13"/>
      <c r="Q495" s="14"/>
      <c r="R495" s="14"/>
      <c r="S495" s="13"/>
      <c r="T495" s="1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</row>
    <row r="496" spans="2:147" s="12" customFormat="1" x14ac:dyDescent="0.25">
      <c r="B496" s="19"/>
      <c r="C496" s="14"/>
      <c r="D496" s="18"/>
      <c r="G496" s="17"/>
      <c r="H496" s="14"/>
      <c r="I496" s="14"/>
      <c r="J496" s="16"/>
      <c r="K496" s="15"/>
      <c r="L496" s="15"/>
      <c r="N496" s="14"/>
      <c r="O496" s="14"/>
      <c r="P496" s="13"/>
      <c r="Q496" s="14"/>
      <c r="R496" s="14"/>
      <c r="S496" s="13"/>
      <c r="T496" s="1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</row>
    <row r="497" spans="2:147" s="12" customFormat="1" x14ac:dyDescent="0.25">
      <c r="B497" s="19"/>
      <c r="C497" s="14"/>
      <c r="D497" s="18"/>
      <c r="G497" s="17"/>
      <c r="H497" s="14"/>
      <c r="I497" s="14"/>
      <c r="J497" s="16"/>
      <c r="K497" s="15"/>
      <c r="L497" s="15"/>
      <c r="N497" s="14"/>
      <c r="O497" s="14"/>
      <c r="P497" s="13"/>
      <c r="Q497" s="14"/>
      <c r="R497" s="14"/>
      <c r="S497" s="13"/>
      <c r="T497" s="1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</row>
    <row r="498" spans="2:147" s="12" customFormat="1" x14ac:dyDescent="0.25">
      <c r="B498" s="19"/>
      <c r="C498" s="14"/>
      <c r="D498" s="18"/>
      <c r="G498" s="17"/>
      <c r="H498" s="14"/>
      <c r="I498" s="14"/>
      <c r="J498" s="16"/>
      <c r="K498" s="15"/>
      <c r="L498" s="15"/>
      <c r="N498" s="14"/>
      <c r="O498" s="14"/>
      <c r="P498" s="13"/>
      <c r="Q498" s="14"/>
      <c r="R498" s="14"/>
      <c r="S498" s="13"/>
      <c r="T498" s="1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</row>
    <row r="499" spans="2:147" s="12" customFormat="1" x14ac:dyDescent="0.25">
      <c r="B499" s="19"/>
      <c r="C499" s="14"/>
      <c r="D499" s="18"/>
      <c r="G499" s="17"/>
      <c r="H499" s="14"/>
      <c r="I499" s="14"/>
      <c r="J499" s="16"/>
      <c r="K499" s="15"/>
      <c r="L499" s="15"/>
      <c r="N499" s="14"/>
      <c r="O499" s="14"/>
      <c r="P499" s="13"/>
      <c r="Q499" s="14"/>
      <c r="R499" s="14"/>
      <c r="S499" s="13"/>
      <c r="T499" s="1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</row>
    <row r="500" spans="2:147" s="12" customFormat="1" x14ac:dyDescent="0.25">
      <c r="B500" s="19"/>
      <c r="C500" s="14"/>
      <c r="D500" s="18"/>
      <c r="G500" s="17"/>
      <c r="H500" s="14"/>
      <c r="I500" s="14"/>
      <c r="J500" s="16"/>
      <c r="K500" s="15"/>
      <c r="L500" s="15"/>
      <c r="N500" s="14"/>
      <c r="O500" s="14"/>
      <c r="P500" s="13"/>
      <c r="Q500" s="14"/>
      <c r="R500" s="14"/>
      <c r="S500" s="13"/>
      <c r="T500" s="1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</row>
    <row r="501" spans="2:147" s="12" customFormat="1" x14ac:dyDescent="0.25">
      <c r="B501" s="19"/>
      <c r="C501" s="14"/>
      <c r="D501" s="18"/>
      <c r="G501" s="17"/>
      <c r="H501" s="14"/>
      <c r="I501" s="14"/>
      <c r="J501" s="16"/>
      <c r="K501" s="15"/>
      <c r="L501" s="15"/>
      <c r="N501" s="14"/>
      <c r="O501" s="14"/>
      <c r="P501" s="13"/>
      <c r="Q501" s="14"/>
      <c r="R501" s="14"/>
      <c r="S501" s="13"/>
      <c r="T501" s="1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</row>
    <row r="502" spans="2:147" s="12" customFormat="1" x14ac:dyDescent="0.25">
      <c r="B502" s="19"/>
      <c r="C502" s="14"/>
      <c r="D502" s="18"/>
      <c r="G502" s="17"/>
      <c r="H502" s="14"/>
      <c r="I502" s="14"/>
      <c r="J502" s="16"/>
      <c r="K502" s="15"/>
      <c r="L502" s="15"/>
      <c r="N502" s="14"/>
      <c r="O502" s="14"/>
      <c r="P502" s="13"/>
      <c r="Q502" s="14"/>
      <c r="R502" s="14"/>
      <c r="S502" s="13"/>
      <c r="T502" s="1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</row>
    <row r="503" spans="2:147" s="12" customFormat="1" x14ac:dyDescent="0.25">
      <c r="B503" s="19"/>
      <c r="C503" s="14"/>
      <c r="D503" s="18"/>
      <c r="G503" s="17"/>
      <c r="H503" s="14"/>
      <c r="I503" s="14"/>
      <c r="J503" s="16"/>
      <c r="K503" s="15"/>
      <c r="L503" s="15"/>
      <c r="N503" s="14"/>
      <c r="O503" s="14"/>
      <c r="P503" s="13"/>
      <c r="Q503" s="14"/>
      <c r="R503" s="14"/>
      <c r="S503" s="13"/>
      <c r="T503" s="1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</row>
    <row r="504" spans="2:147" s="12" customFormat="1" x14ac:dyDescent="0.25">
      <c r="B504" s="19"/>
      <c r="C504" s="14"/>
      <c r="D504" s="18"/>
      <c r="G504" s="17"/>
      <c r="H504" s="14"/>
      <c r="I504" s="14"/>
      <c r="J504" s="16"/>
      <c r="K504" s="15"/>
      <c r="L504" s="15"/>
      <c r="N504" s="14"/>
      <c r="O504" s="14"/>
      <c r="P504" s="13"/>
      <c r="Q504" s="14"/>
      <c r="R504" s="14"/>
      <c r="S504" s="13"/>
      <c r="T504" s="1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</row>
    <row r="505" spans="2:147" s="12" customFormat="1" x14ac:dyDescent="0.25">
      <c r="B505" s="19"/>
      <c r="C505" s="14"/>
      <c r="D505" s="18"/>
      <c r="G505" s="17"/>
      <c r="H505" s="14"/>
      <c r="I505" s="14"/>
      <c r="J505" s="16"/>
      <c r="K505" s="15"/>
      <c r="L505" s="15"/>
      <c r="N505" s="14"/>
      <c r="O505" s="14"/>
      <c r="P505" s="13"/>
      <c r="Q505" s="14"/>
      <c r="R505" s="14"/>
      <c r="S505" s="13"/>
      <c r="T505" s="1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</row>
    <row r="506" spans="2:147" s="12" customFormat="1" x14ac:dyDescent="0.25">
      <c r="B506" s="19"/>
      <c r="C506" s="14"/>
      <c r="D506" s="18"/>
      <c r="G506" s="17"/>
      <c r="H506" s="14"/>
      <c r="I506" s="14"/>
      <c r="J506" s="16"/>
      <c r="K506" s="15"/>
      <c r="L506" s="15"/>
      <c r="N506" s="14"/>
      <c r="O506" s="14"/>
      <c r="P506" s="13"/>
      <c r="Q506" s="14"/>
      <c r="R506" s="14"/>
      <c r="S506" s="13"/>
      <c r="T506" s="1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</row>
    <row r="507" spans="2:147" s="12" customFormat="1" x14ac:dyDescent="0.25">
      <c r="B507" s="19"/>
      <c r="C507" s="14"/>
      <c r="D507" s="18"/>
      <c r="G507" s="17"/>
      <c r="H507" s="14"/>
      <c r="I507" s="14"/>
      <c r="J507" s="16"/>
      <c r="K507" s="15"/>
      <c r="L507" s="15"/>
      <c r="N507" s="14"/>
      <c r="O507" s="14"/>
      <c r="P507" s="13"/>
      <c r="Q507" s="14"/>
      <c r="R507" s="14"/>
      <c r="S507" s="13"/>
      <c r="T507" s="1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</row>
    <row r="508" spans="2:147" s="12" customFormat="1" x14ac:dyDescent="0.25">
      <c r="B508" s="19"/>
      <c r="C508" s="14"/>
      <c r="D508" s="18"/>
      <c r="G508" s="17"/>
      <c r="H508" s="14"/>
      <c r="I508" s="14"/>
      <c r="J508" s="16"/>
      <c r="K508" s="15"/>
      <c r="L508" s="15"/>
      <c r="N508" s="14"/>
      <c r="O508" s="14"/>
      <c r="P508" s="13"/>
      <c r="Q508" s="14"/>
      <c r="R508" s="14"/>
      <c r="S508" s="13"/>
      <c r="T508" s="1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</row>
    <row r="509" spans="2:147" s="12" customFormat="1" x14ac:dyDescent="0.25">
      <c r="B509" s="19"/>
      <c r="C509" s="14"/>
      <c r="D509" s="18"/>
      <c r="G509" s="17"/>
      <c r="H509" s="14"/>
      <c r="I509" s="14"/>
      <c r="J509" s="16"/>
      <c r="K509" s="15"/>
      <c r="L509" s="15"/>
      <c r="N509" s="14"/>
      <c r="O509" s="14"/>
      <c r="P509" s="13"/>
      <c r="Q509" s="14"/>
      <c r="R509" s="14"/>
      <c r="S509" s="13"/>
      <c r="T509" s="1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</row>
    <row r="510" spans="2:147" s="12" customFormat="1" x14ac:dyDescent="0.25">
      <c r="B510" s="19"/>
      <c r="C510" s="14"/>
      <c r="D510" s="18"/>
      <c r="G510" s="17"/>
      <c r="H510" s="14"/>
      <c r="I510" s="14"/>
      <c r="J510" s="16"/>
      <c r="K510" s="15"/>
      <c r="L510" s="15"/>
      <c r="N510" s="14"/>
      <c r="O510" s="14"/>
      <c r="P510" s="13"/>
      <c r="Q510" s="14"/>
      <c r="R510" s="14"/>
      <c r="S510" s="13"/>
      <c r="T510" s="1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</row>
    <row r="511" spans="2:147" s="12" customFormat="1" x14ac:dyDescent="0.25">
      <c r="B511" s="19"/>
      <c r="C511" s="14"/>
      <c r="D511" s="18"/>
      <c r="G511" s="17"/>
      <c r="H511" s="14"/>
      <c r="I511" s="14"/>
      <c r="J511" s="16"/>
      <c r="K511" s="15"/>
      <c r="L511" s="15"/>
      <c r="N511" s="14"/>
      <c r="O511" s="14"/>
      <c r="P511" s="13"/>
      <c r="Q511" s="14"/>
      <c r="R511" s="14"/>
      <c r="S511" s="13"/>
      <c r="T511" s="1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</row>
    <row r="512" spans="2:147" s="12" customFormat="1" x14ac:dyDescent="0.25">
      <c r="B512" s="19"/>
      <c r="C512" s="14"/>
      <c r="D512" s="18"/>
      <c r="G512" s="17"/>
      <c r="H512" s="14"/>
      <c r="I512" s="14"/>
      <c r="J512" s="16"/>
      <c r="K512" s="15"/>
      <c r="L512" s="15"/>
      <c r="N512" s="14"/>
      <c r="O512" s="14"/>
      <c r="P512" s="13"/>
      <c r="Q512" s="14"/>
      <c r="R512" s="14"/>
      <c r="S512" s="13"/>
      <c r="T512" s="1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</row>
    <row r="513" spans="2:147" s="12" customFormat="1" x14ac:dyDescent="0.25">
      <c r="B513" s="19"/>
      <c r="C513" s="14"/>
      <c r="D513" s="18"/>
      <c r="G513" s="17"/>
      <c r="H513" s="14"/>
      <c r="I513" s="14"/>
      <c r="J513" s="16"/>
      <c r="K513" s="15"/>
      <c r="L513" s="15"/>
      <c r="N513" s="14"/>
      <c r="O513" s="14"/>
      <c r="P513" s="13"/>
      <c r="Q513" s="14"/>
      <c r="R513" s="14"/>
      <c r="S513" s="13"/>
      <c r="T513" s="1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</row>
    <row r="514" spans="2:147" s="12" customFormat="1" x14ac:dyDescent="0.25">
      <c r="B514" s="19"/>
      <c r="C514" s="14"/>
      <c r="D514" s="18"/>
      <c r="G514" s="17"/>
      <c r="H514" s="14"/>
      <c r="I514" s="14"/>
      <c r="J514" s="16"/>
      <c r="K514" s="15"/>
      <c r="L514" s="15"/>
      <c r="N514" s="14"/>
      <c r="O514" s="14"/>
      <c r="P514" s="13"/>
      <c r="Q514" s="14"/>
      <c r="R514" s="14"/>
      <c r="S514" s="13"/>
      <c r="T514" s="1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</row>
    <row r="515" spans="2:147" s="12" customFormat="1" x14ac:dyDescent="0.25">
      <c r="B515" s="19"/>
      <c r="C515" s="14"/>
      <c r="D515" s="18"/>
      <c r="G515" s="17"/>
      <c r="H515" s="14"/>
      <c r="I515" s="14"/>
      <c r="J515" s="16"/>
      <c r="K515" s="15"/>
      <c r="L515" s="15"/>
      <c r="N515" s="14"/>
      <c r="O515" s="14"/>
      <c r="P515" s="13"/>
      <c r="Q515" s="14"/>
      <c r="R515" s="14"/>
      <c r="S515" s="13"/>
      <c r="T515" s="1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</row>
    <row r="516" spans="2:147" s="12" customFormat="1" x14ac:dyDescent="0.25">
      <c r="B516" s="19"/>
      <c r="C516" s="14"/>
      <c r="D516" s="18"/>
      <c r="G516" s="17"/>
      <c r="H516" s="14"/>
      <c r="I516" s="14"/>
      <c r="J516" s="16"/>
      <c r="K516" s="15"/>
      <c r="L516" s="15"/>
      <c r="N516" s="14"/>
      <c r="O516" s="14"/>
      <c r="P516" s="13"/>
      <c r="Q516" s="14"/>
      <c r="R516" s="14"/>
      <c r="S516" s="13"/>
      <c r="T516" s="1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</row>
    <row r="517" spans="2:147" s="12" customFormat="1" x14ac:dyDescent="0.25">
      <c r="B517" s="19"/>
      <c r="C517" s="14"/>
      <c r="D517" s="18"/>
      <c r="G517" s="17"/>
      <c r="H517" s="14"/>
      <c r="I517" s="14"/>
      <c r="J517" s="16"/>
      <c r="K517" s="15"/>
      <c r="L517" s="15"/>
      <c r="N517" s="14"/>
      <c r="O517" s="14"/>
      <c r="P517" s="13"/>
      <c r="Q517" s="14"/>
      <c r="R517" s="14"/>
      <c r="S517" s="13"/>
      <c r="T517" s="1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</row>
    <row r="518" spans="2:147" s="12" customFormat="1" x14ac:dyDescent="0.25">
      <c r="B518" s="19"/>
      <c r="C518" s="14"/>
      <c r="D518" s="18"/>
      <c r="G518" s="17"/>
      <c r="H518" s="14"/>
      <c r="I518" s="14"/>
      <c r="J518" s="16"/>
      <c r="K518" s="15"/>
      <c r="L518" s="15"/>
      <c r="N518" s="14"/>
      <c r="O518" s="14"/>
      <c r="P518" s="13"/>
      <c r="Q518" s="14"/>
      <c r="R518" s="14"/>
      <c r="S518" s="13"/>
      <c r="T518" s="1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</row>
    <row r="519" spans="2:147" s="12" customFormat="1" x14ac:dyDescent="0.25">
      <c r="B519" s="19"/>
      <c r="C519" s="14"/>
      <c r="D519" s="18"/>
      <c r="G519" s="17"/>
      <c r="H519" s="14"/>
      <c r="I519" s="14"/>
      <c r="J519" s="16"/>
      <c r="K519" s="15"/>
      <c r="L519" s="15"/>
      <c r="N519" s="14"/>
      <c r="O519" s="14"/>
      <c r="P519" s="13"/>
      <c r="Q519" s="14"/>
      <c r="R519" s="14"/>
      <c r="S519" s="13"/>
      <c r="T519" s="1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</row>
    <row r="520" spans="2:147" s="12" customFormat="1" x14ac:dyDescent="0.25">
      <c r="B520" s="19"/>
      <c r="C520" s="14"/>
      <c r="D520" s="18"/>
      <c r="G520" s="17"/>
      <c r="H520" s="14"/>
      <c r="I520" s="14"/>
      <c r="J520" s="16"/>
      <c r="K520" s="15"/>
      <c r="L520" s="15"/>
      <c r="N520" s="14"/>
      <c r="O520" s="14"/>
      <c r="P520" s="13"/>
      <c r="Q520" s="14"/>
      <c r="R520" s="14"/>
      <c r="S520" s="13"/>
      <c r="T520" s="1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</row>
    <row r="521" spans="2:147" s="12" customFormat="1" x14ac:dyDescent="0.25">
      <c r="B521" s="19"/>
      <c r="C521" s="14"/>
      <c r="D521" s="18"/>
      <c r="G521" s="17"/>
      <c r="H521" s="14"/>
      <c r="I521" s="14"/>
      <c r="J521" s="16"/>
      <c r="K521" s="15"/>
      <c r="L521" s="15"/>
      <c r="N521" s="14"/>
      <c r="O521" s="14"/>
      <c r="P521" s="13"/>
      <c r="Q521" s="14"/>
      <c r="R521" s="14"/>
      <c r="S521" s="13"/>
      <c r="T521" s="1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</row>
    <row r="522" spans="2:147" s="12" customFormat="1" x14ac:dyDescent="0.25">
      <c r="B522" s="19"/>
      <c r="C522" s="14"/>
      <c r="D522" s="18"/>
      <c r="G522" s="17"/>
      <c r="H522" s="14"/>
      <c r="I522" s="14"/>
      <c r="J522" s="16"/>
      <c r="K522" s="15"/>
      <c r="L522" s="15"/>
      <c r="N522" s="14"/>
      <c r="O522" s="14"/>
      <c r="P522" s="13"/>
      <c r="Q522" s="14"/>
      <c r="R522" s="14"/>
      <c r="S522" s="13"/>
      <c r="T522" s="1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</row>
    <row r="523" spans="2:147" s="12" customFormat="1" x14ac:dyDescent="0.25">
      <c r="B523" s="19"/>
      <c r="C523" s="14"/>
      <c r="D523" s="18"/>
      <c r="G523" s="17"/>
      <c r="H523" s="14"/>
      <c r="I523" s="14"/>
      <c r="J523" s="16"/>
      <c r="K523" s="15"/>
      <c r="L523" s="15"/>
      <c r="N523" s="14"/>
      <c r="O523" s="14"/>
      <c r="P523" s="13"/>
      <c r="Q523" s="14"/>
      <c r="R523" s="14"/>
      <c r="S523" s="13"/>
      <c r="T523" s="1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</row>
    <row r="524" spans="2:147" s="12" customFormat="1" x14ac:dyDescent="0.25">
      <c r="B524" s="19"/>
      <c r="C524" s="14"/>
      <c r="D524" s="18"/>
      <c r="G524" s="17"/>
      <c r="H524" s="14"/>
      <c r="I524" s="14"/>
      <c r="J524" s="16"/>
      <c r="K524" s="15"/>
      <c r="L524" s="15"/>
      <c r="N524" s="14"/>
      <c r="O524" s="14"/>
      <c r="P524" s="13"/>
      <c r="Q524" s="14"/>
      <c r="R524" s="14"/>
      <c r="S524" s="13"/>
      <c r="T524" s="1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</row>
    <row r="525" spans="2:147" s="12" customFormat="1" x14ac:dyDescent="0.25">
      <c r="B525" s="19"/>
      <c r="C525" s="14"/>
      <c r="D525" s="18"/>
      <c r="G525" s="17"/>
      <c r="H525" s="14"/>
      <c r="I525" s="14"/>
      <c r="J525" s="16"/>
      <c r="K525" s="15"/>
      <c r="L525" s="15"/>
      <c r="N525" s="14"/>
      <c r="O525" s="14"/>
      <c r="P525" s="13"/>
      <c r="Q525" s="14"/>
      <c r="R525" s="14"/>
      <c r="S525" s="13"/>
      <c r="T525" s="1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</row>
    <row r="526" spans="2:147" s="12" customFormat="1" x14ac:dyDescent="0.25">
      <c r="B526" s="19"/>
      <c r="C526" s="14"/>
      <c r="D526" s="18"/>
      <c r="G526" s="17"/>
      <c r="H526" s="14"/>
      <c r="I526" s="14"/>
      <c r="J526" s="16"/>
      <c r="K526" s="15"/>
      <c r="L526" s="15"/>
      <c r="N526" s="14"/>
      <c r="O526" s="14"/>
      <c r="P526" s="13"/>
      <c r="Q526" s="14"/>
      <c r="R526" s="14"/>
      <c r="S526" s="13"/>
      <c r="T526" s="1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</row>
    <row r="527" spans="2:147" s="12" customFormat="1" x14ac:dyDescent="0.25">
      <c r="B527" s="19"/>
      <c r="C527" s="14"/>
      <c r="D527" s="18"/>
      <c r="G527" s="17"/>
      <c r="H527" s="14"/>
      <c r="I527" s="14"/>
      <c r="J527" s="16"/>
      <c r="K527" s="15"/>
      <c r="L527" s="15"/>
      <c r="N527" s="14"/>
      <c r="O527" s="14"/>
      <c r="P527" s="13"/>
      <c r="Q527" s="14"/>
      <c r="R527" s="14"/>
      <c r="S527" s="13"/>
      <c r="T527" s="1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</row>
    <row r="528" spans="2:147" s="12" customFormat="1" x14ac:dyDescent="0.25">
      <c r="B528" s="19"/>
      <c r="C528" s="14"/>
      <c r="D528" s="18"/>
      <c r="G528" s="17"/>
      <c r="H528" s="14"/>
      <c r="I528" s="14"/>
      <c r="J528" s="16"/>
      <c r="K528" s="15"/>
      <c r="L528" s="15"/>
      <c r="N528" s="14"/>
      <c r="O528" s="14"/>
      <c r="P528" s="13"/>
      <c r="Q528" s="14"/>
      <c r="R528" s="14"/>
      <c r="S528" s="13"/>
      <c r="T528" s="1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</row>
    <row r="529" spans="2:147" s="12" customFormat="1" x14ac:dyDescent="0.25">
      <c r="B529" s="19"/>
      <c r="C529" s="14"/>
      <c r="D529" s="18"/>
      <c r="G529" s="17"/>
      <c r="H529" s="14"/>
      <c r="I529" s="14"/>
      <c r="J529" s="16"/>
      <c r="K529" s="15"/>
      <c r="L529" s="15"/>
      <c r="N529" s="14"/>
      <c r="O529" s="14"/>
      <c r="P529" s="13"/>
      <c r="Q529" s="14"/>
      <c r="R529" s="14"/>
      <c r="S529" s="13"/>
      <c r="T529" s="1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</row>
    <row r="530" spans="2:147" s="12" customFormat="1" x14ac:dyDescent="0.25">
      <c r="B530" s="19"/>
      <c r="C530" s="14"/>
      <c r="D530" s="18"/>
      <c r="G530" s="17"/>
      <c r="H530" s="14"/>
      <c r="I530" s="14"/>
      <c r="J530" s="16"/>
      <c r="K530" s="15"/>
      <c r="L530" s="15"/>
      <c r="N530" s="14"/>
      <c r="O530" s="14"/>
      <c r="P530" s="13"/>
      <c r="Q530" s="14"/>
      <c r="R530" s="14"/>
      <c r="S530" s="13"/>
      <c r="T530" s="1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</row>
    <row r="531" spans="2:147" s="12" customFormat="1" x14ac:dyDescent="0.25">
      <c r="B531" s="19"/>
      <c r="C531" s="14"/>
      <c r="D531" s="18"/>
      <c r="G531" s="17"/>
      <c r="H531" s="14"/>
      <c r="I531" s="14"/>
      <c r="J531" s="16"/>
      <c r="K531" s="15"/>
      <c r="L531" s="15"/>
      <c r="N531" s="14"/>
      <c r="O531" s="14"/>
      <c r="P531" s="13"/>
      <c r="Q531" s="14"/>
      <c r="R531" s="14"/>
      <c r="S531" s="13"/>
      <c r="T531" s="1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</row>
    <row r="532" spans="2:147" s="12" customFormat="1" x14ac:dyDescent="0.25">
      <c r="B532" s="19"/>
      <c r="C532" s="14"/>
      <c r="D532" s="18"/>
      <c r="G532" s="17"/>
      <c r="H532" s="14"/>
      <c r="I532" s="14"/>
      <c r="J532" s="16"/>
      <c r="K532" s="15"/>
      <c r="L532" s="15"/>
      <c r="N532" s="14"/>
      <c r="O532" s="14"/>
      <c r="P532" s="13"/>
      <c r="Q532" s="14"/>
      <c r="R532" s="14"/>
      <c r="S532" s="13"/>
      <c r="T532" s="1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</row>
    <row r="533" spans="2:147" s="12" customFormat="1" x14ac:dyDescent="0.25">
      <c r="B533" s="19"/>
      <c r="C533" s="14"/>
      <c r="D533" s="18"/>
      <c r="G533" s="17"/>
      <c r="H533" s="14"/>
      <c r="I533" s="14"/>
      <c r="J533" s="16"/>
      <c r="K533" s="15"/>
      <c r="L533" s="15"/>
      <c r="N533" s="14"/>
      <c r="O533" s="14"/>
      <c r="P533" s="13"/>
      <c r="Q533" s="14"/>
      <c r="R533" s="14"/>
      <c r="S533" s="13"/>
      <c r="T533" s="1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</row>
    <row r="534" spans="2:147" s="12" customFormat="1" x14ac:dyDescent="0.25">
      <c r="B534" s="19"/>
      <c r="C534" s="14"/>
      <c r="D534" s="18"/>
      <c r="G534" s="17"/>
      <c r="H534" s="14"/>
      <c r="I534" s="14"/>
      <c r="J534" s="16"/>
      <c r="K534" s="15"/>
      <c r="L534" s="15"/>
      <c r="N534" s="14"/>
      <c r="O534" s="14"/>
      <c r="P534" s="13"/>
      <c r="Q534" s="14"/>
      <c r="R534" s="14"/>
      <c r="S534" s="13"/>
      <c r="T534" s="1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</row>
    <row r="535" spans="2:147" s="12" customFormat="1" x14ac:dyDescent="0.25">
      <c r="B535" s="19"/>
      <c r="C535" s="14"/>
      <c r="D535" s="18"/>
      <c r="G535" s="17"/>
      <c r="H535" s="14"/>
      <c r="I535" s="14"/>
      <c r="J535" s="16"/>
      <c r="K535" s="15"/>
      <c r="L535" s="15"/>
      <c r="N535" s="14"/>
      <c r="O535" s="14"/>
      <c r="P535" s="13"/>
      <c r="Q535" s="14"/>
      <c r="R535" s="14"/>
      <c r="S535" s="13"/>
      <c r="T535" s="1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</row>
    <row r="536" spans="2:147" s="12" customFormat="1" x14ac:dyDescent="0.25">
      <c r="B536" s="19"/>
      <c r="C536" s="14"/>
      <c r="D536" s="18"/>
      <c r="G536" s="17"/>
      <c r="H536" s="14"/>
      <c r="I536" s="14"/>
      <c r="J536" s="16"/>
      <c r="K536" s="15"/>
      <c r="L536" s="15"/>
      <c r="N536" s="14"/>
      <c r="O536" s="14"/>
      <c r="P536" s="13"/>
      <c r="Q536" s="14"/>
      <c r="R536" s="14"/>
      <c r="S536" s="13"/>
      <c r="T536" s="1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</row>
    <row r="537" spans="2:147" s="12" customFormat="1" x14ac:dyDescent="0.25">
      <c r="B537" s="19"/>
      <c r="C537" s="14"/>
      <c r="D537" s="18"/>
      <c r="G537" s="17"/>
      <c r="H537" s="14"/>
      <c r="I537" s="14"/>
      <c r="J537" s="16"/>
      <c r="K537" s="15"/>
      <c r="L537" s="15"/>
      <c r="N537" s="14"/>
      <c r="O537" s="14"/>
      <c r="P537" s="13"/>
      <c r="Q537" s="14"/>
      <c r="R537" s="14"/>
      <c r="S537" s="13"/>
      <c r="T537" s="1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</row>
    <row r="538" spans="2:147" s="12" customFormat="1" x14ac:dyDescent="0.25">
      <c r="B538" s="19"/>
      <c r="C538" s="14"/>
      <c r="D538" s="18"/>
      <c r="G538" s="17"/>
      <c r="H538" s="14"/>
      <c r="I538" s="14"/>
      <c r="J538" s="16"/>
      <c r="K538" s="15"/>
      <c r="L538" s="15"/>
      <c r="N538" s="14"/>
      <c r="O538" s="14"/>
      <c r="P538" s="13"/>
      <c r="Q538" s="14"/>
      <c r="R538" s="14"/>
      <c r="S538" s="13"/>
      <c r="T538" s="1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</row>
    <row r="539" spans="2:147" s="12" customFormat="1" x14ac:dyDescent="0.25">
      <c r="B539" s="19"/>
      <c r="C539" s="14"/>
      <c r="D539" s="18"/>
      <c r="G539" s="17"/>
      <c r="H539" s="14"/>
      <c r="I539" s="14"/>
      <c r="J539" s="16"/>
      <c r="K539" s="15"/>
      <c r="L539" s="15"/>
      <c r="N539" s="14"/>
      <c r="O539" s="14"/>
      <c r="P539" s="13"/>
      <c r="Q539" s="14"/>
      <c r="R539" s="14"/>
      <c r="S539" s="13"/>
      <c r="T539" s="1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</row>
    <row r="540" spans="2:147" s="12" customFormat="1" x14ac:dyDescent="0.25">
      <c r="B540" s="19"/>
      <c r="C540" s="14"/>
      <c r="D540" s="18"/>
      <c r="G540" s="17"/>
      <c r="H540" s="14"/>
      <c r="I540" s="14"/>
      <c r="J540" s="16"/>
      <c r="K540" s="15"/>
      <c r="L540" s="15"/>
      <c r="N540" s="14"/>
      <c r="O540" s="14"/>
      <c r="P540" s="13"/>
      <c r="Q540" s="14"/>
      <c r="R540" s="14"/>
      <c r="S540" s="13"/>
      <c r="T540" s="1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</row>
    <row r="541" spans="2:147" s="12" customFormat="1" x14ac:dyDescent="0.25">
      <c r="B541" s="19"/>
      <c r="C541" s="14"/>
      <c r="D541" s="18"/>
      <c r="G541" s="17"/>
      <c r="H541" s="14"/>
      <c r="I541" s="14"/>
      <c r="J541" s="16"/>
      <c r="K541" s="15"/>
      <c r="L541" s="15"/>
      <c r="N541" s="14"/>
      <c r="O541" s="14"/>
      <c r="P541" s="13"/>
      <c r="Q541" s="14"/>
      <c r="R541" s="14"/>
      <c r="S541" s="13"/>
      <c r="T541" s="1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</row>
    <row r="542" spans="2:147" s="12" customFormat="1" x14ac:dyDescent="0.25">
      <c r="B542" s="19"/>
      <c r="C542" s="14"/>
      <c r="D542" s="18"/>
      <c r="G542" s="17"/>
      <c r="H542" s="14"/>
      <c r="I542" s="14"/>
      <c r="J542" s="16"/>
      <c r="K542" s="15"/>
      <c r="L542" s="15"/>
      <c r="N542" s="14"/>
      <c r="O542" s="14"/>
      <c r="P542" s="13"/>
      <c r="Q542" s="14"/>
      <c r="R542" s="14"/>
      <c r="S542" s="13"/>
      <c r="T542" s="1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</row>
    <row r="543" spans="2:147" s="12" customFormat="1" x14ac:dyDescent="0.25">
      <c r="B543" s="19"/>
      <c r="C543" s="14"/>
      <c r="D543" s="18"/>
      <c r="G543" s="17"/>
      <c r="H543" s="14"/>
      <c r="I543" s="14"/>
      <c r="J543" s="16"/>
      <c r="K543" s="15"/>
      <c r="L543" s="15"/>
      <c r="N543" s="14"/>
      <c r="O543" s="14"/>
      <c r="P543" s="13"/>
      <c r="Q543" s="14"/>
      <c r="R543" s="14"/>
      <c r="S543" s="13"/>
      <c r="T543" s="1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</row>
    <row r="544" spans="2:147" s="12" customFormat="1" x14ac:dyDescent="0.25">
      <c r="B544" s="19"/>
      <c r="C544" s="14"/>
      <c r="D544" s="18"/>
      <c r="G544" s="17"/>
      <c r="H544" s="14"/>
      <c r="I544" s="14"/>
      <c r="J544" s="16"/>
      <c r="K544" s="15"/>
      <c r="L544" s="15"/>
      <c r="N544" s="14"/>
      <c r="O544" s="14"/>
      <c r="P544" s="13"/>
      <c r="Q544" s="14"/>
      <c r="R544" s="14"/>
      <c r="S544" s="13"/>
      <c r="T544" s="1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</row>
    <row r="545" spans="2:147" s="12" customFormat="1" x14ac:dyDescent="0.25">
      <c r="B545" s="19"/>
      <c r="C545" s="14"/>
      <c r="D545" s="18"/>
      <c r="G545" s="17"/>
      <c r="H545" s="14"/>
      <c r="I545" s="14"/>
      <c r="J545" s="16"/>
      <c r="K545" s="15"/>
      <c r="L545" s="15"/>
      <c r="N545" s="14"/>
      <c r="O545" s="14"/>
      <c r="P545" s="13"/>
      <c r="Q545" s="14"/>
      <c r="R545" s="14"/>
      <c r="S545" s="13"/>
      <c r="T545" s="1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</row>
    <row r="546" spans="2:147" s="12" customFormat="1" x14ac:dyDescent="0.25">
      <c r="B546" s="19"/>
      <c r="C546" s="14"/>
      <c r="D546" s="18"/>
      <c r="G546" s="17"/>
      <c r="H546" s="14"/>
      <c r="I546" s="14"/>
      <c r="J546" s="16"/>
      <c r="K546" s="15"/>
      <c r="L546" s="15"/>
      <c r="N546" s="14"/>
      <c r="O546" s="14"/>
      <c r="P546" s="13"/>
      <c r="Q546" s="14"/>
      <c r="R546" s="14"/>
      <c r="S546" s="13"/>
      <c r="T546" s="1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</row>
    <row r="547" spans="2:147" s="12" customFormat="1" x14ac:dyDescent="0.25">
      <c r="B547" s="19"/>
      <c r="C547" s="14"/>
      <c r="D547" s="18"/>
      <c r="G547" s="17"/>
      <c r="H547" s="14"/>
      <c r="I547" s="14"/>
      <c r="J547" s="16"/>
      <c r="K547" s="15"/>
      <c r="L547" s="15"/>
      <c r="N547" s="14"/>
      <c r="O547" s="14"/>
      <c r="P547" s="13"/>
      <c r="Q547" s="14"/>
      <c r="R547" s="14"/>
      <c r="S547" s="13"/>
      <c r="T547" s="1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</row>
    <row r="548" spans="2:147" s="12" customFormat="1" x14ac:dyDescent="0.25">
      <c r="B548" s="19"/>
      <c r="C548" s="14"/>
      <c r="D548" s="18"/>
      <c r="G548" s="17"/>
      <c r="H548" s="14"/>
      <c r="I548" s="14"/>
      <c r="J548" s="16"/>
      <c r="K548" s="15"/>
      <c r="L548" s="15"/>
      <c r="N548" s="14"/>
      <c r="O548" s="14"/>
      <c r="P548" s="13"/>
      <c r="Q548" s="14"/>
      <c r="R548" s="14"/>
      <c r="S548" s="13"/>
      <c r="T548" s="1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</row>
    <row r="549" spans="2:147" s="12" customFormat="1" x14ac:dyDescent="0.25">
      <c r="B549" s="19"/>
      <c r="C549" s="14"/>
      <c r="D549" s="18"/>
      <c r="G549" s="17"/>
      <c r="H549" s="14"/>
      <c r="I549" s="14"/>
      <c r="J549" s="16"/>
      <c r="K549" s="15"/>
      <c r="L549" s="15"/>
      <c r="N549" s="14"/>
      <c r="O549" s="14"/>
      <c r="P549" s="13"/>
      <c r="Q549" s="14"/>
      <c r="R549" s="14"/>
      <c r="S549" s="13"/>
      <c r="T549" s="1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</row>
    <row r="550" spans="2:147" s="12" customFormat="1" x14ac:dyDescent="0.25">
      <c r="B550" s="19"/>
      <c r="C550" s="14"/>
      <c r="D550" s="18"/>
      <c r="G550" s="17"/>
      <c r="H550" s="14"/>
      <c r="I550" s="14"/>
      <c r="J550" s="16"/>
      <c r="K550" s="15"/>
      <c r="L550" s="15"/>
      <c r="N550" s="14"/>
      <c r="O550" s="14"/>
      <c r="P550" s="13"/>
      <c r="Q550" s="14"/>
      <c r="R550" s="14"/>
      <c r="S550" s="13"/>
      <c r="T550" s="1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</row>
    <row r="551" spans="2:147" s="12" customFormat="1" x14ac:dyDescent="0.25">
      <c r="B551" s="19"/>
      <c r="C551" s="14"/>
      <c r="D551" s="18"/>
      <c r="G551" s="17"/>
      <c r="H551" s="14"/>
      <c r="I551" s="14"/>
      <c r="J551" s="16"/>
      <c r="K551" s="15"/>
      <c r="L551" s="15"/>
      <c r="N551" s="14"/>
      <c r="O551" s="14"/>
      <c r="P551" s="13"/>
      <c r="Q551" s="14"/>
      <c r="R551" s="14"/>
      <c r="S551" s="13"/>
      <c r="T551" s="1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</row>
    <row r="552" spans="2:147" s="12" customFormat="1" x14ac:dyDescent="0.25">
      <c r="B552" s="19"/>
      <c r="C552" s="14"/>
      <c r="D552" s="18"/>
      <c r="G552" s="17"/>
      <c r="H552" s="14"/>
      <c r="I552" s="14"/>
      <c r="J552" s="16"/>
      <c r="K552" s="15"/>
      <c r="L552" s="15"/>
      <c r="N552" s="14"/>
      <c r="O552" s="14"/>
      <c r="P552" s="13"/>
      <c r="Q552" s="14"/>
      <c r="R552" s="14"/>
      <c r="S552" s="13"/>
      <c r="T552" s="1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</row>
    <row r="553" spans="2:147" s="12" customFormat="1" x14ac:dyDescent="0.25">
      <c r="B553" s="19"/>
      <c r="C553" s="14"/>
      <c r="D553" s="18"/>
      <c r="G553" s="17"/>
      <c r="H553" s="14"/>
      <c r="I553" s="14"/>
      <c r="J553" s="16"/>
      <c r="K553" s="15"/>
      <c r="L553" s="15"/>
      <c r="N553" s="14"/>
      <c r="O553" s="14"/>
      <c r="P553" s="13"/>
      <c r="Q553" s="14"/>
      <c r="R553" s="14"/>
      <c r="S553" s="13"/>
      <c r="T553" s="1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</row>
    <row r="554" spans="2:147" s="12" customFormat="1" x14ac:dyDescent="0.25">
      <c r="B554" s="19"/>
      <c r="C554" s="14"/>
      <c r="D554" s="18"/>
      <c r="G554" s="17"/>
      <c r="H554" s="14"/>
      <c r="I554" s="14"/>
      <c r="J554" s="16"/>
      <c r="K554" s="15"/>
      <c r="L554" s="15"/>
      <c r="N554" s="14"/>
      <c r="O554" s="14"/>
      <c r="P554" s="13"/>
      <c r="Q554" s="14"/>
      <c r="R554" s="14"/>
      <c r="S554" s="13"/>
      <c r="T554" s="1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</row>
    <row r="555" spans="2:147" s="12" customFormat="1" x14ac:dyDescent="0.25">
      <c r="B555" s="19"/>
      <c r="C555" s="14"/>
      <c r="D555" s="18"/>
      <c r="G555" s="17"/>
      <c r="H555" s="14"/>
      <c r="I555" s="14"/>
      <c r="J555" s="16"/>
      <c r="K555" s="15"/>
      <c r="L555" s="15"/>
      <c r="N555" s="14"/>
      <c r="O555" s="14"/>
      <c r="P555" s="13"/>
      <c r="Q555" s="14"/>
      <c r="R555" s="14"/>
      <c r="S555" s="13"/>
      <c r="T555" s="1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</row>
    <row r="556" spans="2:147" s="12" customFormat="1" x14ac:dyDescent="0.25">
      <c r="B556" s="19"/>
      <c r="C556" s="14"/>
      <c r="D556" s="18"/>
      <c r="G556" s="17"/>
      <c r="H556" s="14"/>
      <c r="I556" s="14"/>
      <c r="J556" s="16"/>
      <c r="K556" s="15"/>
      <c r="L556" s="15"/>
      <c r="N556" s="14"/>
      <c r="O556" s="14"/>
      <c r="P556" s="13"/>
      <c r="Q556" s="14"/>
      <c r="R556" s="14"/>
      <c r="S556" s="13"/>
      <c r="T556" s="1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</row>
    <row r="557" spans="2:147" s="12" customFormat="1" x14ac:dyDescent="0.25">
      <c r="B557" s="19"/>
      <c r="C557" s="14"/>
      <c r="D557" s="18"/>
      <c r="G557" s="17"/>
      <c r="H557" s="14"/>
      <c r="I557" s="14"/>
      <c r="J557" s="16"/>
      <c r="K557" s="15"/>
      <c r="L557" s="15"/>
      <c r="N557" s="14"/>
      <c r="O557" s="14"/>
      <c r="P557" s="13"/>
      <c r="Q557" s="14"/>
      <c r="R557" s="14"/>
      <c r="S557" s="13"/>
      <c r="T557" s="1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</row>
    <row r="558" spans="2:147" s="12" customFormat="1" x14ac:dyDescent="0.25">
      <c r="B558" s="19"/>
      <c r="C558" s="14"/>
      <c r="D558" s="18"/>
      <c r="G558" s="17"/>
      <c r="H558" s="14"/>
      <c r="I558" s="14"/>
      <c r="J558" s="16"/>
      <c r="K558" s="15"/>
      <c r="L558" s="15"/>
      <c r="N558" s="14"/>
      <c r="O558" s="14"/>
      <c r="P558" s="13"/>
      <c r="Q558" s="14"/>
      <c r="R558" s="14"/>
      <c r="S558" s="13"/>
      <c r="T558" s="1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</row>
    <row r="559" spans="2:147" s="12" customFormat="1" x14ac:dyDescent="0.25">
      <c r="B559" s="19"/>
      <c r="C559" s="14"/>
      <c r="D559" s="18"/>
      <c r="G559" s="17"/>
      <c r="H559" s="14"/>
      <c r="I559" s="14"/>
      <c r="J559" s="16"/>
      <c r="K559" s="15"/>
      <c r="L559" s="15"/>
      <c r="N559" s="14"/>
      <c r="O559" s="14"/>
      <c r="P559" s="13"/>
      <c r="Q559" s="14"/>
      <c r="R559" s="14"/>
      <c r="S559" s="13"/>
      <c r="T559" s="1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</row>
    <row r="560" spans="2:147" s="12" customFormat="1" x14ac:dyDescent="0.25">
      <c r="B560" s="19"/>
      <c r="C560" s="14"/>
      <c r="D560" s="18"/>
      <c r="G560" s="17"/>
      <c r="H560" s="14"/>
      <c r="I560" s="14"/>
      <c r="J560" s="16"/>
      <c r="K560" s="15"/>
      <c r="L560" s="15"/>
      <c r="N560" s="14"/>
      <c r="O560" s="14"/>
      <c r="P560" s="13"/>
      <c r="Q560" s="14"/>
      <c r="R560" s="14"/>
      <c r="S560" s="13"/>
      <c r="T560" s="1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</row>
    <row r="561" spans="2:147" s="12" customFormat="1" x14ac:dyDescent="0.25">
      <c r="B561" s="19"/>
      <c r="C561" s="14"/>
      <c r="D561" s="18"/>
      <c r="G561" s="17"/>
      <c r="H561" s="14"/>
      <c r="I561" s="14"/>
      <c r="J561" s="16"/>
      <c r="K561" s="15"/>
      <c r="L561" s="15"/>
      <c r="N561" s="14"/>
      <c r="O561" s="14"/>
      <c r="P561" s="13"/>
      <c r="Q561" s="14"/>
      <c r="R561" s="14"/>
      <c r="S561" s="13"/>
      <c r="T561" s="1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</row>
    <row r="562" spans="2:147" s="12" customFormat="1" x14ac:dyDescent="0.25">
      <c r="B562" s="19"/>
      <c r="C562" s="14"/>
      <c r="D562" s="18"/>
      <c r="G562" s="17"/>
      <c r="H562" s="14"/>
      <c r="I562" s="14"/>
      <c r="J562" s="16"/>
      <c r="K562" s="15"/>
      <c r="L562" s="15"/>
      <c r="N562" s="14"/>
      <c r="O562" s="14"/>
      <c r="P562" s="13"/>
      <c r="Q562" s="14"/>
      <c r="R562" s="14"/>
      <c r="S562" s="13"/>
      <c r="T562" s="1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</row>
    <row r="563" spans="2:147" s="12" customFormat="1" x14ac:dyDescent="0.25">
      <c r="B563" s="19"/>
      <c r="C563" s="14"/>
      <c r="D563" s="18"/>
      <c r="G563" s="17"/>
      <c r="H563" s="14"/>
      <c r="I563" s="14"/>
      <c r="J563" s="16"/>
      <c r="K563" s="15"/>
      <c r="L563" s="15"/>
      <c r="N563" s="14"/>
      <c r="O563" s="14"/>
      <c r="P563" s="13"/>
      <c r="Q563" s="14"/>
      <c r="R563" s="14"/>
      <c r="S563" s="13"/>
      <c r="T563" s="1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</row>
    <row r="564" spans="2:147" s="12" customFormat="1" x14ac:dyDescent="0.25">
      <c r="B564" s="19"/>
      <c r="C564" s="14"/>
      <c r="D564" s="18"/>
      <c r="G564" s="17"/>
      <c r="H564" s="14"/>
      <c r="I564" s="14"/>
      <c r="J564" s="16"/>
      <c r="K564" s="15"/>
      <c r="L564" s="15"/>
      <c r="N564" s="14"/>
      <c r="O564" s="14"/>
      <c r="P564" s="13"/>
      <c r="Q564" s="14"/>
      <c r="R564" s="14"/>
      <c r="S564" s="13"/>
      <c r="T564" s="1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</row>
    <row r="565" spans="2:147" s="12" customFormat="1" x14ac:dyDescent="0.25">
      <c r="B565" s="19"/>
      <c r="C565" s="14"/>
      <c r="D565" s="18"/>
      <c r="G565" s="17"/>
      <c r="H565" s="14"/>
      <c r="I565" s="14"/>
      <c r="J565" s="16"/>
      <c r="K565" s="15"/>
      <c r="L565" s="15"/>
      <c r="N565" s="14"/>
      <c r="O565" s="14"/>
      <c r="P565" s="13"/>
      <c r="Q565" s="14"/>
      <c r="R565" s="14"/>
      <c r="S565" s="13"/>
      <c r="T565" s="1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</row>
    <row r="566" spans="2:147" s="12" customFormat="1" x14ac:dyDescent="0.25">
      <c r="B566" s="19"/>
      <c r="C566" s="14"/>
      <c r="D566" s="18"/>
      <c r="G566" s="17"/>
      <c r="H566" s="14"/>
      <c r="I566" s="14"/>
      <c r="J566" s="16"/>
      <c r="K566" s="15"/>
      <c r="L566" s="15"/>
      <c r="N566" s="14"/>
      <c r="O566" s="14"/>
      <c r="P566" s="13"/>
      <c r="Q566" s="14"/>
      <c r="R566" s="14"/>
      <c r="S566" s="13"/>
      <c r="T566" s="1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</row>
    <row r="567" spans="2:147" s="12" customFormat="1" x14ac:dyDescent="0.25">
      <c r="B567" s="19"/>
      <c r="C567" s="14"/>
      <c r="D567" s="18"/>
      <c r="G567" s="17"/>
      <c r="H567" s="14"/>
      <c r="I567" s="14"/>
      <c r="J567" s="16"/>
      <c r="K567" s="15"/>
      <c r="L567" s="15"/>
      <c r="N567" s="14"/>
      <c r="O567" s="14"/>
      <c r="P567" s="13"/>
      <c r="Q567" s="14"/>
      <c r="R567" s="14"/>
      <c r="S567" s="13"/>
      <c r="T567" s="1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</row>
    <row r="568" spans="2:147" s="12" customFormat="1" x14ac:dyDescent="0.25">
      <c r="B568" s="19"/>
      <c r="C568" s="14"/>
      <c r="D568" s="18"/>
      <c r="G568" s="17"/>
      <c r="H568" s="14"/>
      <c r="I568" s="14"/>
      <c r="J568" s="16"/>
      <c r="K568" s="15"/>
      <c r="L568" s="15"/>
      <c r="N568" s="14"/>
      <c r="O568" s="14"/>
      <c r="P568" s="13"/>
      <c r="Q568" s="14"/>
      <c r="R568" s="14"/>
      <c r="S568" s="13"/>
      <c r="T568" s="1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</row>
    <row r="569" spans="2:147" s="12" customFormat="1" x14ac:dyDescent="0.25">
      <c r="B569" s="19"/>
      <c r="C569" s="14"/>
      <c r="D569" s="18"/>
      <c r="G569" s="17"/>
      <c r="H569" s="14"/>
      <c r="I569" s="14"/>
      <c r="J569" s="16"/>
      <c r="K569" s="15"/>
      <c r="L569" s="15"/>
      <c r="N569" s="14"/>
      <c r="O569" s="14"/>
      <c r="P569" s="13"/>
      <c r="Q569" s="14"/>
      <c r="R569" s="14"/>
      <c r="S569" s="13"/>
      <c r="T569" s="1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</row>
    <row r="570" spans="2:147" s="12" customFormat="1" x14ac:dyDescent="0.25">
      <c r="B570" s="19"/>
      <c r="C570" s="14"/>
      <c r="D570" s="18"/>
      <c r="G570" s="17"/>
      <c r="H570" s="14"/>
      <c r="I570" s="14"/>
      <c r="J570" s="16"/>
      <c r="K570" s="15"/>
      <c r="L570" s="15"/>
      <c r="N570" s="14"/>
      <c r="O570" s="14"/>
      <c r="P570" s="13"/>
      <c r="Q570" s="14"/>
      <c r="R570" s="14"/>
      <c r="S570" s="13"/>
      <c r="T570" s="1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</row>
    <row r="571" spans="2:147" s="12" customFormat="1" x14ac:dyDescent="0.25">
      <c r="B571" s="19"/>
      <c r="C571" s="14"/>
      <c r="D571" s="18"/>
      <c r="G571" s="17"/>
      <c r="H571" s="14"/>
      <c r="I571" s="14"/>
      <c r="J571" s="16"/>
      <c r="K571" s="15"/>
      <c r="L571" s="15"/>
      <c r="N571" s="14"/>
      <c r="O571" s="14"/>
      <c r="P571" s="13"/>
      <c r="Q571" s="14"/>
      <c r="R571" s="14"/>
      <c r="S571" s="13"/>
      <c r="T571" s="1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</row>
    <row r="572" spans="2:147" s="12" customFormat="1" x14ac:dyDescent="0.25">
      <c r="B572" s="19"/>
      <c r="C572" s="14"/>
      <c r="D572" s="18"/>
      <c r="G572" s="17"/>
      <c r="H572" s="14"/>
      <c r="I572" s="14"/>
      <c r="J572" s="16"/>
      <c r="K572" s="15"/>
      <c r="L572" s="15"/>
      <c r="N572" s="14"/>
      <c r="O572" s="14"/>
      <c r="P572" s="13"/>
      <c r="Q572" s="14"/>
      <c r="R572" s="14"/>
      <c r="S572" s="13"/>
      <c r="T572" s="1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</row>
    <row r="573" spans="2:147" s="12" customFormat="1" x14ac:dyDescent="0.25">
      <c r="B573" s="19"/>
      <c r="C573" s="14"/>
      <c r="D573" s="18"/>
      <c r="G573" s="17"/>
      <c r="H573" s="14"/>
      <c r="I573" s="14"/>
      <c r="J573" s="16"/>
      <c r="K573" s="15"/>
      <c r="L573" s="15"/>
      <c r="N573" s="14"/>
      <c r="O573" s="14"/>
      <c r="P573" s="13"/>
      <c r="Q573" s="14"/>
      <c r="R573" s="14"/>
      <c r="S573" s="13"/>
      <c r="T573" s="1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</row>
    <row r="574" spans="2:147" s="12" customFormat="1" x14ac:dyDescent="0.25">
      <c r="B574" s="19"/>
      <c r="C574" s="14"/>
      <c r="D574" s="18"/>
      <c r="G574" s="17"/>
      <c r="H574" s="14"/>
      <c r="I574" s="14"/>
      <c r="J574" s="16"/>
      <c r="K574" s="15"/>
      <c r="L574" s="15"/>
      <c r="N574" s="14"/>
      <c r="O574" s="14"/>
      <c r="P574" s="13"/>
      <c r="Q574" s="14"/>
      <c r="R574" s="14"/>
      <c r="S574" s="13"/>
      <c r="T574" s="1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</row>
    <row r="575" spans="2:147" s="12" customFormat="1" x14ac:dyDescent="0.25">
      <c r="B575" s="19"/>
      <c r="C575" s="14"/>
      <c r="D575" s="18"/>
      <c r="G575" s="17"/>
      <c r="H575" s="14"/>
      <c r="I575" s="14"/>
      <c r="J575" s="16"/>
      <c r="K575" s="15"/>
      <c r="L575" s="15"/>
      <c r="N575" s="14"/>
      <c r="O575" s="14"/>
      <c r="P575" s="13"/>
      <c r="Q575" s="14"/>
      <c r="R575" s="14"/>
      <c r="S575" s="13"/>
      <c r="T575" s="1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</row>
    <row r="576" spans="2:147" s="12" customFormat="1" x14ac:dyDescent="0.25">
      <c r="B576" s="19"/>
      <c r="C576" s="14"/>
      <c r="D576" s="18"/>
      <c r="G576" s="17"/>
      <c r="H576" s="14"/>
      <c r="I576" s="14"/>
      <c r="J576" s="16"/>
      <c r="K576" s="15"/>
      <c r="L576" s="15"/>
      <c r="N576" s="14"/>
      <c r="O576" s="14"/>
      <c r="P576" s="13"/>
      <c r="Q576" s="14"/>
      <c r="R576" s="14"/>
      <c r="S576" s="13"/>
      <c r="T576" s="1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</row>
    <row r="577" spans="2:147" s="12" customFormat="1" x14ac:dyDescent="0.25">
      <c r="B577" s="19"/>
      <c r="C577" s="14"/>
      <c r="D577" s="18"/>
      <c r="G577" s="17"/>
      <c r="H577" s="14"/>
      <c r="I577" s="14"/>
      <c r="J577" s="16"/>
      <c r="K577" s="15"/>
      <c r="L577" s="15"/>
      <c r="N577" s="14"/>
      <c r="O577" s="14"/>
      <c r="P577" s="13"/>
      <c r="Q577" s="14"/>
      <c r="R577" s="14"/>
      <c r="S577" s="13"/>
      <c r="T577" s="1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</row>
    <row r="578" spans="2:147" s="12" customFormat="1" x14ac:dyDescent="0.25">
      <c r="B578" s="19"/>
      <c r="C578" s="14"/>
      <c r="D578" s="18"/>
      <c r="G578" s="17"/>
      <c r="H578" s="14"/>
      <c r="I578" s="14"/>
      <c r="J578" s="16"/>
      <c r="K578" s="15"/>
      <c r="L578" s="15"/>
      <c r="N578" s="14"/>
      <c r="O578" s="14"/>
      <c r="P578" s="13"/>
      <c r="Q578" s="14"/>
      <c r="R578" s="14"/>
      <c r="S578" s="13"/>
      <c r="T578" s="1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</row>
    <row r="579" spans="2:147" s="12" customFormat="1" x14ac:dyDescent="0.25">
      <c r="B579" s="19"/>
      <c r="C579" s="14"/>
      <c r="D579" s="18"/>
      <c r="G579" s="17"/>
      <c r="H579" s="14"/>
      <c r="I579" s="14"/>
      <c r="J579" s="16"/>
      <c r="K579" s="15"/>
      <c r="L579" s="15"/>
      <c r="N579" s="14"/>
      <c r="O579" s="14"/>
      <c r="P579" s="13"/>
      <c r="Q579" s="14"/>
      <c r="R579" s="14"/>
      <c r="S579" s="13"/>
      <c r="T579" s="1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</row>
    <row r="580" spans="2:147" s="12" customFormat="1" x14ac:dyDescent="0.25">
      <c r="B580" s="19"/>
      <c r="C580" s="14"/>
      <c r="D580" s="18"/>
      <c r="G580" s="17"/>
      <c r="H580" s="14"/>
      <c r="I580" s="14"/>
      <c r="J580" s="16"/>
      <c r="K580" s="15"/>
      <c r="L580" s="15"/>
      <c r="N580" s="14"/>
      <c r="O580" s="14"/>
      <c r="P580" s="13"/>
      <c r="Q580" s="14"/>
      <c r="R580" s="14"/>
      <c r="S580" s="13"/>
      <c r="T580" s="1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</row>
    <row r="581" spans="2:147" s="12" customFormat="1" x14ac:dyDescent="0.25">
      <c r="B581" s="19"/>
      <c r="C581" s="14"/>
      <c r="D581" s="18"/>
      <c r="G581" s="17"/>
      <c r="H581" s="14"/>
      <c r="I581" s="14"/>
      <c r="J581" s="16"/>
      <c r="K581" s="15"/>
      <c r="L581" s="15"/>
      <c r="N581" s="14"/>
      <c r="O581" s="14"/>
      <c r="P581" s="13"/>
      <c r="Q581" s="14"/>
      <c r="R581" s="14"/>
      <c r="S581" s="13"/>
      <c r="T581" s="1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</row>
    <row r="582" spans="2:147" s="12" customFormat="1" x14ac:dyDescent="0.25">
      <c r="B582" s="19"/>
      <c r="C582" s="14"/>
      <c r="D582" s="18"/>
      <c r="G582" s="17"/>
      <c r="H582" s="14"/>
      <c r="I582" s="14"/>
      <c r="J582" s="16"/>
      <c r="K582" s="15"/>
      <c r="L582" s="15"/>
      <c r="N582" s="14"/>
      <c r="O582" s="14"/>
      <c r="P582" s="13"/>
      <c r="Q582" s="14"/>
      <c r="R582" s="14"/>
      <c r="S582" s="13"/>
      <c r="T582" s="1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</row>
    <row r="583" spans="2:147" s="12" customFormat="1" x14ac:dyDescent="0.25">
      <c r="B583" s="19"/>
      <c r="C583" s="14"/>
      <c r="D583" s="18"/>
      <c r="G583" s="17"/>
      <c r="H583" s="14"/>
      <c r="I583" s="14"/>
      <c r="J583" s="16"/>
      <c r="K583" s="15"/>
      <c r="L583" s="15"/>
      <c r="N583" s="14"/>
      <c r="O583" s="14"/>
      <c r="P583" s="13"/>
      <c r="Q583" s="14"/>
      <c r="R583" s="14"/>
      <c r="S583" s="13"/>
      <c r="T583" s="1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</row>
    <row r="584" spans="2:147" s="12" customFormat="1" x14ac:dyDescent="0.25">
      <c r="B584" s="19"/>
      <c r="C584" s="14"/>
      <c r="D584" s="18"/>
      <c r="G584" s="17"/>
      <c r="H584" s="14"/>
      <c r="I584" s="14"/>
      <c r="J584" s="16"/>
      <c r="K584" s="15"/>
      <c r="L584" s="15"/>
      <c r="N584" s="14"/>
      <c r="O584" s="14"/>
      <c r="P584" s="13"/>
      <c r="Q584" s="14"/>
      <c r="R584" s="14"/>
      <c r="S584" s="13"/>
      <c r="T584" s="1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</row>
    <row r="585" spans="2:147" s="12" customFormat="1" x14ac:dyDescent="0.25">
      <c r="B585" s="19"/>
      <c r="C585" s="14"/>
      <c r="D585" s="18"/>
      <c r="G585" s="17"/>
      <c r="H585" s="14"/>
      <c r="I585" s="14"/>
      <c r="J585" s="16"/>
      <c r="K585" s="15"/>
      <c r="L585" s="15"/>
      <c r="N585" s="14"/>
      <c r="O585" s="14"/>
      <c r="P585" s="13"/>
      <c r="Q585" s="14"/>
      <c r="R585" s="14"/>
      <c r="S585" s="13"/>
      <c r="T585" s="1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</row>
    <row r="586" spans="2:147" s="12" customFormat="1" x14ac:dyDescent="0.25">
      <c r="B586" s="19"/>
      <c r="C586" s="14"/>
      <c r="D586" s="18"/>
      <c r="G586" s="17"/>
      <c r="H586" s="14"/>
      <c r="I586" s="14"/>
      <c r="J586" s="16"/>
      <c r="K586" s="15"/>
      <c r="L586" s="15"/>
      <c r="N586" s="14"/>
      <c r="O586" s="14"/>
      <c r="P586" s="13"/>
      <c r="Q586" s="14"/>
      <c r="R586" s="14"/>
      <c r="S586" s="13"/>
      <c r="T586" s="1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</row>
    <row r="587" spans="2:147" s="12" customFormat="1" x14ac:dyDescent="0.25">
      <c r="B587" s="19"/>
      <c r="C587" s="14"/>
      <c r="D587" s="18"/>
      <c r="G587" s="17"/>
      <c r="H587" s="14"/>
      <c r="I587" s="14"/>
      <c r="J587" s="16"/>
      <c r="K587" s="15"/>
      <c r="L587" s="15"/>
      <c r="N587" s="14"/>
      <c r="O587" s="14"/>
      <c r="P587" s="13"/>
      <c r="Q587" s="14"/>
      <c r="R587" s="14"/>
      <c r="S587" s="13"/>
      <c r="T587" s="1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</row>
    <row r="588" spans="2:147" s="12" customFormat="1" x14ac:dyDescent="0.25">
      <c r="B588" s="19"/>
      <c r="C588" s="14"/>
      <c r="D588" s="18"/>
      <c r="G588" s="17"/>
      <c r="H588" s="14"/>
      <c r="I588" s="14"/>
      <c r="J588" s="16"/>
      <c r="K588" s="15"/>
      <c r="L588" s="15"/>
      <c r="N588" s="14"/>
      <c r="O588" s="14"/>
      <c r="P588" s="13"/>
      <c r="Q588" s="14"/>
      <c r="R588" s="14"/>
      <c r="S588" s="13"/>
      <c r="T588" s="1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</row>
    <row r="589" spans="2:147" s="12" customFormat="1" x14ac:dyDescent="0.25">
      <c r="B589" s="19"/>
      <c r="C589" s="14"/>
      <c r="D589" s="18"/>
      <c r="G589" s="17"/>
      <c r="H589" s="14"/>
      <c r="I589" s="14"/>
      <c r="J589" s="16"/>
      <c r="K589" s="15"/>
      <c r="L589" s="15"/>
      <c r="N589" s="14"/>
      <c r="O589" s="14"/>
      <c r="P589" s="13"/>
      <c r="Q589" s="14"/>
      <c r="R589" s="14"/>
      <c r="S589" s="13"/>
      <c r="T589" s="1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</row>
    <row r="590" spans="2:147" s="12" customFormat="1" x14ac:dyDescent="0.25">
      <c r="B590" s="19"/>
      <c r="C590" s="14"/>
      <c r="D590" s="18"/>
      <c r="G590" s="17"/>
      <c r="H590" s="14"/>
      <c r="I590" s="14"/>
      <c r="J590" s="16"/>
      <c r="K590" s="15"/>
      <c r="L590" s="15"/>
      <c r="N590" s="14"/>
      <c r="O590" s="14"/>
      <c r="P590" s="13"/>
      <c r="Q590" s="14"/>
      <c r="R590" s="14"/>
      <c r="S590" s="13"/>
      <c r="T590" s="1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</row>
    <row r="591" spans="2:147" s="12" customFormat="1" x14ac:dyDescent="0.25">
      <c r="B591" s="19"/>
      <c r="C591" s="14"/>
      <c r="D591" s="18"/>
      <c r="G591" s="17"/>
      <c r="H591" s="14"/>
      <c r="I591" s="14"/>
      <c r="J591" s="16"/>
      <c r="K591" s="15"/>
      <c r="L591" s="15"/>
      <c r="N591" s="14"/>
      <c r="O591" s="14"/>
      <c r="P591" s="13"/>
      <c r="Q591" s="14"/>
      <c r="R591" s="14"/>
      <c r="S591" s="13"/>
      <c r="T591" s="1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</row>
    <row r="592" spans="2:147" s="12" customFormat="1" x14ac:dyDescent="0.25">
      <c r="B592" s="19"/>
      <c r="C592" s="14"/>
      <c r="D592" s="18"/>
      <c r="G592" s="17"/>
      <c r="H592" s="14"/>
      <c r="I592" s="14"/>
      <c r="J592" s="16"/>
      <c r="K592" s="15"/>
      <c r="L592" s="15"/>
      <c r="N592" s="14"/>
      <c r="O592" s="14"/>
      <c r="P592" s="13"/>
      <c r="Q592" s="14"/>
      <c r="R592" s="14"/>
      <c r="S592" s="13"/>
      <c r="T592" s="1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</row>
    <row r="593" spans="2:147" s="12" customFormat="1" x14ac:dyDescent="0.25">
      <c r="B593" s="19"/>
      <c r="C593" s="14"/>
      <c r="D593" s="18"/>
      <c r="G593" s="17"/>
      <c r="H593" s="14"/>
      <c r="I593" s="14"/>
      <c r="J593" s="16"/>
      <c r="K593" s="15"/>
      <c r="L593" s="15"/>
      <c r="N593" s="14"/>
      <c r="O593" s="14"/>
      <c r="P593" s="13"/>
      <c r="Q593" s="14"/>
      <c r="R593" s="14"/>
      <c r="S593" s="13"/>
      <c r="T593" s="1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</row>
    <row r="594" spans="2:147" s="12" customFormat="1" x14ac:dyDescent="0.25">
      <c r="B594" s="19"/>
      <c r="C594" s="14"/>
      <c r="D594" s="18"/>
      <c r="G594" s="17"/>
      <c r="H594" s="14"/>
      <c r="I594" s="14"/>
      <c r="J594" s="16"/>
      <c r="K594" s="15"/>
      <c r="L594" s="15"/>
      <c r="N594" s="14"/>
      <c r="O594" s="14"/>
      <c r="P594" s="13"/>
      <c r="Q594" s="14"/>
      <c r="R594" s="14"/>
      <c r="S594" s="13"/>
      <c r="T594" s="1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</row>
    <row r="595" spans="2:147" s="12" customFormat="1" x14ac:dyDescent="0.25">
      <c r="B595" s="19"/>
      <c r="C595" s="14"/>
      <c r="D595" s="18"/>
      <c r="G595" s="17"/>
      <c r="H595" s="14"/>
      <c r="I595" s="14"/>
      <c r="J595" s="16"/>
      <c r="K595" s="15"/>
      <c r="L595" s="15"/>
      <c r="N595" s="14"/>
      <c r="O595" s="14"/>
      <c r="P595" s="13"/>
      <c r="Q595" s="14"/>
      <c r="R595" s="14"/>
      <c r="S595" s="13"/>
      <c r="T595" s="1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</row>
    <row r="596" spans="2:147" s="12" customFormat="1" x14ac:dyDescent="0.25">
      <c r="B596" s="19"/>
      <c r="C596" s="14"/>
      <c r="D596" s="18"/>
      <c r="G596" s="17"/>
      <c r="H596" s="14"/>
      <c r="I596" s="14"/>
      <c r="J596" s="16"/>
      <c r="K596" s="15"/>
      <c r="L596" s="15"/>
      <c r="N596" s="14"/>
      <c r="O596" s="14"/>
      <c r="P596" s="13"/>
      <c r="Q596" s="14"/>
      <c r="R596" s="14"/>
      <c r="S596" s="13"/>
      <c r="T596" s="1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</row>
    <row r="597" spans="2:147" s="12" customFormat="1" x14ac:dyDescent="0.25">
      <c r="B597" s="19"/>
      <c r="C597" s="14"/>
      <c r="D597" s="18"/>
      <c r="G597" s="17"/>
      <c r="H597" s="14"/>
      <c r="I597" s="14"/>
      <c r="J597" s="16"/>
      <c r="K597" s="15"/>
      <c r="L597" s="15"/>
      <c r="N597" s="14"/>
      <c r="O597" s="14"/>
      <c r="P597" s="13"/>
      <c r="Q597" s="14"/>
      <c r="R597" s="14"/>
      <c r="S597" s="13"/>
      <c r="T597" s="1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</row>
    <row r="598" spans="2:147" s="12" customFormat="1" x14ac:dyDescent="0.25">
      <c r="B598" s="19"/>
      <c r="C598" s="14"/>
      <c r="D598" s="18"/>
      <c r="G598" s="17"/>
      <c r="H598" s="14"/>
      <c r="I598" s="14"/>
      <c r="J598" s="16"/>
      <c r="K598" s="15"/>
      <c r="L598" s="15"/>
      <c r="N598" s="14"/>
      <c r="O598" s="14"/>
      <c r="P598" s="13"/>
      <c r="Q598" s="14"/>
      <c r="R598" s="14"/>
      <c r="S598" s="13"/>
      <c r="T598" s="1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</row>
    <row r="599" spans="2:147" s="12" customFormat="1" x14ac:dyDescent="0.25">
      <c r="B599" s="19"/>
      <c r="C599" s="14"/>
      <c r="D599" s="18"/>
      <c r="G599" s="17"/>
      <c r="H599" s="14"/>
      <c r="I599" s="14"/>
      <c r="J599" s="16"/>
      <c r="K599" s="15"/>
      <c r="L599" s="15"/>
      <c r="N599" s="14"/>
      <c r="O599" s="14"/>
      <c r="P599" s="13"/>
      <c r="Q599" s="14"/>
      <c r="R599" s="14"/>
      <c r="S599" s="13"/>
      <c r="T599" s="1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</row>
    <row r="600" spans="2:147" s="12" customFormat="1" x14ac:dyDescent="0.25">
      <c r="B600" s="19"/>
      <c r="C600" s="14"/>
      <c r="D600" s="18"/>
      <c r="G600" s="17"/>
      <c r="H600" s="14"/>
      <c r="I600" s="14"/>
      <c r="J600" s="16"/>
      <c r="K600" s="15"/>
      <c r="L600" s="15"/>
      <c r="N600" s="14"/>
      <c r="O600" s="14"/>
      <c r="P600" s="13"/>
      <c r="Q600" s="14"/>
      <c r="R600" s="14"/>
      <c r="S600" s="13"/>
      <c r="T600" s="1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</row>
    <row r="601" spans="2:147" s="12" customFormat="1" x14ac:dyDescent="0.25">
      <c r="B601" s="19"/>
      <c r="C601" s="14"/>
      <c r="D601" s="18"/>
      <c r="G601" s="17"/>
      <c r="H601" s="14"/>
      <c r="I601" s="14"/>
      <c r="J601" s="16"/>
      <c r="K601" s="15"/>
      <c r="L601" s="15"/>
      <c r="N601" s="14"/>
      <c r="O601" s="14"/>
      <c r="P601" s="13"/>
      <c r="Q601" s="14"/>
      <c r="R601" s="14"/>
      <c r="S601" s="13"/>
      <c r="T601" s="1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</row>
    <row r="602" spans="2:147" s="12" customFormat="1" x14ac:dyDescent="0.25">
      <c r="B602" s="19"/>
      <c r="C602" s="14"/>
      <c r="D602" s="18"/>
      <c r="G602" s="17"/>
      <c r="H602" s="14"/>
      <c r="I602" s="14"/>
      <c r="J602" s="16"/>
      <c r="K602" s="15"/>
      <c r="L602" s="15"/>
      <c r="N602" s="14"/>
      <c r="O602" s="14"/>
      <c r="P602" s="13"/>
      <c r="Q602" s="14"/>
      <c r="R602" s="14"/>
      <c r="S602" s="13"/>
      <c r="T602" s="1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</row>
    <row r="603" spans="2:147" s="12" customFormat="1" x14ac:dyDescent="0.25">
      <c r="B603" s="19"/>
      <c r="C603" s="14"/>
      <c r="D603" s="18"/>
      <c r="G603" s="17"/>
      <c r="H603" s="14"/>
      <c r="I603" s="14"/>
      <c r="J603" s="16"/>
      <c r="K603" s="15"/>
      <c r="L603" s="15"/>
      <c r="N603" s="14"/>
      <c r="O603" s="14"/>
      <c r="P603" s="13"/>
      <c r="Q603" s="14"/>
      <c r="R603" s="14"/>
      <c r="S603" s="13"/>
      <c r="T603" s="1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</row>
    <row r="604" spans="2:147" s="12" customFormat="1" x14ac:dyDescent="0.25">
      <c r="B604" s="19"/>
      <c r="C604" s="14"/>
      <c r="D604" s="18"/>
      <c r="G604" s="17"/>
      <c r="H604" s="14"/>
      <c r="I604" s="14"/>
      <c r="J604" s="16"/>
      <c r="K604" s="15"/>
      <c r="L604" s="15"/>
      <c r="N604" s="14"/>
      <c r="O604" s="14"/>
      <c r="P604" s="13"/>
      <c r="Q604" s="14"/>
      <c r="R604" s="14"/>
      <c r="S604" s="13"/>
      <c r="T604" s="1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</row>
    <row r="605" spans="2:147" s="12" customFormat="1" x14ac:dyDescent="0.25">
      <c r="B605" s="19"/>
      <c r="C605" s="14"/>
      <c r="D605" s="18"/>
      <c r="G605" s="17"/>
      <c r="H605" s="14"/>
      <c r="I605" s="14"/>
      <c r="J605" s="16"/>
      <c r="K605" s="15"/>
      <c r="L605" s="15"/>
      <c r="N605" s="14"/>
      <c r="O605" s="14"/>
      <c r="P605" s="13"/>
      <c r="Q605" s="14"/>
      <c r="R605" s="14"/>
      <c r="S605" s="13"/>
      <c r="T605" s="1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</row>
    <row r="606" spans="2:147" s="12" customFormat="1" x14ac:dyDescent="0.25">
      <c r="B606" s="19"/>
      <c r="C606" s="14"/>
      <c r="D606" s="18"/>
      <c r="G606" s="17"/>
      <c r="H606" s="14"/>
      <c r="I606" s="14"/>
      <c r="J606" s="16"/>
      <c r="K606" s="15"/>
      <c r="L606" s="15"/>
      <c r="N606" s="14"/>
      <c r="O606" s="14"/>
      <c r="P606" s="13"/>
      <c r="Q606" s="14"/>
      <c r="R606" s="14"/>
      <c r="S606" s="13"/>
      <c r="T606" s="1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</row>
    <row r="607" spans="2:147" s="12" customFormat="1" x14ac:dyDescent="0.25">
      <c r="B607" s="19"/>
      <c r="C607" s="14"/>
      <c r="D607" s="18"/>
      <c r="G607" s="17"/>
      <c r="H607" s="14"/>
      <c r="I607" s="14"/>
      <c r="J607" s="16"/>
      <c r="K607" s="15"/>
      <c r="L607" s="15"/>
      <c r="N607" s="14"/>
      <c r="O607" s="14"/>
      <c r="P607" s="13"/>
      <c r="Q607" s="14"/>
      <c r="R607" s="14"/>
      <c r="S607" s="13"/>
      <c r="T607" s="1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</row>
    <row r="608" spans="2:147" s="12" customFormat="1" x14ac:dyDescent="0.25">
      <c r="B608" s="19"/>
      <c r="C608" s="14"/>
      <c r="D608" s="18"/>
      <c r="G608" s="17"/>
      <c r="H608" s="14"/>
      <c r="I608" s="14"/>
      <c r="J608" s="16"/>
      <c r="K608" s="15"/>
      <c r="L608" s="15"/>
      <c r="N608" s="14"/>
      <c r="O608" s="14"/>
      <c r="P608" s="13"/>
      <c r="Q608" s="14"/>
      <c r="R608" s="14"/>
      <c r="S608" s="13"/>
      <c r="T608" s="1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</row>
    <row r="609" spans="2:147" s="12" customFormat="1" x14ac:dyDescent="0.25">
      <c r="B609" s="19"/>
      <c r="C609" s="14"/>
      <c r="D609" s="18"/>
      <c r="G609" s="17"/>
      <c r="H609" s="14"/>
      <c r="I609" s="14"/>
      <c r="J609" s="16"/>
      <c r="K609" s="15"/>
      <c r="L609" s="15"/>
      <c r="N609" s="14"/>
      <c r="O609" s="14"/>
      <c r="P609" s="13"/>
      <c r="Q609" s="14"/>
      <c r="R609" s="14"/>
      <c r="S609" s="13"/>
      <c r="T609" s="1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</row>
    <row r="610" spans="2:147" s="12" customFormat="1" x14ac:dyDescent="0.25">
      <c r="B610" s="19"/>
      <c r="C610" s="14"/>
      <c r="D610" s="18"/>
      <c r="G610" s="17"/>
      <c r="H610" s="14"/>
      <c r="I610" s="14"/>
      <c r="J610" s="16"/>
      <c r="K610" s="15"/>
      <c r="L610" s="15"/>
      <c r="N610" s="14"/>
      <c r="O610" s="14"/>
      <c r="P610" s="13"/>
      <c r="Q610" s="14"/>
      <c r="R610" s="14"/>
      <c r="S610" s="13"/>
      <c r="T610" s="1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</row>
    <row r="611" spans="2:147" s="12" customFormat="1" x14ac:dyDescent="0.25">
      <c r="B611" s="19"/>
      <c r="C611" s="14"/>
      <c r="D611" s="18"/>
      <c r="G611" s="17"/>
      <c r="H611" s="14"/>
      <c r="I611" s="14"/>
      <c r="J611" s="16"/>
      <c r="K611" s="15"/>
      <c r="L611" s="15"/>
      <c r="N611" s="14"/>
      <c r="O611" s="14"/>
      <c r="P611" s="13"/>
      <c r="Q611" s="14"/>
      <c r="R611" s="14"/>
      <c r="S611" s="13"/>
      <c r="T611" s="1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</row>
    <row r="612" spans="2:147" s="12" customFormat="1" x14ac:dyDescent="0.25">
      <c r="B612" s="19"/>
      <c r="C612" s="14"/>
      <c r="D612" s="18"/>
      <c r="G612" s="17"/>
      <c r="H612" s="14"/>
      <c r="I612" s="14"/>
      <c r="J612" s="16"/>
      <c r="K612" s="15"/>
      <c r="L612" s="15"/>
      <c r="N612" s="14"/>
      <c r="O612" s="14"/>
      <c r="P612" s="13"/>
      <c r="Q612" s="14"/>
      <c r="R612" s="14"/>
      <c r="S612" s="13"/>
      <c r="T612" s="1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</row>
    <row r="613" spans="2:147" s="12" customFormat="1" x14ac:dyDescent="0.25">
      <c r="B613" s="19"/>
      <c r="C613" s="14"/>
      <c r="D613" s="18"/>
      <c r="G613" s="17"/>
      <c r="H613" s="14"/>
      <c r="I613" s="14"/>
      <c r="J613" s="16"/>
      <c r="K613" s="15"/>
      <c r="L613" s="15"/>
      <c r="N613" s="14"/>
      <c r="O613" s="14"/>
      <c r="P613" s="13"/>
      <c r="Q613" s="14"/>
      <c r="R613" s="14"/>
      <c r="S613" s="13"/>
      <c r="T613" s="1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</row>
    <row r="614" spans="2:147" s="12" customFormat="1" x14ac:dyDescent="0.25">
      <c r="B614" s="19"/>
      <c r="C614" s="14"/>
      <c r="D614" s="18"/>
      <c r="G614" s="17"/>
      <c r="H614" s="14"/>
      <c r="I614" s="14"/>
      <c r="J614" s="16"/>
      <c r="K614" s="15"/>
      <c r="L614" s="15"/>
      <c r="N614" s="14"/>
      <c r="O614" s="14"/>
      <c r="P614" s="13"/>
      <c r="Q614" s="14"/>
      <c r="R614" s="14"/>
      <c r="S614" s="13"/>
      <c r="T614" s="1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</row>
    <row r="615" spans="2:147" s="12" customFormat="1" x14ac:dyDescent="0.25">
      <c r="B615" s="19"/>
      <c r="C615" s="14"/>
      <c r="D615" s="18"/>
      <c r="G615" s="17"/>
      <c r="H615" s="14"/>
      <c r="I615" s="14"/>
      <c r="J615" s="16"/>
      <c r="K615" s="15"/>
      <c r="L615" s="15"/>
      <c r="N615" s="14"/>
      <c r="O615" s="14"/>
      <c r="P615" s="13"/>
      <c r="Q615" s="14"/>
      <c r="R615" s="14"/>
      <c r="S615" s="13"/>
      <c r="T615" s="1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</row>
    <row r="616" spans="2:147" s="12" customFormat="1" x14ac:dyDescent="0.25">
      <c r="B616" s="19"/>
      <c r="C616" s="14"/>
      <c r="D616" s="18"/>
      <c r="G616" s="17"/>
      <c r="H616" s="14"/>
      <c r="I616" s="14"/>
      <c r="J616" s="16"/>
      <c r="K616" s="15"/>
      <c r="L616" s="15"/>
      <c r="N616" s="14"/>
      <c r="O616" s="14"/>
      <c r="P616" s="13"/>
      <c r="Q616" s="14"/>
      <c r="R616" s="14"/>
      <c r="S616" s="13"/>
      <c r="T616" s="1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</row>
    <row r="617" spans="2:147" s="12" customFormat="1" x14ac:dyDescent="0.25">
      <c r="B617" s="19"/>
      <c r="C617" s="14"/>
      <c r="D617" s="18"/>
      <c r="G617" s="17"/>
      <c r="H617" s="14"/>
      <c r="I617" s="14"/>
      <c r="J617" s="16"/>
      <c r="K617" s="15"/>
      <c r="L617" s="15"/>
      <c r="N617" s="14"/>
      <c r="O617" s="14"/>
      <c r="P617" s="13"/>
      <c r="Q617" s="14"/>
      <c r="R617" s="14"/>
      <c r="S617" s="13"/>
      <c r="T617" s="1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</row>
    <row r="618" spans="2:147" s="12" customFormat="1" x14ac:dyDescent="0.25">
      <c r="B618" s="19"/>
      <c r="C618" s="14"/>
      <c r="D618" s="18"/>
      <c r="G618" s="17"/>
      <c r="H618" s="14"/>
      <c r="I618" s="14"/>
      <c r="J618" s="16"/>
      <c r="K618" s="15"/>
      <c r="L618" s="15"/>
      <c r="N618" s="14"/>
      <c r="O618" s="14"/>
      <c r="P618" s="13"/>
      <c r="Q618" s="14"/>
      <c r="R618" s="14"/>
      <c r="S618" s="13"/>
      <c r="T618" s="1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</row>
    <row r="619" spans="2:147" s="12" customFormat="1" x14ac:dyDescent="0.25">
      <c r="B619" s="19"/>
      <c r="C619" s="14"/>
      <c r="D619" s="18"/>
      <c r="G619" s="17"/>
      <c r="H619" s="14"/>
      <c r="I619" s="14"/>
      <c r="J619" s="16"/>
      <c r="K619" s="15"/>
      <c r="L619" s="15"/>
      <c r="N619" s="14"/>
      <c r="O619" s="14"/>
      <c r="P619" s="13"/>
      <c r="Q619" s="14"/>
      <c r="R619" s="14"/>
      <c r="S619" s="13"/>
      <c r="T619" s="1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</row>
    <row r="620" spans="2:147" s="12" customFormat="1" x14ac:dyDescent="0.25">
      <c r="B620" s="19"/>
      <c r="C620" s="14"/>
      <c r="D620" s="18"/>
      <c r="G620" s="17"/>
      <c r="H620" s="14"/>
      <c r="I620" s="14"/>
      <c r="J620" s="16"/>
      <c r="K620" s="15"/>
      <c r="L620" s="15"/>
      <c r="N620" s="14"/>
      <c r="O620" s="14"/>
      <c r="P620" s="13"/>
      <c r="Q620" s="14"/>
      <c r="R620" s="14"/>
      <c r="S620" s="13"/>
      <c r="T620" s="1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</row>
    <row r="621" spans="2:147" s="12" customFormat="1" x14ac:dyDescent="0.25">
      <c r="B621" s="19"/>
      <c r="C621" s="14"/>
      <c r="D621" s="18"/>
      <c r="G621" s="17"/>
      <c r="H621" s="14"/>
      <c r="I621" s="14"/>
      <c r="J621" s="16"/>
      <c r="K621" s="15"/>
      <c r="L621" s="15"/>
      <c r="N621" s="14"/>
      <c r="O621" s="14"/>
      <c r="P621" s="13"/>
      <c r="Q621" s="14"/>
      <c r="R621" s="14"/>
      <c r="S621" s="13"/>
      <c r="T621" s="1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</row>
    <row r="622" spans="2:147" s="12" customFormat="1" x14ac:dyDescent="0.25">
      <c r="B622" s="19"/>
      <c r="C622" s="14"/>
      <c r="D622" s="18"/>
      <c r="G622" s="17"/>
      <c r="H622" s="14"/>
      <c r="I622" s="14"/>
      <c r="J622" s="16"/>
      <c r="K622" s="15"/>
      <c r="L622" s="15"/>
      <c r="N622" s="14"/>
      <c r="O622" s="14"/>
      <c r="P622" s="13"/>
      <c r="Q622" s="14"/>
      <c r="R622" s="14"/>
      <c r="S622" s="13"/>
      <c r="T622" s="1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</row>
    <row r="623" spans="2:147" s="12" customFormat="1" x14ac:dyDescent="0.25">
      <c r="B623" s="19"/>
      <c r="C623" s="14"/>
      <c r="D623" s="18"/>
      <c r="G623" s="17"/>
      <c r="H623" s="14"/>
      <c r="I623" s="14"/>
      <c r="J623" s="16"/>
      <c r="K623" s="15"/>
      <c r="L623" s="15"/>
      <c r="N623" s="14"/>
      <c r="O623" s="14"/>
      <c r="P623" s="13"/>
      <c r="Q623" s="14"/>
      <c r="R623" s="14"/>
      <c r="S623" s="13"/>
      <c r="T623" s="1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</row>
    <row r="624" spans="2:147" s="12" customFormat="1" x14ac:dyDescent="0.25">
      <c r="B624" s="19"/>
      <c r="C624" s="14"/>
      <c r="D624" s="18"/>
      <c r="G624" s="17"/>
      <c r="H624" s="14"/>
      <c r="I624" s="14"/>
      <c r="J624" s="16"/>
      <c r="K624" s="15"/>
      <c r="L624" s="15"/>
      <c r="N624" s="14"/>
      <c r="O624" s="14"/>
      <c r="P624" s="13"/>
      <c r="Q624" s="14"/>
      <c r="R624" s="14"/>
      <c r="S624" s="13"/>
      <c r="T624" s="1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</row>
    <row r="625" spans="2:147" s="12" customFormat="1" x14ac:dyDescent="0.25">
      <c r="B625" s="19"/>
      <c r="C625" s="14"/>
      <c r="D625" s="18"/>
      <c r="G625" s="17"/>
      <c r="H625" s="14"/>
      <c r="I625" s="14"/>
      <c r="J625" s="16"/>
      <c r="K625" s="15"/>
      <c r="L625" s="15"/>
      <c r="N625" s="14"/>
      <c r="O625" s="14"/>
      <c r="P625" s="13"/>
      <c r="Q625" s="14"/>
      <c r="R625" s="14"/>
      <c r="S625" s="13"/>
      <c r="T625" s="1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</row>
    <row r="626" spans="2:147" s="12" customFormat="1" x14ac:dyDescent="0.25">
      <c r="B626" s="19"/>
      <c r="C626" s="14"/>
      <c r="D626" s="18"/>
      <c r="G626" s="17"/>
      <c r="H626" s="14"/>
      <c r="I626" s="14"/>
      <c r="J626" s="16"/>
      <c r="K626" s="15"/>
      <c r="L626" s="15"/>
      <c r="N626" s="14"/>
      <c r="O626" s="14"/>
      <c r="P626" s="13"/>
      <c r="Q626" s="14"/>
      <c r="R626" s="14"/>
      <c r="S626" s="13"/>
      <c r="T626" s="1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</row>
    <row r="627" spans="2:147" s="12" customFormat="1" x14ac:dyDescent="0.25">
      <c r="B627" s="19"/>
      <c r="C627" s="14"/>
      <c r="D627" s="18"/>
      <c r="G627" s="17"/>
      <c r="H627" s="14"/>
      <c r="I627" s="14"/>
      <c r="J627" s="16"/>
      <c r="K627" s="15"/>
      <c r="L627" s="15"/>
      <c r="N627" s="14"/>
      <c r="O627" s="14"/>
      <c r="P627" s="13"/>
      <c r="Q627" s="14"/>
      <c r="R627" s="14"/>
      <c r="S627" s="13"/>
      <c r="T627" s="1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</row>
    <row r="628" spans="2:147" s="12" customFormat="1" x14ac:dyDescent="0.25">
      <c r="B628" s="19"/>
      <c r="C628" s="14"/>
      <c r="D628" s="18"/>
      <c r="G628" s="17"/>
      <c r="H628" s="14"/>
      <c r="I628" s="14"/>
      <c r="J628" s="16"/>
      <c r="K628" s="15"/>
      <c r="L628" s="15"/>
      <c r="N628" s="14"/>
      <c r="O628" s="14"/>
      <c r="P628" s="13"/>
      <c r="Q628" s="14"/>
      <c r="R628" s="14"/>
      <c r="S628" s="13"/>
      <c r="T628" s="1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</row>
    <row r="629" spans="2:147" s="12" customFormat="1" x14ac:dyDescent="0.25">
      <c r="B629" s="19"/>
      <c r="C629" s="14"/>
      <c r="D629" s="18"/>
      <c r="G629" s="17"/>
      <c r="H629" s="14"/>
      <c r="I629" s="14"/>
      <c r="J629" s="16"/>
      <c r="K629" s="15"/>
      <c r="L629" s="15"/>
      <c r="N629" s="14"/>
      <c r="O629" s="14"/>
      <c r="P629" s="13"/>
      <c r="Q629" s="14"/>
      <c r="R629" s="14"/>
      <c r="S629" s="13"/>
      <c r="T629" s="1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</row>
    <row r="630" spans="2:147" s="12" customFormat="1" x14ac:dyDescent="0.25">
      <c r="B630" s="19"/>
      <c r="C630" s="14"/>
      <c r="D630" s="18"/>
      <c r="G630" s="17"/>
      <c r="H630" s="14"/>
      <c r="I630" s="14"/>
      <c r="J630" s="16"/>
      <c r="K630" s="15"/>
      <c r="L630" s="15"/>
      <c r="N630" s="14"/>
      <c r="O630" s="14"/>
      <c r="P630" s="13"/>
      <c r="Q630" s="14"/>
      <c r="R630" s="14"/>
      <c r="S630" s="13"/>
      <c r="T630" s="1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</row>
    <row r="631" spans="2:147" s="12" customFormat="1" x14ac:dyDescent="0.25">
      <c r="B631" s="19"/>
      <c r="C631" s="14"/>
      <c r="D631" s="18"/>
      <c r="G631" s="17"/>
      <c r="H631" s="14"/>
      <c r="I631" s="14"/>
      <c r="J631" s="16"/>
      <c r="K631" s="15"/>
      <c r="L631" s="15"/>
      <c r="N631" s="14"/>
      <c r="O631" s="14"/>
      <c r="P631" s="13"/>
      <c r="Q631" s="14"/>
      <c r="R631" s="14"/>
      <c r="S631" s="13"/>
      <c r="T631" s="1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</row>
    <row r="632" spans="2:147" s="12" customFormat="1" x14ac:dyDescent="0.25">
      <c r="B632" s="19"/>
      <c r="C632" s="14"/>
      <c r="D632" s="18"/>
      <c r="G632" s="17"/>
      <c r="H632" s="14"/>
      <c r="I632" s="14"/>
      <c r="J632" s="16"/>
      <c r="K632" s="15"/>
      <c r="L632" s="15"/>
      <c r="N632" s="14"/>
      <c r="O632" s="14"/>
      <c r="P632" s="13"/>
      <c r="Q632" s="14"/>
      <c r="R632" s="14"/>
      <c r="S632" s="13"/>
      <c r="T632" s="1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</row>
    <row r="633" spans="2:147" s="12" customFormat="1" x14ac:dyDescent="0.25">
      <c r="B633" s="19"/>
      <c r="C633" s="14"/>
      <c r="D633" s="18"/>
      <c r="G633" s="17"/>
      <c r="H633" s="14"/>
      <c r="I633" s="14"/>
      <c r="J633" s="16"/>
      <c r="K633" s="15"/>
      <c r="L633" s="15"/>
      <c r="N633" s="14"/>
      <c r="O633" s="14"/>
      <c r="P633" s="13"/>
      <c r="Q633" s="14"/>
      <c r="R633" s="14"/>
      <c r="S633" s="13"/>
      <c r="T633" s="1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</row>
    <row r="634" spans="2:147" s="12" customFormat="1" x14ac:dyDescent="0.25">
      <c r="B634" s="19"/>
      <c r="C634" s="14"/>
      <c r="D634" s="18"/>
      <c r="G634" s="17"/>
      <c r="H634" s="14"/>
      <c r="I634" s="14"/>
      <c r="J634" s="16"/>
      <c r="K634" s="15"/>
      <c r="L634" s="15"/>
      <c r="N634" s="14"/>
      <c r="O634" s="14"/>
      <c r="P634" s="13"/>
      <c r="Q634" s="14"/>
      <c r="R634" s="14"/>
      <c r="S634" s="13"/>
      <c r="T634" s="1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</row>
    <row r="635" spans="2:147" s="12" customFormat="1" x14ac:dyDescent="0.25">
      <c r="B635" s="19"/>
      <c r="C635" s="14"/>
      <c r="D635" s="18"/>
      <c r="G635" s="17"/>
      <c r="H635" s="14"/>
      <c r="I635" s="14"/>
      <c r="J635" s="16"/>
      <c r="K635" s="15"/>
      <c r="L635" s="15"/>
      <c r="N635" s="14"/>
      <c r="O635" s="14"/>
      <c r="P635" s="13"/>
      <c r="Q635" s="14"/>
      <c r="R635" s="14"/>
      <c r="S635" s="13"/>
      <c r="T635" s="1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</row>
    <row r="636" spans="2:147" s="12" customFormat="1" x14ac:dyDescent="0.25">
      <c r="B636" s="19"/>
      <c r="C636" s="14"/>
      <c r="D636" s="18"/>
      <c r="G636" s="17"/>
      <c r="H636" s="14"/>
      <c r="I636" s="14"/>
      <c r="J636" s="16"/>
      <c r="K636" s="15"/>
      <c r="L636" s="15"/>
      <c r="N636" s="14"/>
      <c r="O636" s="14"/>
      <c r="P636" s="13"/>
      <c r="Q636" s="14"/>
      <c r="R636" s="14"/>
      <c r="S636" s="13"/>
      <c r="T636" s="1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</row>
    <row r="637" spans="2:147" s="12" customFormat="1" x14ac:dyDescent="0.25">
      <c r="B637" s="19"/>
      <c r="C637" s="14"/>
      <c r="D637" s="18"/>
      <c r="G637" s="17"/>
      <c r="H637" s="14"/>
      <c r="I637" s="14"/>
      <c r="J637" s="16"/>
      <c r="K637" s="15"/>
      <c r="L637" s="15"/>
      <c r="N637" s="14"/>
      <c r="O637" s="14"/>
      <c r="P637" s="13"/>
      <c r="Q637" s="14"/>
      <c r="R637" s="14"/>
      <c r="S637" s="13"/>
      <c r="T637" s="1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</row>
    <row r="638" spans="2:147" s="12" customFormat="1" x14ac:dyDescent="0.25">
      <c r="B638" s="19"/>
      <c r="C638" s="14"/>
      <c r="D638" s="18"/>
      <c r="G638" s="17"/>
      <c r="H638" s="14"/>
      <c r="I638" s="14"/>
      <c r="J638" s="16"/>
      <c r="K638" s="15"/>
      <c r="L638" s="15"/>
      <c r="N638" s="14"/>
      <c r="O638" s="14"/>
      <c r="P638" s="13"/>
      <c r="Q638" s="14"/>
      <c r="R638" s="14"/>
      <c r="S638" s="13"/>
      <c r="T638" s="1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</row>
    <row r="639" spans="2:147" s="12" customFormat="1" x14ac:dyDescent="0.25">
      <c r="B639" s="19"/>
      <c r="C639" s="14"/>
      <c r="D639" s="18"/>
      <c r="G639" s="17"/>
      <c r="H639" s="14"/>
      <c r="I639" s="14"/>
      <c r="J639" s="16"/>
      <c r="K639" s="15"/>
      <c r="L639" s="15"/>
      <c r="N639" s="14"/>
      <c r="O639" s="14"/>
      <c r="P639" s="13"/>
      <c r="Q639" s="14"/>
      <c r="R639" s="14"/>
      <c r="S639" s="13"/>
      <c r="T639" s="1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</row>
    <row r="640" spans="2:147" s="12" customFormat="1" x14ac:dyDescent="0.25">
      <c r="B640" s="19"/>
      <c r="C640" s="14"/>
      <c r="D640" s="18"/>
      <c r="G640" s="17"/>
      <c r="H640" s="14"/>
      <c r="I640" s="14"/>
      <c r="J640" s="16"/>
      <c r="K640" s="15"/>
      <c r="L640" s="15"/>
      <c r="N640" s="14"/>
      <c r="O640" s="14"/>
      <c r="P640" s="13"/>
      <c r="Q640" s="14"/>
      <c r="R640" s="14"/>
      <c r="S640" s="13"/>
      <c r="T640" s="1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</row>
    <row r="641" spans="2:147" s="12" customFormat="1" x14ac:dyDescent="0.25">
      <c r="B641" s="19"/>
      <c r="C641" s="14"/>
      <c r="D641" s="18"/>
      <c r="G641" s="17"/>
      <c r="H641" s="14"/>
      <c r="I641" s="14"/>
      <c r="J641" s="16"/>
      <c r="K641" s="15"/>
      <c r="L641" s="15"/>
      <c r="N641" s="14"/>
      <c r="O641" s="14"/>
      <c r="P641" s="13"/>
      <c r="Q641" s="14"/>
      <c r="R641" s="14"/>
      <c r="S641" s="13"/>
      <c r="T641" s="1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</row>
    <row r="642" spans="2:147" s="12" customFormat="1" x14ac:dyDescent="0.25">
      <c r="B642" s="19"/>
      <c r="C642" s="14"/>
      <c r="D642" s="18"/>
      <c r="G642" s="17"/>
      <c r="H642" s="14"/>
      <c r="I642" s="14"/>
      <c r="J642" s="16"/>
      <c r="K642" s="15"/>
      <c r="L642" s="15"/>
      <c r="N642" s="14"/>
      <c r="O642" s="14"/>
      <c r="P642" s="13"/>
      <c r="Q642" s="14"/>
      <c r="R642" s="14"/>
      <c r="S642" s="13"/>
      <c r="T642" s="1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</row>
    <row r="643" spans="2:147" s="12" customFormat="1" x14ac:dyDescent="0.25">
      <c r="B643" s="19"/>
      <c r="C643" s="14"/>
      <c r="D643" s="18"/>
      <c r="G643" s="17"/>
      <c r="H643" s="14"/>
      <c r="I643" s="14"/>
      <c r="J643" s="16"/>
      <c r="K643" s="15"/>
      <c r="L643" s="15"/>
      <c r="N643" s="14"/>
      <c r="O643" s="14"/>
      <c r="P643" s="13"/>
      <c r="Q643" s="14"/>
      <c r="R643" s="14"/>
      <c r="S643" s="13"/>
      <c r="T643" s="1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</row>
    <row r="644" spans="2:147" s="12" customFormat="1" x14ac:dyDescent="0.25">
      <c r="B644" s="19"/>
      <c r="C644" s="14"/>
      <c r="D644" s="18"/>
      <c r="G644" s="17"/>
      <c r="H644" s="14"/>
      <c r="I644" s="14"/>
      <c r="J644" s="16"/>
      <c r="K644" s="15"/>
      <c r="L644" s="15"/>
      <c r="N644" s="14"/>
      <c r="O644" s="14"/>
      <c r="P644" s="13"/>
      <c r="Q644" s="14"/>
      <c r="R644" s="14"/>
      <c r="S644" s="13"/>
      <c r="T644" s="1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</row>
    <row r="645" spans="2:147" s="12" customFormat="1" x14ac:dyDescent="0.25">
      <c r="B645" s="19"/>
      <c r="C645" s="14"/>
      <c r="D645" s="18"/>
      <c r="G645" s="17"/>
      <c r="H645" s="14"/>
      <c r="I645" s="14"/>
      <c r="J645" s="16"/>
      <c r="K645" s="15"/>
      <c r="L645" s="15"/>
      <c r="N645" s="14"/>
      <c r="O645" s="14"/>
      <c r="P645" s="13"/>
      <c r="Q645" s="14"/>
      <c r="R645" s="14"/>
      <c r="S645" s="13"/>
      <c r="T645" s="1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</row>
    <row r="646" spans="2:147" s="12" customFormat="1" x14ac:dyDescent="0.25">
      <c r="B646" s="19"/>
      <c r="C646" s="14"/>
      <c r="D646" s="18"/>
      <c r="G646" s="17"/>
      <c r="H646" s="14"/>
      <c r="I646" s="14"/>
      <c r="J646" s="16"/>
      <c r="K646" s="15"/>
      <c r="L646" s="15"/>
      <c r="N646" s="14"/>
      <c r="O646" s="14"/>
      <c r="P646" s="13"/>
      <c r="Q646" s="14"/>
      <c r="R646" s="14"/>
      <c r="S646" s="13"/>
      <c r="T646" s="1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</row>
    <row r="647" spans="2:147" s="12" customFormat="1" x14ac:dyDescent="0.25">
      <c r="B647" s="19"/>
      <c r="C647" s="14"/>
      <c r="D647" s="18"/>
      <c r="G647" s="17"/>
      <c r="H647" s="14"/>
      <c r="I647" s="14"/>
      <c r="J647" s="16"/>
      <c r="K647" s="15"/>
      <c r="L647" s="15"/>
      <c r="N647" s="14"/>
      <c r="O647" s="14"/>
      <c r="P647" s="13"/>
      <c r="Q647" s="14"/>
      <c r="R647" s="14"/>
      <c r="S647" s="13"/>
      <c r="T647" s="1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</row>
    <row r="648" spans="2:147" s="12" customFormat="1" x14ac:dyDescent="0.25">
      <c r="B648" s="19"/>
      <c r="C648" s="14"/>
      <c r="D648" s="18"/>
      <c r="G648" s="17"/>
      <c r="H648" s="14"/>
      <c r="I648" s="14"/>
      <c r="J648" s="16"/>
      <c r="K648" s="15"/>
      <c r="L648" s="15"/>
      <c r="N648" s="14"/>
      <c r="O648" s="14"/>
      <c r="P648" s="13"/>
      <c r="Q648" s="14"/>
      <c r="R648" s="14"/>
      <c r="S648" s="13"/>
      <c r="T648" s="1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</row>
    <row r="649" spans="2:147" s="12" customFormat="1" x14ac:dyDescent="0.25">
      <c r="B649" s="19"/>
      <c r="C649" s="14"/>
      <c r="D649" s="18"/>
      <c r="G649" s="17"/>
      <c r="H649" s="14"/>
      <c r="I649" s="14"/>
      <c r="J649" s="16"/>
      <c r="K649" s="15"/>
      <c r="L649" s="15"/>
      <c r="N649" s="14"/>
      <c r="O649" s="14"/>
      <c r="P649" s="13"/>
      <c r="Q649" s="14"/>
      <c r="R649" s="14"/>
      <c r="S649" s="13"/>
      <c r="T649" s="1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</row>
    <row r="650" spans="2:147" s="12" customFormat="1" x14ac:dyDescent="0.25">
      <c r="B650" s="19"/>
      <c r="C650" s="14"/>
      <c r="D650" s="18"/>
      <c r="G650" s="17"/>
      <c r="H650" s="14"/>
      <c r="I650" s="14"/>
      <c r="J650" s="16"/>
      <c r="K650" s="15"/>
      <c r="L650" s="15"/>
      <c r="N650" s="14"/>
      <c r="O650" s="14"/>
      <c r="P650" s="13"/>
      <c r="Q650" s="14"/>
      <c r="R650" s="14"/>
      <c r="S650" s="13"/>
      <c r="T650" s="1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</row>
    <row r="651" spans="2:147" s="12" customFormat="1" x14ac:dyDescent="0.25">
      <c r="B651" s="19"/>
      <c r="C651" s="14"/>
      <c r="D651" s="18"/>
      <c r="G651" s="17"/>
      <c r="H651" s="14"/>
      <c r="I651" s="14"/>
      <c r="J651" s="16"/>
      <c r="K651" s="15"/>
      <c r="L651" s="15"/>
      <c r="N651" s="14"/>
      <c r="O651" s="14"/>
      <c r="P651" s="13"/>
      <c r="Q651" s="14"/>
      <c r="R651" s="14"/>
      <c r="S651" s="13"/>
      <c r="T651" s="1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</row>
    <row r="652" spans="2:147" s="12" customFormat="1" x14ac:dyDescent="0.25">
      <c r="B652" s="19"/>
      <c r="C652" s="14"/>
      <c r="D652" s="18"/>
      <c r="G652" s="17"/>
      <c r="H652" s="14"/>
      <c r="I652" s="14"/>
      <c r="J652" s="16"/>
      <c r="K652" s="15"/>
      <c r="L652" s="15"/>
      <c r="N652" s="14"/>
      <c r="O652" s="14"/>
      <c r="P652" s="13"/>
      <c r="Q652" s="14"/>
      <c r="R652" s="14"/>
      <c r="S652" s="13"/>
      <c r="T652" s="1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</row>
    <row r="653" spans="2:147" s="12" customFormat="1" x14ac:dyDescent="0.25">
      <c r="B653" s="19"/>
      <c r="C653" s="14"/>
      <c r="D653" s="18"/>
      <c r="G653" s="17"/>
      <c r="H653" s="14"/>
      <c r="I653" s="14"/>
      <c r="J653" s="16"/>
      <c r="K653" s="15"/>
      <c r="L653" s="15"/>
      <c r="N653" s="14"/>
      <c r="O653" s="14"/>
      <c r="P653" s="13"/>
      <c r="Q653" s="14"/>
      <c r="R653" s="14"/>
      <c r="S653" s="13"/>
      <c r="T653" s="1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</row>
    <row r="654" spans="2:147" s="12" customFormat="1" x14ac:dyDescent="0.25">
      <c r="B654" s="19"/>
      <c r="C654" s="14"/>
      <c r="D654" s="18"/>
      <c r="G654" s="17"/>
      <c r="H654" s="14"/>
      <c r="I654" s="14"/>
      <c r="J654" s="16"/>
      <c r="K654" s="15"/>
      <c r="L654" s="15"/>
      <c r="N654" s="14"/>
      <c r="O654" s="14"/>
      <c r="P654" s="13"/>
      <c r="Q654" s="14"/>
      <c r="R654" s="14"/>
      <c r="S654" s="13"/>
      <c r="T654" s="1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</row>
    <row r="655" spans="2:147" s="12" customFormat="1" x14ac:dyDescent="0.25">
      <c r="B655" s="19"/>
      <c r="C655" s="14"/>
      <c r="D655" s="18"/>
      <c r="G655" s="17"/>
      <c r="H655" s="14"/>
      <c r="I655" s="14"/>
      <c r="J655" s="16"/>
      <c r="K655" s="15"/>
      <c r="L655" s="15"/>
      <c r="N655" s="14"/>
      <c r="O655" s="14"/>
      <c r="P655" s="13"/>
      <c r="Q655" s="14"/>
      <c r="R655" s="14"/>
      <c r="S655" s="13"/>
      <c r="T655" s="1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</row>
    <row r="656" spans="2:147" s="12" customFormat="1" x14ac:dyDescent="0.25">
      <c r="B656" s="19"/>
      <c r="C656" s="14"/>
      <c r="D656" s="18"/>
      <c r="G656" s="17"/>
      <c r="H656" s="14"/>
      <c r="I656" s="14"/>
      <c r="J656" s="16"/>
      <c r="K656" s="15"/>
      <c r="L656" s="15"/>
      <c r="N656" s="14"/>
      <c r="O656" s="14"/>
      <c r="P656" s="13"/>
      <c r="Q656" s="14"/>
      <c r="R656" s="14"/>
      <c r="S656" s="13"/>
      <c r="T656" s="1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</row>
    <row r="657" spans="2:147" s="12" customFormat="1" x14ac:dyDescent="0.25">
      <c r="B657" s="19"/>
      <c r="C657" s="14"/>
      <c r="D657" s="18"/>
      <c r="G657" s="17"/>
      <c r="H657" s="14"/>
      <c r="I657" s="14"/>
      <c r="J657" s="16"/>
      <c r="K657" s="15"/>
      <c r="L657" s="15"/>
      <c r="N657" s="14"/>
      <c r="O657" s="14"/>
      <c r="P657" s="13"/>
      <c r="Q657" s="14"/>
      <c r="R657" s="14"/>
      <c r="S657" s="13"/>
      <c r="T657" s="1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</row>
    <row r="658" spans="2:147" s="12" customFormat="1" x14ac:dyDescent="0.25">
      <c r="B658" s="19"/>
      <c r="C658" s="14"/>
      <c r="D658" s="18"/>
      <c r="G658" s="17"/>
      <c r="H658" s="14"/>
      <c r="I658" s="14"/>
      <c r="J658" s="16"/>
      <c r="K658" s="15"/>
      <c r="L658" s="15"/>
      <c r="N658" s="14"/>
      <c r="O658" s="14"/>
      <c r="P658" s="13"/>
      <c r="Q658" s="14"/>
      <c r="R658" s="14"/>
      <c r="S658" s="13"/>
      <c r="T658" s="1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</row>
    <row r="659" spans="2:147" s="12" customFormat="1" x14ac:dyDescent="0.25">
      <c r="B659" s="19"/>
      <c r="C659" s="14"/>
      <c r="D659" s="18"/>
      <c r="G659" s="17"/>
      <c r="H659" s="14"/>
      <c r="I659" s="14"/>
      <c r="J659" s="16"/>
      <c r="K659" s="15"/>
      <c r="L659" s="15"/>
      <c r="N659" s="14"/>
      <c r="O659" s="14"/>
      <c r="P659" s="13"/>
      <c r="Q659" s="14"/>
      <c r="R659" s="14"/>
      <c r="S659" s="13"/>
      <c r="T659" s="1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</row>
    <row r="660" spans="2:147" s="12" customFormat="1" x14ac:dyDescent="0.25">
      <c r="B660" s="19"/>
      <c r="C660" s="14"/>
      <c r="D660" s="18"/>
      <c r="G660" s="17"/>
      <c r="H660" s="14"/>
      <c r="I660" s="14"/>
      <c r="J660" s="16"/>
      <c r="K660" s="15"/>
      <c r="L660" s="15"/>
      <c r="N660" s="14"/>
      <c r="O660" s="14"/>
      <c r="P660" s="13"/>
      <c r="Q660" s="14"/>
      <c r="R660" s="14"/>
      <c r="S660" s="13"/>
      <c r="T660" s="1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</row>
    <row r="661" spans="2:147" s="12" customFormat="1" x14ac:dyDescent="0.25">
      <c r="B661" s="19"/>
      <c r="C661" s="14"/>
      <c r="D661" s="18"/>
      <c r="G661" s="17"/>
      <c r="H661" s="14"/>
      <c r="I661" s="14"/>
      <c r="J661" s="16"/>
      <c r="K661" s="15"/>
      <c r="L661" s="15"/>
      <c r="N661" s="14"/>
      <c r="O661" s="14"/>
      <c r="P661" s="13"/>
      <c r="Q661" s="14"/>
      <c r="R661" s="14"/>
      <c r="S661" s="13"/>
      <c r="T661" s="1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</row>
    <row r="662" spans="2:147" s="12" customFormat="1" x14ac:dyDescent="0.25">
      <c r="B662" s="19"/>
      <c r="C662" s="14"/>
      <c r="D662" s="18"/>
      <c r="G662" s="17"/>
      <c r="H662" s="14"/>
      <c r="I662" s="14"/>
      <c r="J662" s="16"/>
      <c r="K662" s="15"/>
      <c r="L662" s="15"/>
      <c r="N662" s="14"/>
      <c r="O662" s="14"/>
      <c r="P662" s="13"/>
      <c r="Q662" s="14"/>
      <c r="R662" s="14"/>
      <c r="S662" s="13"/>
      <c r="T662" s="1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</row>
    <row r="663" spans="2:147" s="12" customFormat="1" x14ac:dyDescent="0.25">
      <c r="B663" s="19"/>
      <c r="C663" s="14"/>
      <c r="D663" s="18"/>
      <c r="G663" s="17"/>
      <c r="H663" s="14"/>
      <c r="I663" s="14"/>
      <c r="J663" s="16"/>
      <c r="K663" s="15"/>
      <c r="L663" s="15"/>
      <c r="N663" s="14"/>
      <c r="O663" s="14"/>
      <c r="P663" s="13"/>
      <c r="Q663" s="14"/>
      <c r="R663" s="14"/>
      <c r="S663" s="13"/>
      <c r="T663" s="1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</row>
    <row r="664" spans="2:147" s="12" customFormat="1" x14ac:dyDescent="0.25">
      <c r="B664" s="19"/>
      <c r="C664" s="14"/>
      <c r="D664" s="18"/>
      <c r="G664" s="17"/>
      <c r="H664" s="14"/>
      <c r="I664" s="14"/>
      <c r="J664" s="16"/>
      <c r="K664" s="15"/>
      <c r="L664" s="15"/>
      <c r="N664" s="14"/>
      <c r="O664" s="14"/>
      <c r="P664" s="13"/>
      <c r="Q664" s="14"/>
      <c r="R664" s="14"/>
      <c r="S664" s="13"/>
      <c r="T664" s="1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</row>
    <row r="665" spans="2:147" s="12" customFormat="1" x14ac:dyDescent="0.25">
      <c r="B665" s="19"/>
      <c r="C665" s="14"/>
      <c r="D665" s="18"/>
      <c r="G665" s="17"/>
      <c r="H665" s="14"/>
      <c r="I665" s="14"/>
      <c r="J665" s="16"/>
      <c r="K665" s="15"/>
      <c r="L665" s="15"/>
      <c r="N665" s="14"/>
      <c r="O665" s="14"/>
      <c r="P665" s="13"/>
      <c r="Q665" s="14"/>
      <c r="R665" s="14"/>
      <c r="S665" s="13"/>
      <c r="T665" s="1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</row>
    <row r="666" spans="2:147" s="12" customFormat="1" x14ac:dyDescent="0.25">
      <c r="B666" s="19"/>
      <c r="C666" s="14"/>
      <c r="D666" s="18"/>
      <c r="G666" s="17"/>
      <c r="H666" s="14"/>
      <c r="I666" s="14"/>
      <c r="J666" s="16"/>
      <c r="K666" s="15"/>
      <c r="L666" s="15"/>
      <c r="N666" s="14"/>
      <c r="O666" s="14"/>
      <c r="P666" s="13"/>
      <c r="Q666" s="14"/>
      <c r="R666" s="14"/>
      <c r="S666" s="13"/>
      <c r="T666" s="1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</row>
    <row r="667" spans="2:147" s="12" customFormat="1" x14ac:dyDescent="0.25">
      <c r="B667" s="19"/>
      <c r="C667" s="14"/>
      <c r="D667" s="18"/>
      <c r="G667" s="17"/>
      <c r="H667" s="14"/>
      <c r="I667" s="14"/>
      <c r="J667" s="16"/>
      <c r="K667" s="15"/>
      <c r="L667" s="15"/>
      <c r="N667" s="14"/>
      <c r="O667" s="14"/>
      <c r="P667" s="13"/>
      <c r="Q667" s="14"/>
      <c r="R667" s="14"/>
      <c r="S667" s="13"/>
      <c r="T667" s="1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</row>
    <row r="668" spans="2:147" s="12" customFormat="1" x14ac:dyDescent="0.25">
      <c r="B668" s="19"/>
      <c r="C668" s="14"/>
      <c r="D668" s="18"/>
      <c r="G668" s="17"/>
      <c r="H668" s="14"/>
      <c r="I668" s="14"/>
      <c r="J668" s="16"/>
      <c r="K668" s="15"/>
      <c r="L668" s="15"/>
      <c r="N668" s="14"/>
      <c r="O668" s="14"/>
      <c r="P668" s="13"/>
      <c r="Q668" s="14"/>
      <c r="R668" s="14"/>
      <c r="S668" s="13"/>
      <c r="T668" s="1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</row>
    <row r="669" spans="2:147" s="12" customFormat="1" x14ac:dyDescent="0.25">
      <c r="B669" s="19"/>
      <c r="C669" s="14"/>
      <c r="D669" s="18"/>
      <c r="G669" s="17"/>
      <c r="H669" s="14"/>
      <c r="I669" s="14"/>
      <c r="J669" s="16"/>
      <c r="K669" s="15"/>
      <c r="L669" s="15"/>
      <c r="N669" s="14"/>
      <c r="O669" s="14"/>
      <c r="P669" s="13"/>
      <c r="Q669" s="14"/>
      <c r="R669" s="14"/>
      <c r="S669" s="13"/>
      <c r="T669" s="1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</row>
    <row r="670" spans="2:147" s="12" customFormat="1" x14ac:dyDescent="0.25">
      <c r="B670" s="19"/>
      <c r="C670" s="14"/>
      <c r="D670" s="18"/>
      <c r="G670" s="17"/>
      <c r="H670" s="14"/>
      <c r="I670" s="14"/>
      <c r="J670" s="16"/>
      <c r="K670" s="15"/>
      <c r="L670" s="15"/>
      <c r="N670" s="14"/>
      <c r="O670" s="14"/>
      <c r="P670" s="13"/>
      <c r="Q670" s="14"/>
      <c r="R670" s="14"/>
      <c r="S670" s="13"/>
      <c r="T670" s="1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</row>
    <row r="671" spans="2:147" s="12" customFormat="1" x14ac:dyDescent="0.25">
      <c r="B671" s="19"/>
      <c r="C671" s="14"/>
      <c r="D671" s="18"/>
      <c r="G671" s="17"/>
      <c r="H671" s="14"/>
      <c r="I671" s="14"/>
      <c r="J671" s="16"/>
      <c r="K671" s="15"/>
      <c r="L671" s="15"/>
      <c r="N671" s="14"/>
      <c r="O671" s="14"/>
      <c r="P671" s="13"/>
      <c r="Q671" s="14"/>
      <c r="R671" s="14"/>
      <c r="S671" s="13"/>
      <c r="T671" s="1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</row>
    <row r="672" spans="2:147" s="12" customFormat="1" x14ac:dyDescent="0.25">
      <c r="B672" s="19"/>
      <c r="C672" s="14"/>
      <c r="D672" s="18"/>
      <c r="G672" s="17"/>
      <c r="H672" s="14"/>
      <c r="I672" s="14"/>
      <c r="J672" s="16"/>
      <c r="K672" s="15"/>
      <c r="L672" s="15"/>
      <c r="N672" s="14"/>
      <c r="O672" s="14"/>
      <c r="P672" s="13"/>
      <c r="Q672" s="14"/>
      <c r="R672" s="14"/>
      <c r="S672" s="13"/>
      <c r="T672" s="1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</row>
    <row r="673" spans="2:147" s="12" customFormat="1" x14ac:dyDescent="0.25">
      <c r="B673" s="19"/>
      <c r="C673" s="14"/>
      <c r="D673" s="18"/>
      <c r="G673" s="17"/>
      <c r="H673" s="14"/>
      <c r="I673" s="14"/>
      <c r="J673" s="16"/>
      <c r="K673" s="15"/>
      <c r="L673" s="15"/>
      <c r="N673" s="14"/>
      <c r="O673" s="14"/>
      <c r="P673" s="13"/>
      <c r="Q673" s="14"/>
      <c r="R673" s="14"/>
      <c r="S673" s="13"/>
      <c r="T673" s="1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</row>
    <row r="674" spans="2:147" s="12" customFormat="1" x14ac:dyDescent="0.25">
      <c r="B674" s="19"/>
      <c r="C674" s="14"/>
      <c r="D674" s="18"/>
      <c r="G674" s="17"/>
      <c r="H674" s="14"/>
      <c r="I674" s="14"/>
      <c r="J674" s="16"/>
      <c r="K674" s="15"/>
      <c r="L674" s="15"/>
      <c r="N674" s="14"/>
      <c r="O674" s="14"/>
      <c r="P674" s="13"/>
      <c r="Q674" s="14"/>
      <c r="R674" s="14"/>
      <c r="S674" s="13"/>
      <c r="T674" s="1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</row>
    <row r="675" spans="2:147" s="12" customFormat="1" x14ac:dyDescent="0.25">
      <c r="B675" s="19"/>
      <c r="C675" s="14"/>
      <c r="D675" s="18"/>
      <c r="G675" s="17"/>
      <c r="H675" s="14"/>
      <c r="I675" s="14"/>
      <c r="J675" s="16"/>
      <c r="K675" s="15"/>
      <c r="L675" s="15"/>
      <c r="N675" s="14"/>
      <c r="O675" s="14"/>
      <c r="P675" s="13"/>
      <c r="Q675" s="14"/>
      <c r="R675" s="14"/>
      <c r="S675" s="13"/>
      <c r="T675" s="1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</row>
    <row r="676" spans="2:147" s="12" customFormat="1" x14ac:dyDescent="0.25">
      <c r="B676" s="19"/>
      <c r="C676" s="14"/>
      <c r="D676" s="18"/>
      <c r="G676" s="17"/>
      <c r="H676" s="14"/>
      <c r="I676" s="14"/>
      <c r="J676" s="16"/>
      <c r="K676" s="15"/>
      <c r="L676" s="15"/>
      <c r="N676" s="14"/>
      <c r="O676" s="14"/>
      <c r="P676" s="13"/>
      <c r="Q676" s="14"/>
      <c r="R676" s="14"/>
      <c r="S676" s="13"/>
      <c r="T676" s="1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</row>
    <row r="677" spans="2:147" s="12" customFormat="1" x14ac:dyDescent="0.25">
      <c r="B677" s="19"/>
      <c r="C677" s="14"/>
      <c r="D677" s="18"/>
      <c r="G677" s="17"/>
      <c r="H677" s="14"/>
      <c r="I677" s="14"/>
      <c r="J677" s="16"/>
      <c r="K677" s="15"/>
      <c r="L677" s="15"/>
      <c r="N677" s="14"/>
      <c r="O677" s="14"/>
      <c r="P677" s="13"/>
      <c r="Q677" s="14"/>
      <c r="R677" s="14"/>
      <c r="S677" s="13"/>
      <c r="T677" s="1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</row>
    <row r="678" spans="2:147" s="12" customFormat="1" x14ac:dyDescent="0.25">
      <c r="B678" s="19"/>
      <c r="C678" s="14"/>
      <c r="D678" s="18"/>
      <c r="G678" s="17"/>
      <c r="H678" s="14"/>
      <c r="I678" s="14"/>
      <c r="J678" s="16"/>
      <c r="K678" s="15"/>
      <c r="L678" s="15"/>
      <c r="N678" s="14"/>
      <c r="O678" s="14"/>
      <c r="P678" s="13"/>
      <c r="Q678" s="14"/>
      <c r="R678" s="14"/>
      <c r="S678" s="13"/>
      <c r="T678" s="1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</row>
    <row r="679" spans="2:147" s="12" customFormat="1" x14ac:dyDescent="0.25">
      <c r="B679" s="19"/>
      <c r="C679" s="14"/>
      <c r="D679" s="18"/>
      <c r="G679" s="17"/>
      <c r="H679" s="14"/>
      <c r="I679" s="14"/>
      <c r="J679" s="16"/>
      <c r="K679" s="15"/>
      <c r="L679" s="15"/>
      <c r="N679" s="14"/>
      <c r="O679" s="14"/>
      <c r="P679" s="13"/>
      <c r="Q679" s="14"/>
      <c r="R679" s="14"/>
      <c r="S679" s="13"/>
      <c r="T679" s="1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</row>
    <row r="680" spans="2:147" s="12" customFormat="1" x14ac:dyDescent="0.25">
      <c r="B680" s="19"/>
      <c r="C680" s="14"/>
      <c r="D680" s="18"/>
      <c r="G680" s="17"/>
      <c r="H680" s="14"/>
      <c r="I680" s="14"/>
      <c r="J680" s="16"/>
      <c r="K680" s="15"/>
      <c r="L680" s="15"/>
      <c r="N680" s="14"/>
      <c r="O680" s="14"/>
      <c r="P680" s="13"/>
      <c r="Q680" s="14"/>
      <c r="R680" s="14"/>
      <c r="S680" s="13"/>
      <c r="T680" s="1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</row>
    <row r="681" spans="2:147" s="12" customFormat="1" x14ac:dyDescent="0.25">
      <c r="B681" s="19"/>
      <c r="C681" s="14"/>
      <c r="D681" s="18"/>
      <c r="G681" s="17"/>
      <c r="H681" s="14"/>
      <c r="I681" s="14"/>
      <c r="J681" s="16"/>
      <c r="K681" s="15"/>
      <c r="L681" s="15"/>
      <c r="N681" s="14"/>
      <c r="O681" s="14"/>
      <c r="P681" s="13"/>
      <c r="Q681" s="14"/>
      <c r="R681" s="14"/>
      <c r="S681" s="13"/>
      <c r="T681" s="1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</row>
    <row r="682" spans="2:147" s="12" customFormat="1" x14ac:dyDescent="0.25">
      <c r="B682" s="19"/>
      <c r="C682" s="14"/>
      <c r="D682" s="18"/>
      <c r="G682" s="17"/>
      <c r="H682" s="14"/>
      <c r="I682" s="14"/>
      <c r="J682" s="16"/>
      <c r="K682" s="15"/>
      <c r="L682" s="15"/>
      <c r="N682" s="14"/>
      <c r="O682" s="14"/>
      <c r="P682" s="13"/>
      <c r="Q682" s="14"/>
      <c r="R682" s="14"/>
      <c r="S682" s="13"/>
      <c r="T682" s="1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</row>
    <row r="683" spans="2:147" s="12" customFormat="1" x14ac:dyDescent="0.25">
      <c r="B683" s="19"/>
      <c r="C683" s="14"/>
      <c r="D683" s="18"/>
      <c r="G683" s="17"/>
      <c r="H683" s="14"/>
      <c r="I683" s="14"/>
      <c r="J683" s="16"/>
      <c r="K683" s="15"/>
      <c r="L683" s="15"/>
      <c r="N683" s="14"/>
      <c r="O683" s="14"/>
      <c r="P683" s="13"/>
      <c r="Q683" s="14"/>
      <c r="R683" s="14"/>
      <c r="S683" s="13"/>
      <c r="T683" s="1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</row>
    <row r="684" spans="2:147" s="12" customFormat="1" x14ac:dyDescent="0.25">
      <c r="B684" s="19"/>
      <c r="C684" s="14"/>
      <c r="D684" s="18"/>
      <c r="G684" s="17"/>
      <c r="H684" s="14"/>
      <c r="I684" s="14"/>
      <c r="J684" s="16"/>
      <c r="K684" s="15"/>
      <c r="L684" s="15"/>
      <c r="N684" s="14"/>
      <c r="O684" s="14"/>
      <c r="P684" s="13"/>
      <c r="Q684" s="14"/>
      <c r="R684" s="14"/>
      <c r="S684" s="13"/>
      <c r="T684" s="1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</row>
    <row r="685" spans="2:147" s="12" customFormat="1" x14ac:dyDescent="0.25">
      <c r="B685" s="19"/>
      <c r="C685" s="14"/>
      <c r="D685" s="18"/>
      <c r="G685" s="17"/>
      <c r="H685" s="14"/>
      <c r="I685" s="14"/>
      <c r="J685" s="16"/>
      <c r="K685" s="15"/>
      <c r="L685" s="15"/>
      <c r="N685" s="14"/>
      <c r="O685" s="14"/>
      <c r="P685" s="13"/>
      <c r="Q685" s="14"/>
      <c r="R685" s="14"/>
      <c r="S685" s="13"/>
      <c r="T685" s="1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</row>
    <row r="686" spans="2:147" s="12" customFormat="1" x14ac:dyDescent="0.25">
      <c r="B686" s="19"/>
      <c r="C686" s="14"/>
      <c r="D686" s="18"/>
      <c r="G686" s="17"/>
      <c r="H686" s="14"/>
      <c r="I686" s="14"/>
      <c r="J686" s="16"/>
      <c r="K686" s="15"/>
      <c r="L686" s="15"/>
      <c r="N686" s="14"/>
      <c r="O686" s="14"/>
      <c r="P686" s="13"/>
      <c r="Q686" s="14"/>
      <c r="R686" s="14"/>
      <c r="S686" s="13"/>
      <c r="T686" s="1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</row>
    <row r="687" spans="2:147" s="12" customFormat="1" x14ac:dyDescent="0.25">
      <c r="B687" s="19"/>
      <c r="C687" s="14"/>
      <c r="D687" s="18"/>
      <c r="G687" s="17"/>
      <c r="H687" s="14"/>
      <c r="I687" s="14"/>
      <c r="J687" s="16"/>
      <c r="K687" s="15"/>
      <c r="L687" s="15"/>
      <c r="N687" s="14"/>
      <c r="O687" s="14"/>
      <c r="P687" s="13"/>
      <c r="Q687" s="14"/>
      <c r="R687" s="14"/>
      <c r="S687" s="13"/>
      <c r="T687" s="1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</row>
    <row r="688" spans="2:147" s="12" customFormat="1" x14ac:dyDescent="0.25">
      <c r="B688" s="19"/>
      <c r="C688" s="14"/>
      <c r="D688" s="18"/>
      <c r="G688" s="17"/>
      <c r="H688" s="14"/>
      <c r="I688" s="14"/>
      <c r="J688" s="16"/>
      <c r="K688" s="15"/>
      <c r="L688" s="15"/>
      <c r="N688" s="14"/>
      <c r="O688" s="14"/>
      <c r="P688" s="13"/>
      <c r="Q688" s="14"/>
      <c r="R688" s="14"/>
      <c r="S688" s="13"/>
      <c r="T688" s="1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</row>
    <row r="689" spans="2:147" s="12" customFormat="1" x14ac:dyDescent="0.25">
      <c r="B689" s="19"/>
      <c r="C689" s="14"/>
      <c r="D689" s="18"/>
      <c r="G689" s="17"/>
      <c r="H689" s="14"/>
      <c r="I689" s="14"/>
      <c r="J689" s="16"/>
      <c r="K689" s="15"/>
      <c r="L689" s="15"/>
      <c r="N689" s="14"/>
      <c r="O689" s="14"/>
      <c r="P689" s="13"/>
      <c r="Q689" s="14"/>
      <c r="R689" s="14"/>
      <c r="S689" s="13"/>
      <c r="T689" s="1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</row>
    <row r="690" spans="2:147" s="12" customFormat="1" x14ac:dyDescent="0.25">
      <c r="B690" s="19"/>
      <c r="C690" s="14"/>
      <c r="D690" s="18"/>
      <c r="G690" s="17"/>
      <c r="H690" s="14"/>
      <c r="I690" s="14"/>
      <c r="J690" s="16"/>
      <c r="K690" s="15"/>
      <c r="L690" s="15"/>
      <c r="N690" s="14"/>
      <c r="O690" s="14"/>
      <c r="P690" s="13"/>
      <c r="Q690" s="14"/>
      <c r="R690" s="14"/>
      <c r="S690" s="13"/>
      <c r="T690" s="1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</row>
    <row r="691" spans="2:147" s="12" customFormat="1" x14ac:dyDescent="0.25">
      <c r="B691" s="19"/>
      <c r="C691" s="14"/>
      <c r="D691" s="18"/>
      <c r="G691" s="17"/>
      <c r="H691" s="14"/>
      <c r="I691" s="14"/>
      <c r="J691" s="16"/>
      <c r="K691" s="15"/>
      <c r="L691" s="15"/>
      <c r="N691" s="14"/>
      <c r="O691" s="14"/>
      <c r="P691" s="13"/>
      <c r="Q691" s="14"/>
      <c r="R691" s="14"/>
      <c r="S691" s="13"/>
      <c r="T691" s="1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</row>
    <row r="692" spans="2:147" s="12" customFormat="1" x14ac:dyDescent="0.25">
      <c r="B692" s="19"/>
      <c r="C692" s="14"/>
      <c r="D692" s="18"/>
      <c r="G692" s="17"/>
      <c r="H692" s="14"/>
      <c r="I692" s="14"/>
      <c r="J692" s="16"/>
      <c r="K692" s="15"/>
      <c r="L692" s="15"/>
      <c r="N692" s="14"/>
      <c r="O692" s="14"/>
      <c r="P692" s="13"/>
      <c r="Q692" s="14"/>
      <c r="R692" s="14"/>
      <c r="S692" s="13"/>
      <c r="T692" s="1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</row>
    <row r="693" spans="2:147" s="12" customFormat="1" x14ac:dyDescent="0.25">
      <c r="B693" s="19"/>
      <c r="C693" s="14"/>
      <c r="D693" s="18"/>
      <c r="G693" s="17"/>
      <c r="H693" s="14"/>
      <c r="I693" s="14"/>
      <c r="J693" s="16"/>
      <c r="K693" s="15"/>
      <c r="L693" s="15"/>
      <c r="N693" s="14"/>
      <c r="O693" s="14"/>
      <c r="P693" s="13"/>
      <c r="Q693" s="14"/>
      <c r="R693" s="14"/>
      <c r="S693" s="13"/>
      <c r="T693" s="1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</row>
    <row r="694" spans="2:147" s="12" customFormat="1" x14ac:dyDescent="0.25">
      <c r="B694" s="19"/>
      <c r="C694" s="14"/>
      <c r="D694" s="18"/>
      <c r="G694" s="17"/>
      <c r="H694" s="14"/>
      <c r="I694" s="14"/>
      <c r="J694" s="16"/>
      <c r="K694" s="15"/>
      <c r="L694" s="15"/>
      <c r="N694" s="14"/>
      <c r="O694" s="14"/>
      <c r="P694" s="13"/>
      <c r="Q694" s="14"/>
      <c r="R694" s="14"/>
      <c r="S694" s="13"/>
      <c r="T694" s="1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</row>
    <row r="695" spans="2:147" s="12" customFormat="1" x14ac:dyDescent="0.25">
      <c r="B695" s="19"/>
      <c r="C695" s="14"/>
      <c r="D695" s="18"/>
      <c r="G695" s="17"/>
      <c r="H695" s="14"/>
      <c r="I695" s="14"/>
      <c r="J695" s="16"/>
      <c r="K695" s="15"/>
      <c r="L695" s="15"/>
      <c r="N695" s="14"/>
      <c r="O695" s="14"/>
      <c r="P695" s="13"/>
      <c r="Q695" s="14"/>
      <c r="R695" s="14"/>
      <c r="S695" s="13"/>
      <c r="T695" s="1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</row>
    <row r="696" spans="2:147" s="12" customFormat="1" x14ac:dyDescent="0.25">
      <c r="B696" s="19"/>
      <c r="C696" s="14"/>
      <c r="D696" s="18"/>
      <c r="G696" s="17"/>
      <c r="H696" s="14"/>
      <c r="I696" s="14"/>
      <c r="J696" s="16"/>
      <c r="K696" s="15"/>
      <c r="L696" s="15"/>
      <c r="N696" s="14"/>
      <c r="O696" s="14"/>
      <c r="P696" s="13"/>
      <c r="Q696" s="14"/>
      <c r="R696" s="14"/>
      <c r="S696" s="13"/>
      <c r="T696" s="1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</row>
    <row r="697" spans="2:147" s="12" customFormat="1" x14ac:dyDescent="0.25">
      <c r="B697" s="19"/>
      <c r="C697" s="14"/>
      <c r="D697" s="18"/>
      <c r="G697" s="17"/>
      <c r="H697" s="14"/>
      <c r="I697" s="14"/>
      <c r="J697" s="16"/>
      <c r="K697" s="15"/>
      <c r="L697" s="15"/>
      <c r="N697" s="14"/>
      <c r="O697" s="14"/>
      <c r="P697" s="13"/>
      <c r="Q697" s="14"/>
      <c r="R697" s="14"/>
      <c r="S697" s="13"/>
      <c r="T697" s="1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</row>
    <row r="698" spans="2:147" s="12" customFormat="1" x14ac:dyDescent="0.25">
      <c r="B698" s="19"/>
      <c r="C698" s="14"/>
      <c r="D698" s="18"/>
      <c r="G698" s="17"/>
      <c r="H698" s="14"/>
      <c r="I698" s="14"/>
      <c r="J698" s="16"/>
      <c r="K698" s="15"/>
      <c r="L698" s="15"/>
      <c r="N698" s="14"/>
      <c r="O698" s="14"/>
      <c r="P698" s="13"/>
      <c r="Q698" s="14"/>
      <c r="R698" s="14"/>
      <c r="S698" s="13"/>
      <c r="T698" s="1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</row>
    <row r="699" spans="2:147" s="12" customFormat="1" x14ac:dyDescent="0.25">
      <c r="B699" s="19"/>
      <c r="C699" s="14"/>
      <c r="D699" s="18"/>
      <c r="G699" s="17"/>
      <c r="H699" s="14"/>
      <c r="I699" s="14"/>
      <c r="J699" s="16"/>
      <c r="K699" s="15"/>
      <c r="L699" s="15"/>
      <c r="N699" s="14"/>
      <c r="O699" s="14"/>
      <c r="P699" s="13"/>
      <c r="Q699" s="14"/>
      <c r="R699" s="14"/>
      <c r="S699" s="13"/>
      <c r="T699" s="1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</row>
    <row r="700" spans="2:147" s="12" customFormat="1" x14ac:dyDescent="0.25">
      <c r="B700" s="19"/>
      <c r="C700" s="14"/>
      <c r="D700" s="18"/>
      <c r="G700" s="17"/>
      <c r="H700" s="14"/>
      <c r="I700" s="14"/>
      <c r="J700" s="16"/>
      <c r="K700" s="15"/>
      <c r="L700" s="15"/>
      <c r="N700" s="14"/>
      <c r="O700" s="14"/>
      <c r="P700" s="13"/>
      <c r="Q700" s="14"/>
      <c r="R700" s="14"/>
      <c r="S700" s="13"/>
      <c r="T700" s="1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</row>
    <row r="701" spans="2:147" s="12" customFormat="1" x14ac:dyDescent="0.25">
      <c r="B701" s="19"/>
      <c r="C701" s="14"/>
      <c r="D701" s="18"/>
      <c r="G701" s="17"/>
      <c r="H701" s="14"/>
      <c r="I701" s="14"/>
      <c r="J701" s="16"/>
      <c r="K701" s="15"/>
      <c r="L701" s="15"/>
      <c r="N701" s="14"/>
      <c r="O701" s="14"/>
      <c r="P701" s="13"/>
      <c r="Q701" s="14"/>
      <c r="R701" s="14"/>
      <c r="S701" s="13"/>
      <c r="T701" s="1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</row>
    <row r="702" spans="2:147" s="12" customFormat="1" x14ac:dyDescent="0.25">
      <c r="B702" s="19"/>
      <c r="C702" s="14"/>
      <c r="D702" s="18"/>
      <c r="G702" s="17"/>
      <c r="H702" s="14"/>
      <c r="I702" s="14"/>
      <c r="J702" s="16"/>
      <c r="K702" s="15"/>
      <c r="L702" s="15"/>
      <c r="N702" s="14"/>
      <c r="O702" s="14"/>
      <c r="P702" s="13"/>
      <c r="Q702" s="14"/>
      <c r="R702" s="14"/>
      <c r="S702" s="13"/>
      <c r="T702" s="1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</row>
    <row r="703" spans="2:147" s="12" customFormat="1" x14ac:dyDescent="0.25">
      <c r="B703" s="19"/>
      <c r="C703" s="14"/>
      <c r="D703" s="18"/>
      <c r="G703" s="17"/>
      <c r="H703" s="14"/>
      <c r="I703" s="14"/>
      <c r="J703" s="16"/>
      <c r="K703" s="15"/>
      <c r="L703" s="15"/>
      <c r="N703" s="14"/>
      <c r="O703" s="14"/>
      <c r="P703" s="13"/>
      <c r="Q703" s="14"/>
      <c r="R703" s="14"/>
      <c r="S703" s="13"/>
      <c r="T703" s="1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</row>
    <row r="704" spans="2:147" s="12" customFormat="1" x14ac:dyDescent="0.25">
      <c r="B704" s="19"/>
      <c r="C704" s="14"/>
      <c r="D704" s="18"/>
      <c r="G704" s="17"/>
      <c r="H704" s="14"/>
      <c r="I704" s="14"/>
      <c r="J704" s="16"/>
      <c r="K704" s="15"/>
      <c r="L704" s="15"/>
      <c r="N704" s="14"/>
      <c r="O704" s="14"/>
      <c r="P704" s="13"/>
      <c r="Q704" s="14"/>
      <c r="R704" s="14"/>
      <c r="S704" s="13"/>
      <c r="T704" s="1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</row>
    <row r="705" spans="2:147" s="12" customFormat="1" x14ac:dyDescent="0.25">
      <c r="B705" s="19"/>
      <c r="C705" s="14"/>
      <c r="D705" s="18"/>
      <c r="G705" s="17"/>
      <c r="H705" s="14"/>
      <c r="I705" s="14"/>
      <c r="J705" s="16"/>
      <c r="K705" s="15"/>
      <c r="L705" s="15"/>
      <c r="N705" s="14"/>
      <c r="O705" s="14"/>
      <c r="P705" s="13"/>
      <c r="Q705" s="14"/>
      <c r="R705" s="14"/>
      <c r="S705" s="13"/>
      <c r="T705" s="1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</row>
    <row r="706" spans="2:147" s="12" customFormat="1" x14ac:dyDescent="0.25">
      <c r="B706" s="19"/>
      <c r="C706" s="14"/>
      <c r="D706" s="18"/>
      <c r="G706" s="17"/>
      <c r="H706" s="14"/>
      <c r="I706" s="14"/>
      <c r="J706" s="16"/>
      <c r="K706" s="15"/>
      <c r="L706" s="15"/>
      <c r="N706" s="14"/>
      <c r="O706" s="14"/>
      <c r="P706" s="13"/>
      <c r="Q706" s="14"/>
      <c r="R706" s="14"/>
      <c r="S706" s="13"/>
      <c r="T706" s="1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</row>
    <row r="707" spans="2:147" s="12" customFormat="1" x14ac:dyDescent="0.25">
      <c r="B707" s="19"/>
      <c r="C707" s="14"/>
      <c r="D707" s="18"/>
      <c r="G707" s="17"/>
      <c r="H707" s="14"/>
      <c r="I707" s="14"/>
      <c r="J707" s="16"/>
      <c r="K707" s="15"/>
      <c r="L707" s="15"/>
      <c r="N707" s="14"/>
      <c r="O707" s="14"/>
      <c r="P707" s="13"/>
      <c r="Q707" s="14"/>
      <c r="R707" s="14"/>
      <c r="S707" s="13"/>
      <c r="T707" s="1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</row>
    <row r="708" spans="2:147" s="12" customFormat="1" x14ac:dyDescent="0.25">
      <c r="B708" s="19"/>
      <c r="C708" s="14"/>
      <c r="D708" s="18"/>
      <c r="G708" s="17"/>
      <c r="H708" s="14"/>
      <c r="I708" s="14"/>
      <c r="J708" s="16"/>
      <c r="K708" s="15"/>
      <c r="L708" s="15"/>
      <c r="N708" s="14"/>
      <c r="O708" s="14"/>
      <c r="P708" s="13"/>
      <c r="Q708" s="14"/>
      <c r="R708" s="14"/>
      <c r="S708" s="13"/>
      <c r="T708" s="1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</row>
    <row r="709" spans="2:147" s="12" customFormat="1" x14ac:dyDescent="0.25">
      <c r="B709" s="19"/>
      <c r="C709" s="14"/>
      <c r="D709" s="18"/>
      <c r="G709" s="17"/>
      <c r="H709" s="14"/>
      <c r="I709" s="14"/>
      <c r="J709" s="16"/>
      <c r="K709" s="15"/>
      <c r="L709" s="15"/>
      <c r="N709" s="14"/>
      <c r="O709" s="14"/>
      <c r="P709" s="13"/>
      <c r="Q709" s="14"/>
      <c r="R709" s="14"/>
      <c r="S709" s="13"/>
      <c r="T709" s="1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</row>
    <row r="710" spans="2:147" s="12" customFormat="1" x14ac:dyDescent="0.25">
      <c r="B710" s="19"/>
      <c r="C710" s="14"/>
      <c r="D710" s="18"/>
      <c r="G710" s="17"/>
      <c r="H710" s="14"/>
      <c r="I710" s="14"/>
      <c r="J710" s="16"/>
      <c r="K710" s="15"/>
      <c r="L710" s="15"/>
      <c r="N710" s="14"/>
      <c r="O710" s="14"/>
      <c r="P710" s="13"/>
      <c r="Q710" s="14"/>
      <c r="R710" s="14"/>
      <c r="S710" s="13"/>
      <c r="T710" s="1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</row>
    <row r="711" spans="2:147" s="12" customFormat="1" x14ac:dyDescent="0.25">
      <c r="B711" s="19"/>
      <c r="C711" s="14"/>
      <c r="D711" s="18"/>
      <c r="G711" s="17"/>
      <c r="H711" s="14"/>
      <c r="I711" s="14"/>
      <c r="J711" s="16"/>
      <c r="K711" s="15"/>
      <c r="L711" s="15"/>
      <c r="N711" s="14"/>
      <c r="O711" s="14"/>
      <c r="P711" s="13"/>
      <c r="Q711" s="14"/>
      <c r="R711" s="14"/>
      <c r="S711" s="13"/>
      <c r="T711" s="1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</row>
    <row r="712" spans="2:147" s="12" customFormat="1" x14ac:dyDescent="0.25">
      <c r="B712" s="19"/>
      <c r="C712" s="14"/>
      <c r="D712" s="18"/>
      <c r="G712" s="17"/>
      <c r="H712" s="14"/>
      <c r="I712" s="14"/>
      <c r="J712" s="16"/>
      <c r="K712" s="15"/>
      <c r="L712" s="15"/>
      <c r="N712" s="14"/>
      <c r="O712" s="14"/>
      <c r="P712" s="13"/>
      <c r="Q712" s="14"/>
      <c r="R712" s="14"/>
      <c r="S712" s="13"/>
      <c r="T712" s="1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</row>
    <row r="713" spans="2:147" s="12" customFormat="1" x14ac:dyDescent="0.25">
      <c r="B713" s="19"/>
      <c r="C713" s="14"/>
      <c r="D713" s="18"/>
      <c r="G713" s="17"/>
      <c r="H713" s="14"/>
      <c r="I713" s="14"/>
      <c r="J713" s="16"/>
      <c r="K713" s="15"/>
      <c r="L713" s="15"/>
      <c r="N713" s="14"/>
      <c r="O713" s="14"/>
      <c r="P713" s="13"/>
      <c r="Q713" s="14"/>
      <c r="R713" s="14"/>
      <c r="S713" s="13"/>
      <c r="T713" s="1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</row>
    <row r="714" spans="2:147" s="12" customFormat="1" x14ac:dyDescent="0.25">
      <c r="B714" s="19"/>
      <c r="C714" s="14"/>
      <c r="D714" s="18"/>
      <c r="G714" s="17"/>
      <c r="H714" s="14"/>
      <c r="I714" s="14"/>
      <c r="J714" s="16"/>
      <c r="K714" s="15"/>
      <c r="L714" s="15"/>
      <c r="N714" s="14"/>
      <c r="O714" s="14"/>
      <c r="P714" s="13"/>
      <c r="Q714" s="14"/>
      <c r="R714" s="14"/>
      <c r="S714" s="13"/>
      <c r="T714" s="1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</row>
    <row r="715" spans="2:147" s="12" customFormat="1" x14ac:dyDescent="0.25">
      <c r="B715" s="19"/>
      <c r="C715" s="14"/>
      <c r="D715" s="18"/>
      <c r="G715" s="17"/>
      <c r="H715" s="14"/>
      <c r="I715" s="14"/>
      <c r="J715" s="16"/>
      <c r="K715" s="15"/>
      <c r="L715" s="15"/>
      <c r="N715" s="14"/>
      <c r="O715" s="14"/>
      <c r="P715" s="13"/>
      <c r="Q715" s="14"/>
      <c r="R715" s="14"/>
      <c r="S715" s="13"/>
      <c r="T715" s="1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</row>
    <row r="716" spans="2:147" s="12" customFormat="1" x14ac:dyDescent="0.25">
      <c r="B716" s="19"/>
      <c r="C716" s="14"/>
      <c r="D716" s="18"/>
      <c r="G716" s="17"/>
      <c r="H716" s="14"/>
      <c r="I716" s="14"/>
      <c r="J716" s="16"/>
      <c r="K716" s="15"/>
      <c r="L716" s="15"/>
      <c r="N716" s="14"/>
      <c r="O716" s="14"/>
      <c r="P716" s="13"/>
      <c r="Q716" s="14"/>
      <c r="R716" s="14"/>
      <c r="S716" s="13"/>
      <c r="T716" s="1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</row>
    <row r="717" spans="2:147" s="12" customFormat="1" x14ac:dyDescent="0.25">
      <c r="B717" s="19"/>
      <c r="C717" s="14"/>
      <c r="D717" s="18"/>
      <c r="G717" s="17"/>
      <c r="H717" s="14"/>
      <c r="I717" s="14"/>
      <c r="J717" s="16"/>
      <c r="K717" s="15"/>
      <c r="L717" s="15"/>
      <c r="N717" s="14"/>
      <c r="O717" s="14"/>
      <c r="P717" s="13"/>
      <c r="Q717" s="14"/>
      <c r="R717" s="14"/>
      <c r="S717" s="13"/>
      <c r="T717" s="1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</row>
    <row r="718" spans="2:147" s="12" customFormat="1" x14ac:dyDescent="0.25">
      <c r="B718" s="19"/>
      <c r="C718" s="14"/>
      <c r="D718" s="18"/>
      <c r="G718" s="17"/>
      <c r="H718" s="14"/>
      <c r="I718" s="14"/>
      <c r="J718" s="16"/>
      <c r="K718" s="15"/>
      <c r="L718" s="15"/>
      <c r="N718" s="14"/>
      <c r="O718" s="14"/>
      <c r="P718" s="13"/>
      <c r="Q718" s="14"/>
      <c r="R718" s="14"/>
      <c r="S718" s="13"/>
      <c r="T718" s="1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</row>
    <row r="719" spans="2:147" s="12" customFormat="1" x14ac:dyDescent="0.25">
      <c r="B719" s="19"/>
      <c r="C719" s="14"/>
      <c r="D719" s="18"/>
      <c r="G719" s="17"/>
      <c r="H719" s="14"/>
      <c r="I719" s="14"/>
      <c r="J719" s="16"/>
      <c r="K719" s="15"/>
      <c r="L719" s="15"/>
      <c r="N719" s="14"/>
      <c r="O719" s="14"/>
      <c r="P719" s="13"/>
      <c r="Q719" s="14"/>
      <c r="R719" s="14"/>
      <c r="S719" s="13"/>
      <c r="T719" s="1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</row>
    <row r="720" spans="2:147" s="12" customFormat="1" x14ac:dyDescent="0.25">
      <c r="B720" s="19"/>
      <c r="C720" s="14"/>
      <c r="D720" s="18"/>
      <c r="G720" s="17"/>
      <c r="H720" s="14"/>
      <c r="I720" s="14"/>
      <c r="J720" s="16"/>
      <c r="K720" s="15"/>
      <c r="L720" s="15"/>
      <c r="N720" s="14"/>
      <c r="O720" s="14"/>
      <c r="P720" s="13"/>
      <c r="Q720" s="14"/>
      <c r="R720" s="14"/>
      <c r="S720" s="13"/>
      <c r="T720" s="1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</row>
    <row r="721" spans="2:147" s="12" customFormat="1" x14ac:dyDescent="0.25">
      <c r="B721" s="19"/>
      <c r="C721" s="14"/>
      <c r="D721" s="18"/>
      <c r="G721" s="17"/>
      <c r="H721" s="14"/>
      <c r="I721" s="14"/>
      <c r="J721" s="16"/>
      <c r="K721" s="15"/>
      <c r="L721" s="15"/>
      <c r="N721" s="14"/>
      <c r="O721" s="14"/>
      <c r="P721" s="13"/>
      <c r="Q721" s="14"/>
      <c r="R721" s="14"/>
      <c r="S721" s="13"/>
      <c r="T721" s="1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</row>
    <row r="722" spans="2:147" s="12" customFormat="1" x14ac:dyDescent="0.25">
      <c r="B722" s="19"/>
      <c r="C722" s="14"/>
      <c r="D722" s="18"/>
      <c r="G722" s="17"/>
      <c r="H722" s="14"/>
      <c r="I722" s="14"/>
      <c r="J722" s="16"/>
      <c r="K722" s="15"/>
      <c r="L722" s="15"/>
      <c r="N722" s="14"/>
      <c r="O722" s="14"/>
      <c r="P722" s="13"/>
      <c r="Q722" s="14"/>
      <c r="R722" s="14"/>
      <c r="S722" s="13"/>
      <c r="T722" s="1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</row>
    <row r="723" spans="2:147" s="12" customFormat="1" x14ac:dyDescent="0.25">
      <c r="B723" s="19"/>
      <c r="C723" s="14"/>
      <c r="D723" s="18"/>
      <c r="G723" s="17"/>
      <c r="H723" s="14"/>
      <c r="I723" s="14"/>
      <c r="J723" s="16"/>
      <c r="K723" s="15"/>
      <c r="L723" s="15"/>
      <c r="N723" s="14"/>
      <c r="O723" s="14"/>
      <c r="P723" s="13"/>
      <c r="Q723" s="14"/>
      <c r="R723" s="14"/>
      <c r="S723" s="13"/>
      <c r="T723" s="1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</row>
    <row r="724" spans="2:147" s="12" customFormat="1" x14ac:dyDescent="0.25">
      <c r="B724" s="19"/>
      <c r="C724" s="14"/>
      <c r="D724" s="18"/>
      <c r="G724" s="17"/>
      <c r="H724" s="14"/>
      <c r="I724" s="14"/>
      <c r="J724" s="16"/>
      <c r="K724" s="15"/>
      <c r="L724" s="15"/>
      <c r="N724" s="14"/>
      <c r="O724" s="14"/>
      <c r="P724" s="13"/>
      <c r="Q724" s="14"/>
      <c r="R724" s="14"/>
      <c r="S724" s="13"/>
      <c r="T724" s="1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</row>
    <row r="725" spans="2:147" s="12" customFormat="1" x14ac:dyDescent="0.25">
      <c r="B725" s="19"/>
      <c r="C725" s="14"/>
      <c r="D725" s="18"/>
      <c r="G725" s="17"/>
      <c r="H725" s="14"/>
      <c r="I725" s="14"/>
      <c r="J725" s="16"/>
      <c r="K725" s="15"/>
      <c r="L725" s="15"/>
      <c r="N725" s="14"/>
      <c r="O725" s="14"/>
      <c r="P725" s="13"/>
      <c r="Q725" s="14"/>
      <c r="R725" s="14"/>
      <c r="S725" s="13"/>
      <c r="T725" s="1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</row>
    <row r="726" spans="2:147" s="12" customFormat="1" x14ac:dyDescent="0.25">
      <c r="B726" s="19"/>
      <c r="C726" s="14"/>
      <c r="D726" s="18"/>
      <c r="G726" s="17"/>
      <c r="H726" s="14"/>
      <c r="I726" s="14"/>
      <c r="J726" s="16"/>
      <c r="K726" s="15"/>
      <c r="L726" s="15"/>
      <c r="N726" s="14"/>
      <c r="O726" s="14"/>
      <c r="P726" s="13"/>
      <c r="Q726" s="14"/>
      <c r="R726" s="14"/>
      <c r="S726" s="13"/>
      <c r="T726" s="1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</row>
    <row r="727" spans="2:147" s="12" customFormat="1" x14ac:dyDescent="0.25">
      <c r="B727" s="19"/>
      <c r="C727" s="14"/>
      <c r="D727" s="18"/>
      <c r="G727" s="17"/>
      <c r="H727" s="14"/>
      <c r="I727" s="14"/>
      <c r="J727" s="16"/>
      <c r="K727" s="15"/>
      <c r="L727" s="15"/>
      <c r="N727" s="14"/>
      <c r="O727" s="14"/>
      <c r="P727" s="13"/>
      <c r="Q727" s="14"/>
      <c r="R727" s="14"/>
      <c r="S727" s="13"/>
      <c r="T727" s="1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</row>
    <row r="728" spans="2:147" s="12" customFormat="1" x14ac:dyDescent="0.25">
      <c r="B728" s="19"/>
      <c r="C728" s="14"/>
      <c r="D728" s="18"/>
      <c r="G728" s="17"/>
      <c r="H728" s="14"/>
      <c r="I728" s="14"/>
      <c r="J728" s="16"/>
      <c r="K728" s="15"/>
      <c r="L728" s="15"/>
      <c r="N728" s="14"/>
      <c r="O728" s="14"/>
      <c r="P728" s="13"/>
      <c r="Q728" s="14"/>
      <c r="R728" s="14"/>
      <c r="S728" s="13"/>
      <c r="T728" s="1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</row>
    <row r="729" spans="2:147" s="12" customFormat="1" x14ac:dyDescent="0.25">
      <c r="B729" s="19"/>
      <c r="C729" s="14"/>
      <c r="D729" s="18"/>
      <c r="G729" s="17"/>
      <c r="H729" s="14"/>
      <c r="I729" s="14"/>
      <c r="J729" s="16"/>
      <c r="K729" s="15"/>
      <c r="L729" s="15"/>
      <c r="N729" s="14"/>
      <c r="O729" s="14"/>
      <c r="P729" s="13"/>
      <c r="Q729" s="14"/>
      <c r="R729" s="14"/>
      <c r="S729" s="13"/>
      <c r="T729" s="1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</row>
    <row r="730" spans="2:147" s="12" customFormat="1" x14ac:dyDescent="0.25">
      <c r="B730" s="19"/>
      <c r="C730" s="14"/>
      <c r="D730" s="18"/>
      <c r="G730" s="17"/>
      <c r="H730" s="14"/>
      <c r="I730" s="14"/>
      <c r="J730" s="16"/>
      <c r="K730" s="15"/>
      <c r="L730" s="15"/>
      <c r="N730" s="14"/>
      <c r="O730" s="14"/>
      <c r="P730" s="13"/>
      <c r="Q730" s="14"/>
      <c r="R730" s="14"/>
      <c r="S730" s="13"/>
      <c r="T730" s="1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</row>
    <row r="731" spans="2:147" s="12" customFormat="1" x14ac:dyDescent="0.25">
      <c r="B731" s="19"/>
      <c r="C731" s="14"/>
      <c r="D731" s="18"/>
      <c r="G731" s="17"/>
      <c r="H731" s="14"/>
      <c r="I731" s="14"/>
      <c r="J731" s="16"/>
      <c r="K731" s="15"/>
      <c r="L731" s="15"/>
      <c r="N731" s="14"/>
      <c r="O731" s="14"/>
      <c r="P731" s="13"/>
      <c r="Q731" s="14"/>
      <c r="R731" s="14"/>
      <c r="S731" s="13"/>
      <c r="T731" s="1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</row>
    <row r="732" spans="2:147" s="12" customFormat="1" x14ac:dyDescent="0.25">
      <c r="B732" s="19"/>
      <c r="C732" s="14"/>
      <c r="D732" s="18"/>
      <c r="G732" s="17"/>
      <c r="H732" s="14"/>
      <c r="I732" s="14"/>
      <c r="J732" s="16"/>
      <c r="K732" s="15"/>
      <c r="L732" s="15"/>
      <c r="N732" s="14"/>
      <c r="O732" s="14"/>
      <c r="P732" s="13"/>
      <c r="Q732" s="14"/>
      <c r="R732" s="14"/>
      <c r="S732" s="13"/>
      <c r="T732" s="1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</row>
    <row r="733" spans="2:147" s="12" customFormat="1" x14ac:dyDescent="0.25">
      <c r="B733" s="19"/>
      <c r="C733" s="14"/>
      <c r="D733" s="18"/>
      <c r="G733" s="17"/>
      <c r="H733" s="14"/>
      <c r="I733" s="14"/>
      <c r="J733" s="16"/>
      <c r="K733" s="15"/>
      <c r="L733" s="15"/>
      <c r="N733" s="14"/>
      <c r="O733" s="14"/>
      <c r="P733" s="13"/>
      <c r="Q733" s="14"/>
      <c r="R733" s="14"/>
      <c r="S733" s="13"/>
      <c r="T733" s="1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</row>
    <row r="734" spans="2:147" s="12" customFormat="1" x14ac:dyDescent="0.25">
      <c r="B734" s="19"/>
      <c r="C734" s="14"/>
      <c r="D734" s="18"/>
      <c r="G734" s="17"/>
      <c r="H734" s="14"/>
      <c r="I734" s="14"/>
      <c r="J734" s="16"/>
      <c r="K734" s="15"/>
      <c r="L734" s="15"/>
      <c r="N734" s="14"/>
      <c r="O734" s="14"/>
      <c r="P734" s="13"/>
      <c r="Q734" s="14"/>
      <c r="R734" s="14"/>
      <c r="S734" s="13"/>
      <c r="T734" s="1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</row>
    <row r="735" spans="2:147" s="12" customFormat="1" x14ac:dyDescent="0.25">
      <c r="B735" s="19"/>
      <c r="C735" s="14"/>
      <c r="D735" s="18"/>
      <c r="G735" s="17"/>
      <c r="H735" s="14"/>
      <c r="I735" s="14"/>
      <c r="J735" s="16"/>
      <c r="K735" s="15"/>
      <c r="L735" s="15"/>
      <c r="N735" s="14"/>
      <c r="O735" s="14"/>
      <c r="P735" s="13"/>
      <c r="Q735" s="14"/>
      <c r="R735" s="14"/>
      <c r="S735" s="13"/>
      <c r="T735" s="1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</row>
    <row r="736" spans="2:147" s="12" customFormat="1" x14ac:dyDescent="0.25">
      <c r="B736" s="19"/>
      <c r="C736" s="14"/>
      <c r="D736" s="18"/>
      <c r="G736" s="17"/>
      <c r="H736" s="14"/>
      <c r="I736" s="14"/>
      <c r="J736" s="16"/>
      <c r="K736" s="15"/>
      <c r="L736" s="15"/>
      <c r="N736" s="14"/>
      <c r="O736" s="14"/>
      <c r="P736" s="13"/>
      <c r="Q736" s="14"/>
      <c r="R736" s="14"/>
      <c r="S736" s="13"/>
      <c r="T736" s="1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</row>
    <row r="737" spans="2:147" s="12" customFormat="1" x14ac:dyDescent="0.25">
      <c r="B737" s="19"/>
      <c r="C737" s="14"/>
      <c r="D737" s="18"/>
      <c r="G737" s="17"/>
      <c r="H737" s="14"/>
      <c r="I737" s="14"/>
      <c r="J737" s="16"/>
      <c r="K737" s="15"/>
      <c r="L737" s="15"/>
      <c r="N737" s="14"/>
      <c r="O737" s="14"/>
      <c r="P737" s="13"/>
      <c r="Q737" s="14"/>
      <c r="R737" s="14"/>
      <c r="S737" s="13"/>
      <c r="T737" s="1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</row>
    <row r="738" spans="2:147" s="12" customFormat="1" x14ac:dyDescent="0.25">
      <c r="B738" s="19"/>
      <c r="C738" s="14"/>
      <c r="D738" s="18"/>
      <c r="G738" s="17"/>
      <c r="H738" s="14"/>
      <c r="I738" s="14"/>
      <c r="J738" s="16"/>
      <c r="K738" s="15"/>
      <c r="L738" s="15"/>
      <c r="N738" s="14"/>
      <c r="O738" s="14"/>
      <c r="P738" s="13"/>
      <c r="Q738" s="14"/>
      <c r="R738" s="14"/>
      <c r="S738" s="13"/>
      <c r="T738" s="1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</row>
    <row r="739" spans="2:147" s="12" customFormat="1" x14ac:dyDescent="0.25">
      <c r="B739" s="19"/>
      <c r="C739" s="14"/>
      <c r="D739" s="18"/>
      <c r="G739" s="17"/>
      <c r="H739" s="14"/>
      <c r="I739" s="14"/>
      <c r="J739" s="16"/>
      <c r="K739" s="15"/>
      <c r="L739" s="15"/>
      <c r="N739" s="14"/>
      <c r="O739" s="14"/>
      <c r="P739" s="13"/>
      <c r="Q739" s="14"/>
      <c r="R739" s="14"/>
      <c r="S739" s="13"/>
      <c r="T739" s="1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</row>
    <row r="740" spans="2:147" s="12" customFormat="1" x14ac:dyDescent="0.25">
      <c r="B740" s="19"/>
      <c r="C740" s="14"/>
      <c r="D740" s="18"/>
      <c r="G740" s="17"/>
      <c r="H740" s="14"/>
      <c r="I740" s="14"/>
      <c r="J740" s="16"/>
      <c r="K740" s="15"/>
      <c r="L740" s="15"/>
      <c r="N740" s="14"/>
      <c r="O740" s="14"/>
      <c r="P740" s="13"/>
      <c r="Q740" s="14"/>
      <c r="R740" s="14"/>
      <c r="S740" s="13"/>
      <c r="T740" s="1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</row>
    <row r="741" spans="2:147" s="12" customFormat="1" x14ac:dyDescent="0.25">
      <c r="B741" s="19"/>
      <c r="C741" s="14"/>
      <c r="D741" s="18"/>
      <c r="G741" s="17"/>
      <c r="H741" s="14"/>
      <c r="I741" s="14"/>
      <c r="J741" s="16"/>
      <c r="K741" s="15"/>
      <c r="L741" s="15"/>
      <c r="N741" s="14"/>
      <c r="O741" s="14"/>
      <c r="P741" s="13"/>
      <c r="Q741" s="14"/>
      <c r="R741" s="14"/>
      <c r="S741" s="13"/>
      <c r="T741" s="1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</row>
    <row r="742" spans="2:147" s="12" customFormat="1" x14ac:dyDescent="0.25">
      <c r="B742" s="19"/>
      <c r="C742" s="14"/>
      <c r="D742" s="18"/>
      <c r="G742" s="17"/>
      <c r="H742" s="14"/>
      <c r="I742" s="14"/>
      <c r="J742" s="16"/>
      <c r="K742" s="15"/>
      <c r="L742" s="15"/>
      <c r="N742" s="14"/>
      <c r="O742" s="14"/>
      <c r="P742" s="13"/>
      <c r="Q742" s="14"/>
      <c r="R742" s="14"/>
      <c r="S742" s="13"/>
      <c r="T742" s="1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</row>
    <row r="743" spans="2:147" s="12" customFormat="1" x14ac:dyDescent="0.25">
      <c r="B743" s="19"/>
      <c r="C743" s="14"/>
      <c r="D743" s="18"/>
      <c r="G743" s="17"/>
      <c r="H743" s="14"/>
      <c r="I743" s="14"/>
      <c r="J743" s="16"/>
      <c r="K743" s="15"/>
      <c r="L743" s="15"/>
      <c r="N743" s="14"/>
      <c r="O743" s="14"/>
      <c r="P743" s="13"/>
      <c r="Q743" s="14"/>
      <c r="R743" s="14"/>
      <c r="S743" s="13"/>
      <c r="T743" s="1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</row>
    <row r="744" spans="2:147" s="12" customFormat="1" x14ac:dyDescent="0.25">
      <c r="B744" s="19"/>
      <c r="C744" s="14"/>
      <c r="D744" s="18"/>
      <c r="G744" s="17"/>
      <c r="H744" s="14"/>
      <c r="I744" s="14"/>
      <c r="J744" s="16"/>
      <c r="K744" s="15"/>
      <c r="L744" s="15"/>
      <c r="N744" s="14"/>
      <c r="O744" s="14"/>
      <c r="P744" s="13"/>
      <c r="Q744" s="14"/>
      <c r="R744" s="14"/>
      <c r="S744" s="13"/>
      <c r="T744" s="1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</row>
    <row r="745" spans="2:147" s="12" customFormat="1" x14ac:dyDescent="0.25">
      <c r="B745" s="19"/>
      <c r="C745" s="14"/>
      <c r="D745" s="18"/>
      <c r="G745" s="17"/>
      <c r="H745" s="14"/>
      <c r="I745" s="14"/>
      <c r="J745" s="16"/>
      <c r="K745" s="15"/>
      <c r="L745" s="15"/>
      <c r="N745" s="14"/>
      <c r="O745" s="14"/>
      <c r="P745" s="13"/>
      <c r="Q745" s="14"/>
      <c r="R745" s="14"/>
      <c r="S745" s="13"/>
      <c r="T745" s="1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</row>
    <row r="746" spans="2:147" s="12" customFormat="1" x14ac:dyDescent="0.25">
      <c r="B746" s="19"/>
      <c r="C746" s="14"/>
      <c r="D746" s="18"/>
      <c r="G746" s="17"/>
      <c r="H746" s="14"/>
      <c r="I746" s="14"/>
      <c r="J746" s="16"/>
      <c r="K746" s="15"/>
      <c r="L746" s="15"/>
      <c r="N746" s="14"/>
      <c r="O746" s="14"/>
      <c r="P746" s="13"/>
      <c r="Q746" s="14"/>
      <c r="R746" s="14"/>
      <c r="S746" s="13"/>
      <c r="T746" s="1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</row>
    <row r="747" spans="2:147" s="12" customFormat="1" x14ac:dyDescent="0.25">
      <c r="B747" s="19"/>
      <c r="C747" s="14"/>
      <c r="D747" s="18"/>
      <c r="G747" s="17"/>
      <c r="H747" s="14"/>
      <c r="I747" s="14"/>
      <c r="J747" s="16"/>
      <c r="K747" s="15"/>
      <c r="L747" s="15"/>
      <c r="N747" s="14"/>
      <c r="O747" s="14"/>
      <c r="P747" s="13"/>
      <c r="Q747" s="14"/>
      <c r="R747" s="14"/>
      <c r="S747" s="13"/>
      <c r="T747" s="1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</row>
    <row r="748" spans="2:147" s="12" customFormat="1" x14ac:dyDescent="0.25">
      <c r="B748" s="19"/>
      <c r="C748" s="14"/>
      <c r="D748" s="18"/>
      <c r="G748" s="17"/>
      <c r="H748" s="14"/>
      <c r="I748" s="14"/>
      <c r="J748" s="16"/>
      <c r="K748" s="15"/>
      <c r="L748" s="15"/>
      <c r="N748" s="14"/>
      <c r="O748" s="14"/>
      <c r="P748" s="13"/>
      <c r="Q748" s="14"/>
      <c r="R748" s="14"/>
      <c r="S748" s="13"/>
      <c r="T748" s="1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</row>
    <row r="749" spans="2:147" s="12" customFormat="1" x14ac:dyDescent="0.25">
      <c r="B749" s="19"/>
      <c r="C749" s="14"/>
      <c r="D749" s="18"/>
      <c r="G749" s="17"/>
      <c r="H749" s="14"/>
      <c r="I749" s="14"/>
      <c r="J749" s="16"/>
      <c r="K749" s="15"/>
      <c r="L749" s="15"/>
      <c r="N749" s="14"/>
      <c r="O749" s="14"/>
      <c r="P749" s="13"/>
      <c r="Q749" s="14"/>
      <c r="R749" s="14"/>
      <c r="S749" s="13"/>
      <c r="T749" s="1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</row>
    <row r="750" spans="2:147" s="12" customFormat="1" x14ac:dyDescent="0.25">
      <c r="B750" s="19"/>
      <c r="C750" s="14"/>
      <c r="D750" s="18"/>
      <c r="G750" s="17"/>
      <c r="H750" s="14"/>
      <c r="I750" s="14"/>
      <c r="J750" s="16"/>
      <c r="K750" s="15"/>
      <c r="L750" s="15"/>
      <c r="N750" s="14"/>
      <c r="O750" s="14"/>
      <c r="P750" s="13"/>
      <c r="Q750" s="14"/>
      <c r="R750" s="14"/>
      <c r="S750" s="13"/>
      <c r="T750" s="1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</row>
    <row r="751" spans="2:147" s="12" customFormat="1" x14ac:dyDescent="0.25">
      <c r="B751" s="19"/>
      <c r="C751" s="14"/>
      <c r="D751" s="18"/>
      <c r="G751" s="17"/>
      <c r="H751" s="14"/>
      <c r="I751" s="14"/>
      <c r="J751" s="16"/>
      <c r="K751" s="15"/>
      <c r="L751" s="15"/>
      <c r="N751" s="14"/>
      <c r="O751" s="14"/>
      <c r="P751" s="13"/>
      <c r="Q751" s="14"/>
      <c r="R751" s="14"/>
      <c r="S751" s="13"/>
      <c r="T751" s="1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</row>
    <row r="752" spans="2:147" s="12" customFormat="1" x14ac:dyDescent="0.25">
      <c r="B752" s="19"/>
      <c r="C752" s="14"/>
      <c r="D752" s="18"/>
      <c r="G752" s="17"/>
      <c r="H752" s="14"/>
      <c r="I752" s="14"/>
      <c r="J752" s="16"/>
      <c r="K752" s="15"/>
      <c r="L752" s="15"/>
      <c r="N752" s="14"/>
      <c r="O752" s="14"/>
      <c r="P752" s="13"/>
      <c r="Q752" s="14"/>
      <c r="R752" s="14"/>
      <c r="S752" s="13"/>
      <c r="T752" s="1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</row>
    <row r="753" spans="2:147" s="12" customFormat="1" x14ac:dyDescent="0.25">
      <c r="B753" s="19"/>
      <c r="C753" s="14"/>
      <c r="D753" s="18"/>
      <c r="G753" s="17"/>
      <c r="H753" s="14"/>
      <c r="I753" s="14"/>
      <c r="J753" s="16"/>
      <c r="K753" s="15"/>
      <c r="L753" s="15"/>
      <c r="N753" s="14"/>
      <c r="O753" s="14"/>
      <c r="P753" s="13"/>
      <c r="Q753" s="14"/>
      <c r="R753" s="14"/>
      <c r="S753" s="13"/>
      <c r="T753" s="1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</row>
    <row r="754" spans="2:147" s="12" customFormat="1" x14ac:dyDescent="0.25">
      <c r="B754" s="19"/>
      <c r="C754" s="14"/>
      <c r="D754" s="18"/>
      <c r="G754" s="17"/>
      <c r="H754" s="14"/>
      <c r="I754" s="14"/>
      <c r="J754" s="16"/>
      <c r="K754" s="15"/>
      <c r="L754" s="15"/>
      <c r="N754" s="14"/>
      <c r="O754" s="14"/>
      <c r="P754" s="13"/>
      <c r="Q754" s="14"/>
      <c r="R754" s="14"/>
      <c r="S754" s="13"/>
      <c r="T754" s="1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</row>
    <row r="755" spans="2:147" s="12" customFormat="1" x14ac:dyDescent="0.25">
      <c r="B755" s="19"/>
      <c r="C755" s="14"/>
      <c r="D755" s="18"/>
      <c r="G755" s="17"/>
      <c r="H755" s="14"/>
      <c r="I755" s="14"/>
      <c r="J755" s="16"/>
      <c r="K755" s="15"/>
      <c r="L755" s="15"/>
      <c r="N755" s="14"/>
      <c r="O755" s="14"/>
      <c r="P755" s="13"/>
      <c r="Q755" s="14"/>
      <c r="R755" s="14"/>
      <c r="S755" s="13"/>
      <c r="T755" s="1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</row>
    <row r="756" spans="2:147" s="12" customFormat="1" x14ac:dyDescent="0.25">
      <c r="B756" s="19"/>
      <c r="C756" s="14"/>
      <c r="D756" s="18"/>
      <c r="G756" s="17"/>
      <c r="H756" s="14"/>
      <c r="I756" s="14"/>
      <c r="J756" s="16"/>
      <c r="K756" s="15"/>
      <c r="L756" s="15"/>
      <c r="N756" s="14"/>
      <c r="O756" s="14"/>
      <c r="P756" s="13"/>
      <c r="Q756" s="14"/>
      <c r="R756" s="14"/>
      <c r="S756" s="13"/>
      <c r="T756" s="1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</row>
    <row r="757" spans="2:147" s="12" customFormat="1" x14ac:dyDescent="0.25">
      <c r="B757" s="19"/>
      <c r="C757" s="14"/>
      <c r="D757" s="18"/>
      <c r="G757" s="17"/>
      <c r="H757" s="14"/>
      <c r="I757" s="14"/>
      <c r="J757" s="16"/>
      <c r="K757" s="15"/>
      <c r="L757" s="15"/>
      <c r="N757" s="14"/>
      <c r="O757" s="14"/>
      <c r="P757" s="13"/>
      <c r="Q757" s="14"/>
      <c r="R757" s="14"/>
      <c r="S757" s="13"/>
      <c r="T757" s="1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</row>
    <row r="758" spans="2:147" s="12" customFormat="1" x14ac:dyDescent="0.25">
      <c r="B758" s="19"/>
      <c r="C758" s="14"/>
      <c r="D758" s="18"/>
      <c r="G758" s="17"/>
      <c r="H758" s="14"/>
      <c r="I758" s="14"/>
      <c r="J758" s="16"/>
      <c r="K758" s="15"/>
      <c r="L758" s="15"/>
      <c r="N758" s="14"/>
      <c r="O758" s="14"/>
      <c r="P758" s="13"/>
      <c r="Q758" s="14"/>
      <c r="R758" s="14"/>
      <c r="S758" s="13"/>
      <c r="T758" s="1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</row>
    <row r="759" spans="2:147" s="12" customFormat="1" x14ac:dyDescent="0.25">
      <c r="B759" s="19"/>
      <c r="C759" s="14"/>
      <c r="D759" s="18"/>
      <c r="G759" s="17"/>
      <c r="H759" s="14"/>
      <c r="I759" s="14"/>
      <c r="J759" s="16"/>
      <c r="K759" s="15"/>
      <c r="L759" s="15"/>
      <c r="N759" s="14"/>
      <c r="O759" s="14"/>
      <c r="P759" s="13"/>
      <c r="Q759" s="14"/>
      <c r="R759" s="14"/>
      <c r="S759" s="13"/>
      <c r="T759" s="1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</row>
    <row r="760" spans="2:147" s="12" customFormat="1" x14ac:dyDescent="0.25">
      <c r="B760" s="19"/>
      <c r="C760" s="14"/>
      <c r="D760" s="18"/>
      <c r="G760" s="17"/>
      <c r="H760" s="14"/>
      <c r="I760" s="14"/>
      <c r="J760" s="16"/>
      <c r="K760" s="15"/>
      <c r="L760" s="15"/>
      <c r="N760" s="14"/>
      <c r="O760" s="14"/>
      <c r="P760" s="13"/>
      <c r="Q760" s="14"/>
      <c r="R760" s="14"/>
      <c r="S760" s="13"/>
      <c r="T760" s="1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</row>
    <row r="761" spans="2:147" s="12" customFormat="1" x14ac:dyDescent="0.25">
      <c r="B761" s="19"/>
      <c r="C761" s="14"/>
      <c r="D761" s="18"/>
      <c r="G761" s="17"/>
      <c r="H761" s="14"/>
      <c r="I761" s="14"/>
      <c r="J761" s="16"/>
      <c r="K761" s="15"/>
      <c r="L761" s="15"/>
      <c r="N761" s="14"/>
      <c r="O761" s="14"/>
      <c r="P761" s="13"/>
      <c r="Q761" s="14"/>
      <c r="R761" s="14"/>
      <c r="S761" s="13"/>
      <c r="T761" s="1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</row>
    <row r="762" spans="2:147" s="12" customFormat="1" x14ac:dyDescent="0.25">
      <c r="B762" s="19"/>
      <c r="C762" s="14"/>
      <c r="D762" s="18"/>
      <c r="G762" s="17"/>
      <c r="H762" s="14"/>
      <c r="I762" s="14"/>
      <c r="J762" s="16"/>
      <c r="K762" s="15"/>
      <c r="L762" s="15"/>
      <c r="N762" s="14"/>
      <c r="O762" s="14"/>
      <c r="P762" s="13"/>
      <c r="Q762" s="14"/>
      <c r="R762" s="14"/>
      <c r="S762" s="13"/>
      <c r="T762" s="1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</row>
    <row r="763" spans="2:147" s="12" customFormat="1" x14ac:dyDescent="0.25">
      <c r="B763" s="19"/>
      <c r="C763" s="14"/>
      <c r="D763" s="18"/>
      <c r="G763" s="17"/>
      <c r="H763" s="14"/>
      <c r="I763" s="14"/>
      <c r="J763" s="16"/>
      <c r="K763" s="15"/>
      <c r="L763" s="15"/>
      <c r="N763" s="14"/>
      <c r="O763" s="14"/>
      <c r="P763" s="13"/>
      <c r="Q763" s="14"/>
      <c r="R763" s="14"/>
      <c r="S763" s="13"/>
      <c r="T763" s="1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</row>
    <row r="764" spans="2:147" s="12" customFormat="1" x14ac:dyDescent="0.25">
      <c r="B764" s="19"/>
      <c r="C764" s="14"/>
      <c r="D764" s="18"/>
      <c r="G764" s="17"/>
      <c r="H764" s="14"/>
      <c r="I764" s="14"/>
      <c r="J764" s="16"/>
      <c r="K764" s="15"/>
      <c r="L764" s="15"/>
      <c r="N764" s="14"/>
      <c r="O764" s="14"/>
      <c r="P764" s="13"/>
      <c r="Q764" s="14"/>
      <c r="R764" s="14"/>
      <c r="S764" s="13"/>
      <c r="T764" s="1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</row>
    <row r="765" spans="2:147" s="12" customFormat="1" x14ac:dyDescent="0.25">
      <c r="B765" s="19"/>
      <c r="C765" s="14"/>
      <c r="D765" s="18"/>
      <c r="G765" s="17"/>
      <c r="H765" s="14"/>
      <c r="I765" s="14"/>
      <c r="J765" s="16"/>
      <c r="K765" s="15"/>
      <c r="L765" s="15"/>
      <c r="N765" s="14"/>
      <c r="O765" s="14"/>
      <c r="P765" s="13"/>
      <c r="Q765" s="14"/>
      <c r="R765" s="14"/>
      <c r="S765" s="13"/>
      <c r="T765" s="1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</row>
    <row r="766" spans="2:147" s="12" customFormat="1" x14ac:dyDescent="0.25">
      <c r="B766" s="19"/>
      <c r="C766" s="14"/>
      <c r="D766" s="18"/>
      <c r="G766" s="17"/>
      <c r="H766" s="14"/>
      <c r="I766" s="14"/>
      <c r="J766" s="16"/>
      <c r="K766" s="15"/>
      <c r="L766" s="15"/>
      <c r="N766" s="14"/>
      <c r="O766" s="14"/>
      <c r="P766" s="13"/>
      <c r="Q766" s="14"/>
      <c r="R766" s="14"/>
      <c r="S766" s="13"/>
      <c r="T766" s="1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</row>
    <row r="767" spans="2:147" s="12" customFormat="1" x14ac:dyDescent="0.25">
      <c r="B767" s="19"/>
      <c r="C767" s="14"/>
      <c r="D767" s="18"/>
      <c r="G767" s="17"/>
      <c r="H767" s="14"/>
      <c r="I767" s="14"/>
      <c r="J767" s="16"/>
      <c r="K767" s="15"/>
      <c r="L767" s="15"/>
      <c r="N767" s="14"/>
      <c r="O767" s="14"/>
      <c r="P767" s="13"/>
      <c r="Q767" s="14"/>
      <c r="R767" s="14"/>
      <c r="S767" s="13"/>
      <c r="T767" s="1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</row>
    <row r="768" spans="2:147" s="12" customFormat="1" x14ac:dyDescent="0.25">
      <c r="B768" s="19"/>
      <c r="C768" s="14"/>
      <c r="D768" s="18"/>
      <c r="G768" s="17"/>
      <c r="H768" s="14"/>
      <c r="I768" s="14"/>
      <c r="J768" s="16"/>
      <c r="K768" s="15"/>
      <c r="L768" s="15"/>
      <c r="N768" s="14"/>
      <c r="O768" s="14"/>
      <c r="P768" s="13"/>
      <c r="Q768" s="14"/>
      <c r="R768" s="14"/>
      <c r="S768" s="13"/>
      <c r="T768" s="1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</row>
    <row r="769" spans="2:147" s="12" customFormat="1" x14ac:dyDescent="0.25">
      <c r="B769" s="19"/>
      <c r="C769" s="14"/>
      <c r="D769" s="18"/>
      <c r="G769" s="17"/>
      <c r="H769" s="14"/>
      <c r="I769" s="14"/>
      <c r="J769" s="16"/>
      <c r="K769" s="15"/>
      <c r="L769" s="15"/>
      <c r="N769" s="14"/>
      <c r="O769" s="14"/>
      <c r="P769" s="13"/>
      <c r="Q769" s="14"/>
      <c r="R769" s="14"/>
      <c r="S769" s="13"/>
      <c r="T769" s="1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</row>
    <row r="770" spans="2:147" s="12" customFormat="1" x14ac:dyDescent="0.25">
      <c r="B770" s="19"/>
      <c r="C770" s="14"/>
      <c r="D770" s="18"/>
      <c r="G770" s="17"/>
      <c r="H770" s="14"/>
      <c r="I770" s="14"/>
      <c r="J770" s="16"/>
      <c r="K770" s="15"/>
      <c r="L770" s="15"/>
      <c r="N770" s="14"/>
      <c r="O770" s="14"/>
      <c r="P770" s="13"/>
      <c r="Q770" s="14"/>
      <c r="R770" s="14"/>
      <c r="S770" s="13"/>
      <c r="T770" s="1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</row>
    <row r="771" spans="2:147" s="12" customFormat="1" x14ac:dyDescent="0.25">
      <c r="B771" s="19"/>
      <c r="C771" s="14"/>
      <c r="D771" s="18"/>
      <c r="G771" s="17"/>
      <c r="H771" s="14"/>
      <c r="I771" s="14"/>
      <c r="J771" s="16"/>
      <c r="K771" s="15"/>
      <c r="L771" s="15"/>
      <c r="N771" s="14"/>
      <c r="O771" s="14"/>
      <c r="P771" s="13"/>
      <c r="Q771" s="14"/>
      <c r="R771" s="14"/>
      <c r="S771" s="13"/>
      <c r="T771" s="1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</row>
    <row r="772" spans="2:147" s="12" customFormat="1" x14ac:dyDescent="0.25">
      <c r="B772" s="19"/>
      <c r="C772" s="14"/>
      <c r="D772" s="18"/>
      <c r="G772" s="17"/>
      <c r="H772" s="14"/>
      <c r="I772" s="14"/>
      <c r="J772" s="16"/>
      <c r="K772" s="15"/>
      <c r="L772" s="15"/>
      <c r="N772" s="14"/>
      <c r="O772" s="14"/>
      <c r="P772" s="13"/>
      <c r="Q772" s="14"/>
      <c r="R772" s="14"/>
      <c r="S772" s="13"/>
      <c r="T772" s="1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</row>
    <row r="773" spans="2:147" s="12" customFormat="1" x14ac:dyDescent="0.25">
      <c r="B773" s="19"/>
      <c r="C773" s="14"/>
      <c r="D773" s="18"/>
      <c r="G773" s="17"/>
      <c r="H773" s="14"/>
      <c r="I773" s="14"/>
      <c r="J773" s="16"/>
      <c r="K773" s="15"/>
      <c r="L773" s="15"/>
      <c r="N773" s="14"/>
      <c r="O773" s="14"/>
      <c r="P773" s="13"/>
      <c r="Q773" s="14"/>
      <c r="R773" s="14"/>
      <c r="S773" s="13"/>
      <c r="T773" s="1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</row>
    <row r="774" spans="2:147" s="12" customFormat="1" x14ac:dyDescent="0.25">
      <c r="B774" s="19"/>
      <c r="C774" s="14"/>
      <c r="D774" s="18"/>
      <c r="G774" s="17"/>
      <c r="H774" s="14"/>
      <c r="I774" s="14"/>
      <c r="J774" s="16"/>
      <c r="K774" s="15"/>
      <c r="L774" s="15"/>
      <c r="N774" s="14"/>
      <c r="O774" s="14"/>
      <c r="P774" s="13"/>
      <c r="Q774" s="14"/>
      <c r="R774" s="14"/>
      <c r="S774" s="13"/>
      <c r="T774" s="1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</row>
    <row r="775" spans="2:147" s="12" customFormat="1" x14ac:dyDescent="0.25">
      <c r="B775" s="19"/>
      <c r="C775" s="14"/>
      <c r="D775" s="18"/>
      <c r="G775" s="17"/>
      <c r="H775" s="14"/>
      <c r="I775" s="14"/>
      <c r="J775" s="16"/>
      <c r="K775" s="15"/>
      <c r="L775" s="15"/>
      <c r="N775" s="14"/>
      <c r="O775" s="14"/>
      <c r="P775" s="13"/>
      <c r="Q775" s="14"/>
      <c r="R775" s="14"/>
      <c r="S775" s="13"/>
      <c r="T775" s="1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</row>
    <row r="776" spans="2:147" s="12" customFormat="1" x14ac:dyDescent="0.25">
      <c r="B776" s="19"/>
      <c r="C776" s="14"/>
      <c r="D776" s="18"/>
      <c r="G776" s="17"/>
      <c r="H776" s="14"/>
      <c r="I776" s="14"/>
      <c r="J776" s="16"/>
      <c r="K776" s="15"/>
      <c r="L776" s="15"/>
      <c r="N776" s="14"/>
      <c r="O776" s="14"/>
      <c r="P776" s="13"/>
      <c r="Q776" s="14"/>
      <c r="R776" s="14"/>
      <c r="S776" s="13"/>
      <c r="T776" s="1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</row>
    <row r="777" spans="2:147" s="12" customFormat="1" x14ac:dyDescent="0.25">
      <c r="B777" s="19"/>
      <c r="C777" s="14"/>
      <c r="D777" s="18"/>
      <c r="G777" s="17"/>
      <c r="H777" s="14"/>
      <c r="I777" s="14"/>
      <c r="J777" s="16"/>
      <c r="K777" s="15"/>
      <c r="L777" s="15"/>
      <c r="N777" s="14"/>
      <c r="O777" s="14"/>
      <c r="P777" s="13"/>
      <c r="Q777" s="14"/>
      <c r="R777" s="14"/>
      <c r="S777" s="13"/>
      <c r="T777" s="1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</row>
    <row r="778" spans="2:147" s="12" customFormat="1" x14ac:dyDescent="0.25">
      <c r="B778" s="19"/>
      <c r="C778" s="14"/>
      <c r="D778" s="18"/>
      <c r="G778" s="17"/>
      <c r="H778" s="14"/>
      <c r="I778" s="14"/>
      <c r="J778" s="16"/>
      <c r="K778" s="15"/>
      <c r="L778" s="15"/>
      <c r="N778" s="14"/>
      <c r="O778" s="14"/>
      <c r="P778" s="13"/>
      <c r="Q778" s="14"/>
      <c r="R778" s="14"/>
      <c r="S778" s="13"/>
      <c r="T778" s="1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</row>
    <row r="779" spans="2:147" s="12" customFormat="1" x14ac:dyDescent="0.25">
      <c r="B779" s="19"/>
      <c r="C779" s="14"/>
      <c r="D779" s="18"/>
      <c r="G779" s="17"/>
      <c r="H779" s="14"/>
      <c r="I779" s="14"/>
      <c r="J779" s="16"/>
      <c r="K779" s="15"/>
      <c r="L779" s="15"/>
      <c r="N779" s="14"/>
      <c r="O779" s="14"/>
      <c r="P779" s="13"/>
      <c r="Q779" s="14"/>
      <c r="R779" s="14"/>
      <c r="S779" s="13"/>
      <c r="T779" s="1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</row>
    <row r="780" spans="2:147" s="12" customFormat="1" x14ac:dyDescent="0.25">
      <c r="B780" s="19"/>
      <c r="C780" s="14"/>
      <c r="D780" s="18"/>
      <c r="G780" s="17"/>
      <c r="H780" s="14"/>
      <c r="I780" s="14"/>
      <c r="J780" s="16"/>
      <c r="K780" s="15"/>
      <c r="L780" s="15"/>
      <c r="N780" s="14"/>
      <c r="O780" s="14"/>
      <c r="P780" s="13"/>
      <c r="Q780" s="14"/>
      <c r="R780" s="14"/>
      <c r="S780" s="13"/>
      <c r="T780" s="1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</row>
    <row r="781" spans="2:147" s="12" customFormat="1" x14ac:dyDescent="0.25">
      <c r="B781" s="19"/>
      <c r="C781" s="14"/>
      <c r="D781" s="18"/>
      <c r="G781" s="17"/>
      <c r="H781" s="14"/>
      <c r="I781" s="14"/>
      <c r="J781" s="16"/>
      <c r="K781" s="15"/>
      <c r="L781" s="15"/>
      <c r="N781" s="14"/>
      <c r="O781" s="14"/>
      <c r="P781" s="13"/>
      <c r="Q781" s="14"/>
      <c r="R781" s="14"/>
      <c r="S781" s="13"/>
      <c r="T781" s="1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</row>
    <row r="782" spans="2:147" s="12" customFormat="1" x14ac:dyDescent="0.25">
      <c r="B782" s="19"/>
      <c r="C782" s="14"/>
      <c r="D782" s="18"/>
      <c r="G782" s="17"/>
      <c r="H782" s="14"/>
      <c r="I782" s="14"/>
      <c r="J782" s="16"/>
      <c r="K782" s="15"/>
      <c r="L782" s="15"/>
      <c r="N782" s="14"/>
      <c r="O782" s="14"/>
      <c r="P782" s="13"/>
      <c r="Q782" s="14"/>
      <c r="R782" s="14"/>
      <c r="S782" s="13"/>
      <c r="T782" s="1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</row>
    <row r="783" spans="2:147" s="12" customFormat="1" x14ac:dyDescent="0.25">
      <c r="B783" s="19"/>
      <c r="C783" s="14"/>
      <c r="D783" s="18"/>
      <c r="G783" s="17"/>
      <c r="H783" s="14"/>
      <c r="I783" s="14"/>
      <c r="J783" s="16"/>
      <c r="K783" s="15"/>
      <c r="L783" s="15"/>
      <c r="N783" s="14"/>
      <c r="O783" s="14"/>
      <c r="P783" s="13"/>
      <c r="Q783" s="14"/>
      <c r="R783" s="14"/>
      <c r="S783" s="13"/>
      <c r="T783" s="1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</row>
    <row r="784" spans="2:147" s="12" customFormat="1" x14ac:dyDescent="0.25">
      <c r="B784" s="19"/>
      <c r="C784" s="14"/>
      <c r="D784" s="18"/>
      <c r="G784" s="17"/>
      <c r="H784" s="14"/>
      <c r="I784" s="14"/>
      <c r="J784" s="16"/>
      <c r="K784" s="15"/>
      <c r="L784" s="15"/>
      <c r="N784" s="14"/>
      <c r="O784" s="14"/>
      <c r="P784" s="13"/>
      <c r="Q784" s="14"/>
      <c r="R784" s="14"/>
      <c r="S784" s="13"/>
      <c r="T784" s="1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</row>
    <row r="785" spans="2:147" s="12" customFormat="1" x14ac:dyDescent="0.25">
      <c r="B785" s="19"/>
      <c r="C785" s="14"/>
      <c r="D785" s="18"/>
      <c r="G785" s="17"/>
      <c r="H785" s="14"/>
      <c r="I785" s="14"/>
      <c r="J785" s="16"/>
      <c r="K785" s="15"/>
      <c r="L785" s="15"/>
      <c r="N785" s="14"/>
      <c r="O785" s="14"/>
      <c r="P785" s="13"/>
      <c r="Q785" s="14"/>
      <c r="R785" s="14"/>
      <c r="S785" s="13"/>
      <c r="T785" s="1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</row>
    <row r="786" spans="2:147" s="12" customFormat="1" x14ac:dyDescent="0.25">
      <c r="B786" s="19"/>
      <c r="C786" s="14"/>
      <c r="D786" s="18"/>
      <c r="G786" s="17"/>
      <c r="H786" s="14"/>
      <c r="I786" s="14"/>
      <c r="J786" s="16"/>
      <c r="K786" s="15"/>
      <c r="L786" s="15"/>
      <c r="N786" s="14"/>
      <c r="O786" s="14"/>
      <c r="P786" s="13"/>
      <c r="Q786" s="14"/>
      <c r="R786" s="14"/>
      <c r="S786" s="13"/>
      <c r="T786" s="1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</row>
    <row r="787" spans="2:147" s="12" customFormat="1" x14ac:dyDescent="0.25">
      <c r="B787" s="19"/>
      <c r="C787" s="14"/>
      <c r="D787" s="18"/>
      <c r="G787" s="17"/>
      <c r="H787" s="14"/>
      <c r="I787" s="14"/>
      <c r="J787" s="16"/>
      <c r="K787" s="15"/>
      <c r="L787" s="15"/>
      <c r="N787" s="14"/>
      <c r="O787" s="14"/>
      <c r="P787" s="13"/>
      <c r="Q787" s="14"/>
      <c r="R787" s="14"/>
      <c r="S787" s="13"/>
      <c r="T787" s="1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</row>
    <row r="788" spans="2:147" s="12" customFormat="1" x14ac:dyDescent="0.25">
      <c r="B788" s="19"/>
      <c r="C788" s="14"/>
      <c r="D788" s="18"/>
      <c r="G788" s="17"/>
      <c r="H788" s="14"/>
      <c r="I788" s="14"/>
      <c r="J788" s="16"/>
      <c r="K788" s="15"/>
      <c r="L788" s="15"/>
      <c r="N788" s="14"/>
      <c r="O788" s="14"/>
      <c r="P788" s="13"/>
      <c r="Q788" s="14"/>
      <c r="R788" s="14"/>
      <c r="S788" s="13"/>
      <c r="T788" s="1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</row>
    <row r="789" spans="2:147" s="12" customFormat="1" x14ac:dyDescent="0.25">
      <c r="B789" s="19"/>
      <c r="C789" s="14"/>
      <c r="D789" s="18"/>
      <c r="G789" s="17"/>
      <c r="H789" s="14"/>
      <c r="I789" s="14"/>
      <c r="J789" s="16"/>
      <c r="K789" s="15"/>
      <c r="L789" s="15"/>
      <c r="N789" s="14"/>
      <c r="O789" s="14"/>
      <c r="P789" s="13"/>
      <c r="Q789" s="14"/>
      <c r="R789" s="14"/>
      <c r="S789" s="13"/>
      <c r="T789" s="1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</row>
    <row r="790" spans="2:147" s="12" customFormat="1" x14ac:dyDescent="0.25">
      <c r="B790" s="19"/>
      <c r="C790" s="14"/>
      <c r="D790" s="18"/>
      <c r="G790" s="17"/>
      <c r="H790" s="14"/>
      <c r="I790" s="14"/>
      <c r="J790" s="16"/>
      <c r="K790" s="15"/>
      <c r="L790" s="15"/>
      <c r="N790" s="14"/>
      <c r="O790" s="14"/>
      <c r="P790" s="13"/>
      <c r="Q790" s="14"/>
      <c r="R790" s="14"/>
      <c r="S790" s="13"/>
      <c r="T790" s="1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</row>
    <row r="791" spans="2:147" s="12" customFormat="1" x14ac:dyDescent="0.25">
      <c r="B791" s="19"/>
      <c r="C791" s="14"/>
      <c r="D791" s="18"/>
      <c r="G791" s="17"/>
      <c r="H791" s="14"/>
      <c r="I791" s="14"/>
      <c r="J791" s="16"/>
      <c r="K791" s="15"/>
      <c r="L791" s="15"/>
      <c r="N791" s="14"/>
      <c r="O791" s="14"/>
      <c r="P791" s="13"/>
      <c r="Q791" s="14"/>
      <c r="R791" s="14"/>
      <c r="S791" s="13"/>
      <c r="T791" s="1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</row>
    <row r="792" spans="2:147" s="12" customFormat="1" x14ac:dyDescent="0.25">
      <c r="B792" s="19"/>
      <c r="C792" s="14"/>
      <c r="D792" s="18"/>
      <c r="G792" s="17"/>
      <c r="H792" s="14"/>
      <c r="I792" s="14"/>
      <c r="J792" s="16"/>
      <c r="K792" s="15"/>
      <c r="L792" s="15"/>
      <c r="N792" s="14"/>
      <c r="O792" s="14"/>
      <c r="P792" s="13"/>
      <c r="Q792" s="14"/>
      <c r="R792" s="14"/>
      <c r="S792" s="13"/>
      <c r="T792" s="1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</row>
    <row r="793" spans="2:147" s="12" customFormat="1" x14ac:dyDescent="0.25">
      <c r="B793" s="19"/>
      <c r="C793" s="14"/>
      <c r="D793" s="18"/>
      <c r="G793" s="17"/>
      <c r="H793" s="14"/>
      <c r="I793" s="14"/>
      <c r="J793" s="16"/>
      <c r="K793" s="15"/>
      <c r="L793" s="15"/>
      <c r="N793" s="14"/>
      <c r="O793" s="14"/>
      <c r="P793" s="13"/>
      <c r="Q793" s="14"/>
      <c r="R793" s="14"/>
      <c r="S793" s="13"/>
      <c r="T793" s="1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</row>
    <row r="794" spans="2:147" s="12" customFormat="1" x14ac:dyDescent="0.25">
      <c r="B794" s="19"/>
      <c r="C794" s="14"/>
      <c r="D794" s="18"/>
      <c r="G794" s="17"/>
      <c r="H794" s="14"/>
      <c r="I794" s="14"/>
      <c r="J794" s="16"/>
      <c r="K794" s="15"/>
      <c r="L794" s="15"/>
      <c r="N794" s="14"/>
      <c r="O794" s="14"/>
      <c r="P794" s="13"/>
      <c r="Q794" s="14"/>
      <c r="R794" s="14"/>
      <c r="S794" s="13"/>
      <c r="T794" s="1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</row>
    <row r="795" spans="2:147" s="12" customFormat="1" x14ac:dyDescent="0.25">
      <c r="B795" s="19"/>
      <c r="C795" s="14"/>
      <c r="D795" s="18"/>
      <c r="G795" s="17"/>
      <c r="H795" s="14"/>
      <c r="I795" s="14"/>
      <c r="J795" s="16"/>
      <c r="K795" s="15"/>
      <c r="L795" s="15"/>
      <c r="N795" s="14"/>
      <c r="O795" s="14"/>
      <c r="P795" s="13"/>
      <c r="Q795" s="14"/>
      <c r="R795" s="14"/>
      <c r="S795" s="13"/>
      <c r="T795" s="1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</row>
  </sheetData>
  <conditionalFormatting sqref="J29:J40 J42:J44 J2:J27">
    <cfRule type="containsText" dxfId="26" priority="27" operator="containsText" text="WIP">
      <formula>NOT(ISERROR(SEARCH("WIP",J2)))</formula>
    </cfRule>
  </conditionalFormatting>
  <conditionalFormatting sqref="J46:J55">
    <cfRule type="containsText" dxfId="25" priority="26" operator="containsText" text="WIP">
      <formula>NOT(ISERROR(SEARCH("WIP",J46)))</formula>
    </cfRule>
  </conditionalFormatting>
  <conditionalFormatting sqref="F29:F40 F42:F44 F65:F68 F70:F73 F75:F79 F121:F123 F125 F127:F128 F130:F131 F133:F136 F174 F176:F177 F182:F183 F186 F179:F180 F46:F49 F51:F63 F146 F100:F103 F105:F119 F84:F91 F93:F98 F2:F27 F151:F155 F159:F162 F157 F138:F144">
    <cfRule type="expression" dxfId="24" priority="25">
      <formula>$F2&lt;3.5</formula>
    </cfRule>
  </conditionalFormatting>
  <conditionalFormatting sqref="F173">
    <cfRule type="expression" dxfId="23" priority="24">
      <formula>$F173&lt;3.5</formula>
    </cfRule>
  </conditionalFormatting>
  <conditionalFormatting sqref="O105:O119 O84:O103 O2:O27 O151:O155 O159:O162 O157 O138:O144">
    <cfRule type="expression" dxfId="22" priority="22">
      <formula>"YPI3"</formula>
    </cfRule>
    <cfRule type="expression" dxfId="21" priority="23">
      <formula>"YPI5"</formula>
    </cfRule>
  </conditionalFormatting>
  <conditionalFormatting sqref="O173:O174 O29:O40 O42:O44 O121:O123 O125 O127:O128 O130:O131 O133:O134 O176:O177 O182:O183 O186 O179:O180 O46:O55 O190:O194">
    <cfRule type="expression" dxfId="20" priority="20">
      <formula>"YPI3"</formula>
    </cfRule>
    <cfRule type="expression" dxfId="19" priority="21">
      <formula>"YPI5"</formula>
    </cfRule>
  </conditionalFormatting>
  <conditionalFormatting sqref="J56:J63 J65:J68 J70:J73 J75:J76">
    <cfRule type="containsText" dxfId="18" priority="19" operator="containsText" text="WIP">
      <formula>NOT(ISERROR(SEARCH("WIP",J56)))</formula>
    </cfRule>
  </conditionalFormatting>
  <conditionalFormatting sqref="O56:O63 O65:O68 O70:O73 O75:O76">
    <cfRule type="expression" dxfId="17" priority="17">
      <formula>"YPI3"</formula>
    </cfRule>
    <cfRule type="expression" dxfId="16" priority="18">
      <formula>"YPI5"</formula>
    </cfRule>
  </conditionalFormatting>
  <conditionalFormatting sqref="J77:J79">
    <cfRule type="containsText" dxfId="15" priority="16" operator="containsText" text="WIP">
      <formula>NOT(ISERROR(SEARCH("WIP",J77)))</formula>
    </cfRule>
  </conditionalFormatting>
  <conditionalFormatting sqref="O77:O79">
    <cfRule type="expression" dxfId="14" priority="14">
      <formula>"YPI3"</formula>
    </cfRule>
    <cfRule type="expression" dxfId="13" priority="15">
      <formula>"YPI5"</formula>
    </cfRule>
  </conditionalFormatting>
  <conditionalFormatting sqref="O135:O136 O146">
    <cfRule type="expression" dxfId="12" priority="12">
      <formula>"YPI3"</formula>
    </cfRule>
    <cfRule type="expression" dxfId="11" priority="13">
      <formula>"YPI5"</formula>
    </cfRule>
  </conditionalFormatting>
  <conditionalFormatting sqref="O178">
    <cfRule type="expression" dxfId="10" priority="10">
      <formula>"YPI3"</formula>
    </cfRule>
    <cfRule type="expression" dxfId="9" priority="11">
      <formula>"YPI5"</formula>
    </cfRule>
  </conditionalFormatting>
  <conditionalFormatting sqref="O184">
    <cfRule type="expression" dxfId="8" priority="8">
      <formula>"YPI3"</formula>
    </cfRule>
    <cfRule type="expression" dxfId="7" priority="9">
      <formula>"YPI5"</formula>
    </cfRule>
  </conditionalFormatting>
  <conditionalFormatting sqref="O156">
    <cfRule type="expression" dxfId="6" priority="6">
      <formula>"YPI3"</formula>
    </cfRule>
    <cfRule type="expression" dxfId="5" priority="7">
      <formula>"YPI5"</formula>
    </cfRule>
  </conditionalFormatting>
  <conditionalFormatting sqref="F164:F169">
    <cfRule type="expression" dxfId="4" priority="5">
      <formula>$F164&lt;3.5</formula>
    </cfRule>
  </conditionalFormatting>
  <conditionalFormatting sqref="O164:O169">
    <cfRule type="expression" dxfId="3" priority="3">
      <formula>"YPI3"</formula>
    </cfRule>
    <cfRule type="expression" dxfId="2" priority="4">
      <formula>"YPI5"</formula>
    </cfRule>
  </conditionalFormatting>
  <conditionalFormatting sqref="O163">
    <cfRule type="expression" dxfId="1" priority="1">
      <formula>"YPI3"</formula>
    </cfRule>
    <cfRule type="expression" dxfId="0" priority="2">
      <formula>"YPI5"</formula>
    </cfRule>
  </conditionalFormatting>
  <printOptions horizontalCentered="1"/>
  <pageMargins left="0" right="0" top="0.39370078740157483" bottom="0.27559055118110237" header="0.19685039370078741" footer="0.11811023622047245"/>
  <pageSetup paperSize="8" scale="32" orientation="landscape" r:id="rId1"/>
  <headerFooter alignWithMargins="0">
    <oddHeader>&amp;L&amp;D&amp;T&amp;C&amp;"Arial,Bold"DRY PARTS CETEC SCHEDULE</oddHeader>
    <oddFooter>&amp;L_____________________________________________
Version #&amp;R____________________________________________
Page &amp;P of &amp;N&amp;C&amp;"Calibri"&amp;11 ____________________________________________x000D_Classified - Internal use</oddFooter>
  </headerFooter>
  <rowBreaks count="2" manualBreakCount="2">
    <brk id="82" min="1" max="17" man="1"/>
    <brk id="14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14" baseType="lpstr">
      <vt:lpstr>Schedule</vt:lpstr>
      <vt:lpstr>A_Area</vt:lpstr>
      <vt:lpstr>ALL</vt:lpstr>
      <vt:lpstr>B_AREA</vt:lpstr>
      <vt:lpstr>Begin4B</vt:lpstr>
      <vt:lpstr>Begin4C</vt:lpstr>
      <vt:lpstr>Begin4E</vt:lpstr>
      <vt:lpstr>CEK_Area</vt:lpstr>
      <vt:lpstr>END</vt:lpstr>
      <vt:lpstr>END4A</vt:lpstr>
      <vt:lpstr>END4B</vt:lpstr>
      <vt:lpstr>END4C</vt:lpstr>
      <vt:lpstr>END4E</vt:lpstr>
      <vt:lpstr>Schedule!Print_Area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Cian Wallnutt</dc:creator>
  <cp:lastModifiedBy>Cian Wallnutt</cp:lastModifiedBy>
  <dcterms:created xsi:type="dcterms:W3CDTF">2020-11-12T12:06:17Z</dcterms:created>
  <dcterms:modified xsi:type="dcterms:W3CDTF">2020-11-12T12:06:42Z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702bf62-88e6-456d-b298-e2abb13de1ea_Enabled">
    <vt:lpwstr>True</vt:lpwstr>
  </property>
  <property fmtid="{D5CDD505-2E9C-101B-9397-08002B2CF9AE}" pid="3" name="MSIP_Label_0702bf62-88e6-456d-b298-e2abb13de1ea_SiteId">
    <vt:lpwstr>548d26ab-8caa-49e1-97c2-a1b1a06cc39c</vt:lpwstr>
  </property>
  <property fmtid="{D5CDD505-2E9C-101B-9397-08002B2CF9AE}" pid="4" name="MSIP_Label_0702bf62-88e6-456d-b298-e2abb13de1ea_Owner">
    <vt:lpwstr>cwallnutt@coca-cola.com</vt:lpwstr>
  </property>
  <property fmtid="{D5CDD505-2E9C-101B-9397-08002B2CF9AE}" pid="5" name="MSIP_Label_0702bf62-88e6-456d-b298-e2abb13de1ea_SetDate">
    <vt:lpwstr>2020-11-12T12:06:31.3176262Z</vt:lpwstr>
  </property>
  <property fmtid="{D5CDD505-2E9C-101B-9397-08002B2CF9AE}" pid="6" name="MSIP_Label_0702bf62-88e6-456d-b298-e2abb13de1ea_Name">
    <vt:lpwstr>Confidential (not protected)</vt:lpwstr>
  </property>
  <property fmtid="{D5CDD505-2E9C-101B-9397-08002B2CF9AE}" pid="7" name="MSIP_Label_0702bf62-88e6-456d-b298-e2abb13de1ea_Application">
    <vt:lpwstr>Microsoft Azure Information Protection</vt:lpwstr>
  </property>
  <property fmtid="{D5CDD505-2E9C-101B-9397-08002B2CF9AE}" pid="8" name="MSIP_Label_0702bf62-88e6-456d-b298-e2abb13de1ea_ActionId">
    <vt:lpwstr>66c5f802-7436-478b-bba3-f4d8e4cdc7d0</vt:lpwstr>
  </property>
  <property fmtid="{D5CDD505-2E9C-101B-9397-08002B2CF9AE}" pid="9" name="MSIP_Label_0702bf62-88e6-456d-b298-e2abb13de1ea_Extended_MSFT_Method">
    <vt:lpwstr>Automatic</vt:lpwstr>
  </property>
  <property fmtid="{D5CDD505-2E9C-101B-9397-08002B2CF9AE}" pid="10" name="Sensitivity">
    <vt:lpwstr>Confidential (not protected)</vt:lpwstr>
  </property>
</Properties>
</file>